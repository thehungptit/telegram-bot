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u lieu ca nhan\Chatbot\"/>
    </mc:Choice>
  </mc:AlternateContent>
  <xr:revisionPtr revIDLastSave="0" documentId="13_ncr:1_{983B68DE-4C99-4927-A161-B2C8558861B3}" xr6:coauthVersionLast="47" xr6:coauthVersionMax="47" xr10:uidLastSave="{00000000-0000-0000-0000-000000000000}"/>
  <bookViews>
    <workbookView xWindow="-120" yWindow="-120" windowWidth="20730" windowHeight="11160" xr2:uid="{89D3FA8F-2E72-4022-82FB-E334AF8AEFD8}"/>
  </bookViews>
  <sheets>
    <sheet name="Site" sheetId="8" r:id="rId1"/>
    <sheet name="TD T4_2025" sheetId="20" state="hidden" r:id="rId2"/>
    <sheet name="Sheet1" sheetId="18" state="hidden" r:id="rId3"/>
    <sheet name="May no dan" sheetId="24" state="hidden" r:id="rId4"/>
    <sheet name=" MAY CD QLT" sheetId="23" state="hidden" r:id="rId5"/>
    <sheet name="PCLB" sheetId="16" state="hidden" r:id="rId6"/>
    <sheet name="PCLB2" sheetId="17" state="hidden" r:id="rId7"/>
    <sheet name="CRAN" sheetId="11" state="hidden" r:id="rId8"/>
    <sheet name="Số ĐT" sheetId="6" state="hidden" r:id="rId9"/>
  </sheets>
  <externalReferences>
    <externalReference r:id="rId10"/>
    <externalReference r:id="rId11"/>
  </externalReferences>
  <definedNames>
    <definedName name="_xlnm._FilterDatabase" localSheetId="4" hidden="1">' MAY CD QLT'!$A$1:$H$208</definedName>
    <definedName name="_xlnm._FilterDatabase" localSheetId="5" hidden="1">PCLB!$A$2:$K$601</definedName>
    <definedName name="_xlnm._FilterDatabase" localSheetId="6" hidden="1">PCLB2!$A$1:$L$1</definedName>
    <definedName name="_xlnm._FilterDatabase" localSheetId="2" hidden="1">Sheet1!$A$2:$P$34</definedName>
    <definedName name="_xlnm._FilterDatabase" localSheetId="0" hidden="1">Site!$A$1:$AG$696</definedName>
    <definedName name="_xlnm._FilterDatabase" localSheetId="1" hidden="1">'TD T4_2025'!$A$2:$R$637</definedName>
    <definedName name="_xlnm.Extract" localSheetId="0">Site!#REF!</definedName>
    <definedName name="_xlnm.Print_Area" localSheetId="0">Site!$A$2:$B$369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8" l="1"/>
  <c r="E4" i="18"/>
  <c r="D574" i="17"/>
  <c r="D577" i="17"/>
  <c r="D596" i="17"/>
  <c r="D590" i="17"/>
  <c r="E8" i="18"/>
  <c r="E13" i="18"/>
  <c r="E17" i="18"/>
  <c r="E32" i="18"/>
  <c r="D585" i="17"/>
  <c r="D584" i="17"/>
  <c r="E30" i="18"/>
  <c r="I6" i="18"/>
  <c r="H6" i="18"/>
  <c r="G6" i="18"/>
  <c r="F6" i="18"/>
  <c r="E6" i="18"/>
  <c r="I30" i="18"/>
  <c r="H30" i="18"/>
  <c r="G30" i="18"/>
  <c r="F30" i="18"/>
  <c r="C30" i="18"/>
  <c r="I34" i="18"/>
  <c r="H34" i="18"/>
  <c r="G34" i="18"/>
  <c r="F34" i="18"/>
  <c r="E34" i="18"/>
  <c r="C34" i="18"/>
  <c r="C31" i="18"/>
  <c r="E31" i="18"/>
  <c r="F31" i="18"/>
  <c r="C32" i="18"/>
  <c r="F32" i="18"/>
  <c r="G32" i="18"/>
  <c r="H32" i="18"/>
  <c r="I32" i="18"/>
  <c r="C33" i="18"/>
  <c r="E33" i="18"/>
  <c r="F33" i="18"/>
  <c r="G33" i="18"/>
  <c r="H33" i="18"/>
  <c r="I33" i="18"/>
  <c r="C8" i="18"/>
  <c r="F8" i="18"/>
  <c r="G8" i="18"/>
  <c r="H8" i="18"/>
  <c r="I8" i="18"/>
  <c r="C25" i="18"/>
  <c r="E25" i="18"/>
  <c r="F25" i="18"/>
  <c r="G25" i="18"/>
  <c r="C26" i="18"/>
  <c r="E26" i="18"/>
  <c r="F26" i="18"/>
  <c r="G26" i="18"/>
  <c r="C27" i="18"/>
  <c r="E27" i="18"/>
  <c r="F27" i="18"/>
  <c r="G27" i="18"/>
  <c r="C28" i="18"/>
  <c r="E28" i="18"/>
  <c r="F28" i="18"/>
  <c r="G28" i="18"/>
  <c r="C29" i="18"/>
  <c r="E29" i="18"/>
  <c r="F29" i="18"/>
  <c r="G29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H22" i="18"/>
  <c r="H23" i="18"/>
  <c r="H24" i="18"/>
  <c r="H25" i="18"/>
  <c r="H26" i="18"/>
  <c r="H27" i="18"/>
  <c r="H28" i="18"/>
  <c r="H29" i="18"/>
  <c r="J30" i="18"/>
  <c r="J6" i="18"/>
  <c r="J5" i="18"/>
  <c r="J8" i="18"/>
  <c r="J11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1" i="18"/>
  <c r="J32" i="18"/>
  <c r="J33" i="18"/>
  <c r="J34" i="18"/>
  <c r="D573" i="17"/>
  <c r="D575" i="17"/>
  <c r="D587" i="17"/>
  <c r="D588" i="17"/>
  <c r="D579" i="17"/>
  <c r="D582" i="17"/>
  <c r="D583" i="17"/>
  <c r="R53" i="24"/>
  <c r="R52" i="24"/>
  <c r="R51" i="24"/>
  <c r="R50" i="24"/>
  <c r="R49" i="24"/>
  <c r="R48" i="24"/>
  <c r="R47" i="24"/>
  <c r="R46" i="24"/>
  <c r="R45" i="24"/>
  <c r="R44" i="24"/>
  <c r="R43" i="24"/>
  <c r="R42" i="24"/>
  <c r="R41" i="24"/>
  <c r="R40" i="24"/>
  <c r="R39" i="24"/>
  <c r="R38" i="24"/>
  <c r="R37" i="24"/>
  <c r="R36" i="24"/>
  <c r="R35" i="24"/>
  <c r="R34" i="24"/>
  <c r="R33" i="24"/>
  <c r="R32" i="24"/>
  <c r="R31" i="24"/>
  <c r="R30" i="24"/>
  <c r="R29" i="24"/>
  <c r="R28" i="24"/>
  <c r="R27" i="24"/>
  <c r="R26" i="24"/>
  <c r="R25" i="24"/>
  <c r="R24" i="24"/>
  <c r="R23" i="24"/>
  <c r="R22" i="24"/>
  <c r="R21" i="24"/>
  <c r="R20" i="24"/>
  <c r="R19" i="24"/>
  <c r="R18" i="24"/>
  <c r="R17" i="24"/>
  <c r="R16" i="24"/>
  <c r="R15" i="24"/>
  <c r="R14" i="24"/>
  <c r="R13" i="24"/>
  <c r="R12" i="24"/>
  <c r="R11" i="24"/>
  <c r="R10" i="24"/>
  <c r="R9" i="24"/>
  <c r="R8" i="24"/>
  <c r="R7" i="24"/>
  <c r="R6" i="24"/>
  <c r="R5" i="24"/>
  <c r="R4" i="24"/>
  <c r="R3" i="24"/>
  <c r="R2" i="24"/>
  <c r="K6" i="18"/>
  <c r="K3" i="18"/>
  <c r="L5" i="18"/>
  <c r="K5" i="18"/>
  <c r="K4" i="18"/>
  <c r="L7" i="18"/>
  <c r="L8" i="18"/>
  <c r="L9" i="18"/>
  <c r="L10" i="18"/>
  <c r="L11" i="18"/>
  <c r="L12" i="18"/>
  <c r="L14" i="18"/>
  <c r="L16" i="18"/>
  <c r="L17" i="18"/>
  <c r="L18" i="18"/>
  <c r="L21" i="18"/>
  <c r="L22" i="18"/>
  <c r="L24" i="18"/>
  <c r="M6" i="18"/>
  <c r="L3" i="18"/>
  <c r="M4" i="18"/>
  <c r="M8" i="18"/>
  <c r="L13" i="18"/>
  <c r="L20" i="18"/>
  <c r="M20" i="18"/>
  <c r="I31" i="18"/>
  <c r="D539" i="20"/>
  <c r="J12" i="18"/>
  <c r="D534" i="20"/>
  <c r="D531" i="20"/>
  <c r="D519" i="20"/>
  <c r="D515" i="20"/>
  <c r="D514" i="20"/>
  <c r="D509" i="20"/>
  <c r="D508" i="20"/>
  <c r="D507" i="20"/>
  <c r="D505" i="20"/>
  <c r="D491" i="20"/>
  <c r="D490" i="20"/>
  <c r="D472" i="20"/>
  <c r="D467" i="20"/>
  <c r="D466" i="20"/>
  <c r="D465" i="20"/>
  <c r="D464" i="20"/>
  <c r="D463" i="20"/>
  <c r="D462" i="20"/>
  <c r="D459" i="20"/>
  <c r="D452" i="20"/>
  <c r="D437" i="20"/>
  <c r="D435" i="20"/>
  <c r="D427" i="20"/>
  <c r="D421" i="20"/>
  <c r="D420" i="20"/>
  <c r="D413" i="20"/>
  <c r="D412" i="20"/>
  <c r="D408" i="20"/>
  <c r="D406" i="20"/>
  <c r="D399" i="20"/>
  <c r="D397" i="20"/>
  <c r="D387" i="20"/>
  <c r="D381" i="20"/>
  <c r="D373" i="20"/>
  <c r="D371" i="20"/>
  <c r="D370" i="20"/>
  <c r="D364" i="20"/>
  <c r="D329" i="20"/>
  <c r="D325" i="20"/>
  <c r="D322" i="20"/>
  <c r="D321" i="20"/>
  <c r="D317" i="20"/>
  <c r="D314" i="20"/>
  <c r="D311" i="20"/>
  <c r="D309" i="20"/>
  <c r="D308" i="20"/>
  <c r="D304" i="20"/>
  <c r="D303" i="20"/>
  <c r="D302" i="20"/>
  <c r="D299" i="20"/>
  <c r="D286" i="20"/>
  <c r="D280" i="20"/>
  <c r="D278" i="20"/>
  <c r="D272" i="20"/>
  <c r="D270" i="20"/>
  <c r="D269" i="20"/>
  <c r="D267" i="20"/>
  <c r="D266" i="20"/>
  <c r="D264" i="20"/>
  <c r="D259" i="20"/>
  <c r="D257" i="20"/>
  <c r="D256" i="20"/>
  <c r="D255" i="20"/>
  <c r="D253" i="20"/>
  <c r="D252" i="20"/>
  <c r="D250" i="20"/>
  <c r="D249" i="20"/>
  <c r="D247" i="20"/>
  <c r="D246" i="20"/>
  <c r="D243" i="20"/>
  <c r="D242" i="20"/>
  <c r="D236" i="20"/>
  <c r="D235" i="20"/>
  <c r="D234" i="20"/>
  <c r="D233" i="20"/>
  <c r="D227" i="20"/>
  <c r="D226" i="20"/>
  <c r="D225" i="20"/>
  <c r="D224" i="20"/>
  <c r="D223" i="20"/>
  <c r="D222" i="20"/>
  <c r="D221" i="20"/>
  <c r="D220" i="20"/>
  <c r="D219" i="20"/>
  <c r="D218" i="20"/>
  <c r="D216" i="20"/>
  <c r="D214" i="20"/>
  <c r="D213" i="20"/>
  <c r="D212" i="20"/>
  <c r="D211" i="20"/>
  <c r="D208" i="20"/>
  <c r="D207" i="20"/>
  <c r="D206" i="20"/>
  <c r="D200" i="20"/>
  <c r="D199" i="20"/>
  <c r="D198" i="20"/>
  <c r="D196" i="20"/>
  <c r="D195" i="20"/>
  <c r="D194" i="20"/>
  <c r="D193" i="20"/>
  <c r="D190" i="20"/>
  <c r="D187" i="20"/>
  <c r="D185" i="20"/>
  <c r="D184" i="20"/>
  <c r="D182" i="20"/>
  <c r="D176" i="20"/>
  <c r="D165" i="20"/>
  <c r="D164" i="20"/>
  <c r="D159" i="20"/>
  <c r="D158" i="20"/>
  <c r="D156" i="20"/>
  <c r="D153" i="20"/>
  <c r="D148" i="20"/>
  <c r="D146" i="20"/>
  <c r="D145" i="20"/>
  <c r="D144" i="20"/>
  <c r="D140" i="20"/>
  <c r="D139" i="20"/>
  <c r="D137" i="20"/>
  <c r="D135" i="20"/>
  <c r="D133" i="20"/>
  <c r="D132" i="20"/>
  <c r="D131" i="20"/>
  <c r="D129" i="20"/>
  <c r="D126" i="20"/>
  <c r="D117" i="20"/>
  <c r="D101" i="20"/>
  <c r="D98" i="20"/>
  <c r="D97" i="20"/>
  <c r="D91" i="20"/>
  <c r="D80" i="20"/>
  <c r="J4" i="18"/>
  <c r="D79" i="20"/>
  <c r="J3" i="18"/>
  <c r="D69" i="20"/>
  <c r="D67" i="20"/>
  <c r="D60" i="20"/>
  <c r="D59" i="20"/>
  <c r="D58" i="20"/>
  <c r="D50" i="20"/>
  <c r="D49" i="20"/>
  <c r="D46" i="20"/>
  <c r="D45" i="20"/>
  <c r="D41" i="20"/>
  <c r="D40" i="20"/>
  <c r="D39" i="20"/>
  <c r="D35" i="20"/>
  <c r="D34" i="20"/>
  <c r="D33" i="20"/>
  <c r="D32" i="20"/>
  <c r="D30" i="20"/>
  <c r="D28" i="20"/>
  <c r="D27" i="20"/>
  <c r="D26" i="20"/>
  <c r="D24" i="20"/>
  <c r="D19" i="20"/>
  <c r="D18" i="20"/>
  <c r="D17" i="20"/>
  <c r="D16" i="20"/>
  <c r="D13" i="20"/>
  <c r="D12" i="20"/>
  <c r="D11" i="20"/>
  <c r="D10" i="20"/>
  <c r="D9" i="20"/>
  <c r="D6" i="20"/>
  <c r="D3" i="20"/>
  <c r="I10" i="18"/>
  <c r="H10" i="18"/>
  <c r="G10" i="18"/>
  <c r="F10" i="18"/>
  <c r="E10" i="18"/>
  <c r="H4" i="18"/>
  <c r="H5" i="18"/>
  <c r="H7" i="18"/>
  <c r="H9" i="18"/>
  <c r="H11" i="18"/>
  <c r="H12" i="18"/>
  <c r="H13" i="18"/>
  <c r="H14" i="18"/>
  <c r="H15" i="18"/>
  <c r="H16" i="18"/>
  <c r="H17" i="18"/>
  <c r="H18" i="18"/>
  <c r="H19" i="18"/>
  <c r="H20" i="18"/>
  <c r="H21" i="18"/>
  <c r="H3" i="18"/>
  <c r="I3" i="18"/>
  <c r="E573" i="17"/>
  <c r="E589" i="17"/>
  <c r="E591" i="17"/>
  <c r="E595" i="17"/>
  <c r="E582" i="17"/>
  <c r="E580" i="17"/>
  <c r="E581" i="17"/>
  <c r="F11" i="18"/>
  <c r="C3" i="18"/>
  <c r="C7" i="18"/>
  <c r="C11" i="18"/>
  <c r="C9" i="18"/>
  <c r="C10" i="18"/>
  <c r="D578" i="17"/>
  <c r="D598" i="17"/>
  <c r="E20" i="18"/>
  <c r="C22" i="18"/>
  <c r="E24" i="18"/>
  <c r="G4" i="18"/>
  <c r="G13" i="18"/>
  <c r="M3" i="18"/>
  <c r="M5" i="18"/>
  <c r="I9" i="18"/>
  <c r="I11" i="18"/>
  <c r="I12" i="18"/>
  <c r="I5" i="18"/>
  <c r="I7" i="18"/>
  <c r="M10" i="18"/>
  <c r="K12" i="18"/>
  <c r="M13" i="18"/>
  <c r="K15" i="18"/>
  <c r="K16" i="18"/>
  <c r="M16" i="18"/>
  <c r="M17" i="18"/>
  <c r="K19" i="18"/>
  <c r="M19" i="18"/>
  <c r="M22" i="18"/>
  <c r="K24" i="18"/>
  <c r="M24" i="18"/>
  <c r="J10" i="18"/>
  <c r="J9" i="18"/>
  <c r="J7" i="18"/>
  <c r="G12" i="18"/>
  <c r="G19" i="18"/>
  <c r="E19" i="18"/>
  <c r="C12" i="18"/>
  <c r="F12" i="18"/>
  <c r="F19" i="18"/>
  <c r="E579" i="17"/>
  <c r="E584" i="17"/>
  <c r="E583" i="17"/>
  <c r="E574" i="17"/>
  <c r="E598" i="17"/>
  <c r="E575" i="17"/>
  <c r="E576" i="17"/>
  <c r="E577" i="17"/>
  <c r="E578" i="17"/>
  <c r="E585" i="17"/>
  <c r="E586" i="17"/>
  <c r="E587" i="17"/>
  <c r="E588" i="17"/>
  <c r="E590" i="17"/>
  <c r="E592" i="17"/>
  <c r="E593" i="17"/>
  <c r="E594" i="17"/>
  <c r="E596" i="17"/>
  <c r="E597" i="17"/>
  <c r="E599" i="17"/>
  <c r="E600" i="17"/>
  <c r="E572" i="17"/>
  <c r="D589" i="17"/>
  <c r="D591" i="17"/>
  <c r="D592" i="17"/>
  <c r="D593" i="17"/>
  <c r="D594" i="17"/>
  <c r="D595" i="17"/>
  <c r="D597" i="17"/>
  <c r="D599" i="17"/>
  <c r="D600" i="17"/>
  <c r="C573" i="17"/>
  <c r="C574" i="17"/>
  <c r="C575" i="17"/>
  <c r="C576" i="17"/>
  <c r="C577" i="17"/>
  <c r="C578" i="17"/>
  <c r="C579" i="17"/>
  <c r="C580" i="17"/>
  <c r="C581" i="17"/>
  <c r="C582" i="17"/>
  <c r="C583" i="17"/>
  <c r="C584" i="17"/>
  <c r="C585" i="17"/>
  <c r="C586" i="17"/>
  <c r="C587" i="17"/>
  <c r="C588" i="17"/>
  <c r="C589" i="17"/>
  <c r="C590" i="17"/>
  <c r="C591" i="17"/>
  <c r="C592" i="17"/>
  <c r="C593" i="17"/>
  <c r="C594" i="17"/>
  <c r="C595" i="17"/>
  <c r="C596" i="17"/>
  <c r="C597" i="17"/>
  <c r="C598" i="17"/>
  <c r="C599" i="17"/>
  <c r="C600" i="17"/>
  <c r="C572" i="17"/>
  <c r="E572" i="16"/>
  <c r="E573" i="16"/>
  <c r="E580" i="16"/>
  <c r="E590" i="16"/>
  <c r="E591" i="16"/>
  <c r="E593" i="16"/>
  <c r="E594" i="16"/>
  <c r="E595" i="16"/>
  <c r="E596" i="16"/>
  <c r="E597" i="16"/>
  <c r="E598" i="16"/>
  <c r="E600" i="16"/>
  <c r="E601" i="16"/>
  <c r="K533" i="16"/>
  <c r="K534" i="16"/>
  <c r="K535" i="16"/>
  <c r="K560" i="16"/>
  <c r="K561" i="16"/>
  <c r="K562" i="16"/>
  <c r="K563" i="16"/>
  <c r="K564" i="16"/>
  <c r="K565" i="16"/>
  <c r="K566" i="16"/>
  <c r="K567" i="16"/>
  <c r="G576" i="17"/>
  <c r="G577" i="17"/>
  <c r="D580" i="16"/>
  <c r="G589" i="17"/>
  <c r="G590" i="17"/>
  <c r="G591" i="17"/>
  <c r="G592" i="17"/>
  <c r="G593" i="17"/>
  <c r="G594" i="17"/>
  <c r="G595" i="17"/>
  <c r="G596" i="17"/>
  <c r="G597" i="17"/>
  <c r="G599" i="17"/>
  <c r="G600" i="17"/>
  <c r="E568" i="16"/>
  <c r="G572" i="17"/>
  <c r="E569" i="16"/>
  <c r="G573" i="17"/>
  <c r="D570" i="16"/>
  <c r="G574" i="17"/>
  <c r="E571" i="16"/>
  <c r="G575" i="17"/>
  <c r="D574" i="16"/>
  <c r="D575" i="16"/>
  <c r="E576" i="16"/>
  <c r="D576" i="16"/>
  <c r="D577" i="16"/>
  <c r="E578" i="16"/>
  <c r="G578" i="17"/>
  <c r="E579" i="16"/>
  <c r="G579" i="17"/>
  <c r="E581" i="16"/>
  <c r="G580" i="17"/>
  <c r="H581" i="17"/>
  <c r="G581" i="17"/>
  <c r="D583" i="16"/>
  <c r="G582" i="17"/>
  <c r="E584" i="16"/>
  <c r="G583" i="17"/>
  <c r="E585" i="16"/>
  <c r="G584" i="17"/>
  <c r="E586" i="16"/>
  <c r="D586" i="16"/>
  <c r="G585" i="17"/>
  <c r="D587" i="16"/>
  <c r="G586" i="17"/>
  <c r="E588" i="16"/>
  <c r="G587" i="17"/>
  <c r="E589" i="16"/>
  <c r="G588" i="17"/>
  <c r="H598" i="17"/>
  <c r="G598" i="17"/>
  <c r="D586" i="17"/>
  <c r="D581" i="17"/>
  <c r="D580" i="17"/>
  <c r="D576" i="17"/>
  <c r="D572" i="17"/>
  <c r="K541" i="16"/>
  <c r="K401" i="16"/>
  <c r="K405" i="16"/>
  <c r="K406" i="16"/>
  <c r="K407" i="16"/>
  <c r="K409" i="16"/>
  <c r="K410" i="16"/>
  <c r="K411" i="16"/>
  <c r="K412" i="16"/>
  <c r="K414" i="16"/>
  <c r="K415" i="16"/>
  <c r="K417" i="16"/>
  <c r="K418" i="16"/>
  <c r="K419" i="16"/>
  <c r="K420" i="16"/>
  <c r="K556" i="16"/>
  <c r="K421" i="16"/>
  <c r="K422" i="16"/>
  <c r="K423" i="16"/>
  <c r="K424" i="16"/>
  <c r="K425" i="16"/>
  <c r="K426" i="16"/>
  <c r="K427" i="16"/>
  <c r="K428" i="16"/>
  <c r="K430" i="16"/>
  <c r="K431" i="16"/>
  <c r="K557" i="16"/>
  <c r="K434" i="16"/>
  <c r="K436" i="16"/>
  <c r="K437" i="16"/>
  <c r="K438" i="16"/>
  <c r="K439" i="16"/>
  <c r="K440" i="16"/>
  <c r="K441" i="16"/>
  <c r="K443" i="16"/>
  <c r="K501" i="16"/>
  <c r="K502" i="16"/>
  <c r="K503" i="16"/>
  <c r="K504" i="16"/>
  <c r="K505" i="16"/>
  <c r="K506" i="16"/>
  <c r="K526" i="16"/>
  <c r="K171" i="16"/>
  <c r="K173" i="16"/>
  <c r="K174" i="16"/>
  <c r="K175" i="16"/>
  <c r="K176" i="16"/>
  <c r="K182" i="16"/>
  <c r="K183" i="16"/>
  <c r="K193" i="16"/>
  <c r="K194" i="16"/>
  <c r="K195" i="16"/>
  <c r="K197" i="16"/>
  <c r="K198" i="16"/>
  <c r="K199" i="16"/>
  <c r="K200" i="16"/>
  <c r="K204" i="16"/>
  <c r="K205" i="16"/>
  <c r="K207" i="16"/>
  <c r="K208" i="16"/>
  <c r="K209" i="16"/>
  <c r="K210" i="16"/>
  <c r="K211" i="16"/>
  <c r="K8" i="16"/>
  <c r="K9" i="16"/>
  <c r="K213" i="16"/>
  <c r="K215" i="16"/>
  <c r="K217" i="16"/>
  <c r="K218" i="16"/>
  <c r="K10" i="16"/>
  <c r="K220" i="16"/>
  <c r="K221" i="16"/>
  <c r="K222" i="16"/>
  <c r="K226" i="16"/>
  <c r="K228" i="16"/>
  <c r="K229" i="16"/>
  <c r="K230" i="16"/>
  <c r="K234" i="16"/>
  <c r="K236" i="16"/>
  <c r="K237" i="16"/>
  <c r="K238" i="16"/>
  <c r="K240" i="16"/>
  <c r="K241" i="16"/>
  <c r="K245" i="16"/>
  <c r="K246" i="16"/>
  <c r="K247" i="16"/>
  <c r="K249" i="16"/>
  <c r="K250" i="16"/>
  <c r="K251" i="16"/>
  <c r="K252" i="16"/>
  <c r="K253" i="16"/>
  <c r="K254" i="16"/>
  <c r="K255" i="16"/>
  <c r="K545" i="16"/>
  <c r="K547" i="16"/>
  <c r="K256" i="16"/>
  <c r="K257" i="16"/>
  <c r="K259" i="16"/>
  <c r="K260" i="16"/>
  <c r="K261" i="16"/>
  <c r="K262" i="16"/>
  <c r="K516" i="16"/>
  <c r="K521" i="16"/>
  <c r="K331" i="16"/>
  <c r="K332" i="16"/>
  <c r="K333" i="16"/>
  <c r="K334" i="16"/>
  <c r="K531" i="16"/>
  <c r="K532" i="16"/>
  <c r="K559" i="16"/>
  <c r="K21" i="16"/>
  <c r="K25" i="16"/>
  <c r="K27" i="16"/>
  <c r="K28" i="16"/>
  <c r="K30" i="16"/>
  <c r="K42" i="16"/>
  <c r="K47" i="16"/>
  <c r="K48" i="16"/>
  <c r="K54" i="16"/>
  <c r="K67" i="16"/>
  <c r="K167" i="16"/>
  <c r="K168" i="16"/>
  <c r="K169" i="16"/>
  <c r="K170" i="16"/>
  <c r="K172" i="16"/>
  <c r="K177" i="16"/>
  <c r="K178" i="16"/>
  <c r="K179" i="16"/>
  <c r="K180" i="16"/>
  <c r="K181" i="16"/>
  <c r="K184" i="16"/>
  <c r="K7" i="16"/>
  <c r="K185" i="16"/>
  <c r="K186" i="16"/>
  <c r="K187" i="16"/>
  <c r="K188" i="16"/>
  <c r="K189" i="16"/>
  <c r="K190" i="16"/>
  <c r="K191" i="16"/>
  <c r="K192" i="16"/>
  <c r="K196" i="16"/>
  <c r="K201" i="16"/>
  <c r="K542" i="16"/>
  <c r="K202" i="16"/>
  <c r="K203" i="16"/>
  <c r="K206" i="16"/>
  <c r="K212" i="16"/>
  <c r="K214" i="16"/>
  <c r="K216" i="16"/>
  <c r="K219" i="16"/>
  <c r="K223" i="16"/>
  <c r="K224" i="16"/>
  <c r="K225" i="16"/>
  <c r="K227" i="16"/>
  <c r="K231" i="16"/>
  <c r="K232" i="16"/>
  <c r="K233" i="16"/>
  <c r="K235" i="16"/>
  <c r="K239" i="16"/>
  <c r="K242" i="16"/>
  <c r="K244" i="16"/>
  <c r="K248" i="16"/>
  <c r="K543" i="16"/>
  <c r="K11" i="16"/>
  <c r="K544" i="16"/>
  <c r="K546" i="16"/>
  <c r="K548" i="16"/>
  <c r="K549" i="16"/>
  <c r="K550" i="16"/>
  <c r="K258" i="16"/>
  <c r="K551" i="16"/>
  <c r="K552" i="16"/>
  <c r="K491" i="16"/>
  <c r="K58" i="16"/>
  <c r="K60" i="16"/>
  <c r="K61" i="16"/>
  <c r="K62" i="16"/>
  <c r="K63" i="16"/>
  <c r="K64" i="16"/>
  <c r="K65" i="16"/>
  <c r="K70" i="16"/>
  <c r="K71" i="16"/>
  <c r="K73" i="16"/>
  <c r="K77" i="16"/>
  <c r="K484" i="16"/>
  <c r="K273" i="16"/>
  <c r="K275" i="16"/>
  <c r="K283" i="16"/>
  <c r="K289" i="16"/>
  <c r="K295" i="16"/>
  <c r="K306" i="16"/>
  <c r="K307" i="16"/>
  <c r="K316" i="16"/>
  <c r="K318" i="16"/>
  <c r="K321" i="16"/>
  <c r="K322" i="16"/>
  <c r="K323" i="16"/>
  <c r="K324" i="16"/>
  <c r="K325" i="16"/>
  <c r="K326" i="16"/>
  <c r="K327" i="16"/>
  <c r="K328" i="16"/>
  <c r="K329" i="16"/>
  <c r="K330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530" i="16"/>
  <c r="K536" i="16"/>
  <c r="K12" i="16"/>
  <c r="K13" i="16"/>
  <c r="K14" i="16"/>
  <c r="K15" i="16"/>
  <c r="K16" i="16"/>
  <c r="K17" i="16"/>
  <c r="K18" i="16"/>
  <c r="K19" i="16"/>
  <c r="K20" i="16"/>
  <c r="K22" i="16"/>
  <c r="K23" i="16"/>
  <c r="K24" i="16"/>
  <c r="K26" i="16"/>
  <c r="K29" i="16"/>
  <c r="K31" i="16"/>
  <c r="K32" i="16"/>
  <c r="K33" i="16"/>
  <c r="K34" i="16"/>
  <c r="K35" i="16"/>
  <c r="K36" i="16"/>
  <c r="K37" i="16"/>
  <c r="K38" i="16"/>
  <c r="K39" i="16"/>
  <c r="K537" i="16"/>
  <c r="K40" i="16"/>
  <c r="K41" i="16"/>
  <c r="K538" i="16"/>
  <c r="K43" i="16"/>
  <c r="K44" i="16"/>
  <c r="K45" i="16"/>
  <c r="K46" i="16"/>
  <c r="K539" i="16"/>
  <c r="K49" i="16"/>
  <c r="K50" i="16"/>
  <c r="K51" i="16"/>
  <c r="K52" i="16"/>
  <c r="K53" i="16"/>
  <c r="K55" i="16"/>
  <c r="K56" i="16"/>
  <c r="K57" i="16"/>
  <c r="K59" i="16"/>
  <c r="K66" i="16"/>
  <c r="K68" i="16"/>
  <c r="K69" i="16"/>
  <c r="K72" i="16"/>
  <c r="K74" i="16"/>
  <c r="K75" i="16"/>
  <c r="K76" i="16"/>
  <c r="K78" i="16"/>
  <c r="K485" i="16"/>
  <c r="K486" i="16"/>
  <c r="K508" i="16"/>
  <c r="K554" i="16"/>
  <c r="K524" i="16"/>
  <c r="K79" i="16"/>
  <c r="K80" i="16"/>
  <c r="K85" i="16"/>
  <c r="K89" i="16"/>
  <c r="K90" i="16"/>
  <c r="K92" i="16"/>
  <c r="K93" i="16"/>
  <c r="K94" i="16"/>
  <c r="K95" i="16"/>
  <c r="K96" i="16"/>
  <c r="K99" i="16"/>
  <c r="K103" i="16"/>
  <c r="K107" i="16"/>
  <c r="K110" i="16"/>
  <c r="K111" i="16"/>
  <c r="K112" i="16"/>
  <c r="K113" i="16"/>
  <c r="K115" i="16"/>
  <c r="K117" i="16"/>
  <c r="K118" i="16"/>
  <c r="K488" i="16"/>
  <c r="K364" i="16"/>
  <c r="K365" i="16"/>
  <c r="K367" i="16"/>
  <c r="K373" i="16"/>
  <c r="K374" i="16"/>
  <c r="K375" i="16"/>
  <c r="K376" i="16"/>
  <c r="K377" i="16"/>
  <c r="K380" i="16"/>
  <c r="K381" i="16"/>
  <c r="K387" i="16"/>
  <c r="K389" i="16"/>
  <c r="K390" i="16"/>
  <c r="K391" i="16"/>
  <c r="K392" i="16"/>
  <c r="K394" i="16"/>
  <c r="K396" i="16"/>
  <c r="K399" i="16"/>
  <c r="K498" i="16"/>
  <c r="K500" i="16"/>
  <c r="K513" i="16"/>
  <c r="K100" i="16"/>
  <c r="K101" i="16"/>
  <c r="K104" i="16"/>
  <c r="K487" i="16"/>
  <c r="K402" i="16"/>
  <c r="K403" i="16"/>
  <c r="K404" i="16"/>
  <c r="K408" i="16"/>
  <c r="K429" i="16"/>
  <c r="K433" i="16"/>
  <c r="K442" i="16"/>
  <c r="K522" i="16"/>
  <c r="K444" i="16"/>
  <c r="K445" i="16"/>
  <c r="K448" i="16"/>
  <c r="K449" i="16"/>
  <c r="K452" i="16"/>
  <c r="K453" i="16"/>
  <c r="K458" i="16"/>
  <c r="K459" i="16"/>
  <c r="K469" i="16"/>
  <c r="K470" i="16"/>
  <c r="K474" i="16"/>
  <c r="K475" i="16"/>
  <c r="K476" i="16"/>
  <c r="K478" i="16"/>
  <c r="K479" i="16"/>
  <c r="K525" i="16"/>
  <c r="K528" i="16"/>
  <c r="K473" i="16"/>
  <c r="K263" i="16"/>
  <c r="K264" i="16"/>
  <c r="K266" i="16"/>
  <c r="K268" i="16"/>
  <c r="K269" i="16"/>
  <c r="K270" i="16"/>
  <c r="K271" i="16"/>
  <c r="K274" i="16"/>
  <c r="K276" i="16"/>
  <c r="K277" i="16"/>
  <c r="K278" i="16"/>
  <c r="K279" i="16"/>
  <c r="K286" i="16"/>
  <c r="K287" i="16"/>
  <c r="K288" i="16"/>
  <c r="K553" i="16"/>
  <c r="K291" i="16"/>
  <c r="K296" i="16"/>
  <c r="K298" i="16"/>
  <c r="K301" i="16"/>
  <c r="K302" i="16"/>
  <c r="K303" i="16"/>
  <c r="K304" i="16"/>
  <c r="K305" i="16"/>
  <c r="K310" i="16"/>
  <c r="K313" i="16"/>
  <c r="K317" i="16"/>
  <c r="K320" i="16"/>
  <c r="K517" i="16"/>
  <c r="K514" i="16"/>
  <c r="K363" i="16"/>
  <c r="K366" i="16"/>
  <c r="K368" i="16"/>
  <c r="K369" i="16"/>
  <c r="K370" i="16"/>
  <c r="K371" i="16"/>
  <c r="K372" i="16"/>
  <c r="K378" i="16"/>
  <c r="K379" i="16"/>
  <c r="K382" i="16"/>
  <c r="K383" i="16"/>
  <c r="K384" i="16"/>
  <c r="K385" i="16"/>
  <c r="K386" i="16"/>
  <c r="K388" i="16"/>
  <c r="K393" i="16"/>
  <c r="K395" i="16"/>
  <c r="K397" i="16"/>
  <c r="K398" i="16"/>
  <c r="K400" i="16"/>
  <c r="K495" i="16"/>
  <c r="K496" i="16"/>
  <c r="K497" i="16"/>
  <c r="K499" i="16"/>
  <c r="K446" i="16"/>
  <c r="K447" i="16"/>
  <c r="K558" i="16"/>
  <c r="K450" i="16"/>
  <c r="K451" i="16"/>
  <c r="K454" i="16"/>
  <c r="K455" i="16"/>
  <c r="K456" i="16"/>
  <c r="K457" i="16"/>
  <c r="K460" i="16"/>
  <c r="K461" i="16"/>
  <c r="K462" i="16"/>
  <c r="K463" i="16"/>
  <c r="K464" i="16"/>
  <c r="K465" i="16"/>
  <c r="K466" i="16"/>
  <c r="K467" i="16"/>
  <c r="K468" i="16"/>
  <c r="K471" i="16"/>
  <c r="K472" i="16"/>
  <c r="K477" i="16"/>
  <c r="K480" i="16"/>
  <c r="K481" i="16"/>
  <c r="K482" i="16"/>
  <c r="K483" i="16"/>
  <c r="K507" i="16"/>
  <c r="K519" i="16"/>
  <c r="K3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4" i="16"/>
  <c r="K135" i="16"/>
  <c r="K136" i="16"/>
  <c r="K137" i="16"/>
  <c r="K138" i="16"/>
  <c r="K139" i="16"/>
  <c r="K5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6" i="16"/>
  <c r="K157" i="16"/>
  <c r="K158" i="16"/>
  <c r="K540" i="16"/>
  <c r="K159" i="16"/>
  <c r="K160" i="16"/>
  <c r="K161" i="16"/>
  <c r="K162" i="16"/>
  <c r="K163" i="16"/>
  <c r="K164" i="16"/>
  <c r="K165" i="16"/>
  <c r="K166" i="16"/>
  <c r="K489" i="16"/>
  <c r="K490" i="16"/>
  <c r="K512" i="16"/>
  <c r="K515" i="16"/>
  <c r="K523" i="16"/>
  <c r="K243" i="16"/>
  <c r="K527" i="16"/>
  <c r="K529" i="16"/>
  <c r="K267" i="16"/>
  <c r="K280" i="16"/>
  <c r="K281" i="16"/>
  <c r="K282" i="16"/>
  <c r="K299" i="16"/>
  <c r="K300" i="16"/>
  <c r="K312" i="16"/>
  <c r="K493" i="16"/>
  <c r="K494" i="16"/>
  <c r="K81" i="16"/>
  <c r="K82" i="16"/>
  <c r="K83" i="16"/>
  <c r="K84" i="16"/>
  <c r="K86" i="16"/>
  <c r="K87" i="16"/>
  <c r="K88" i="16"/>
  <c r="K91" i="16"/>
  <c r="K97" i="16"/>
  <c r="K98" i="16"/>
  <c r="K102" i="16"/>
  <c r="K105" i="16"/>
  <c r="K106" i="16"/>
  <c r="K108" i="16"/>
  <c r="K109" i="16"/>
  <c r="K114" i="16"/>
  <c r="K116" i="16"/>
  <c r="K509" i="16"/>
  <c r="K510" i="16"/>
  <c r="K511" i="16"/>
  <c r="K520" i="16"/>
  <c r="K265" i="16"/>
  <c r="K272" i="16"/>
  <c r="K284" i="16"/>
  <c r="K285" i="16"/>
  <c r="K290" i="16"/>
  <c r="K292" i="16"/>
  <c r="K293" i="16"/>
  <c r="K294" i="16"/>
  <c r="K297" i="16"/>
  <c r="K308" i="16"/>
  <c r="K309" i="16"/>
  <c r="K311" i="16"/>
  <c r="K314" i="16"/>
  <c r="K315" i="16"/>
  <c r="K319" i="16"/>
  <c r="K492" i="16"/>
  <c r="K518" i="16"/>
  <c r="K555" i="16"/>
  <c r="K413" i="16"/>
  <c r="K416" i="16"/>
  <c r="K432" i="16"/>
  <c r="K435" i="16"/>
  <c r="D585" i="16"/>
  <c r="D569" i="16"/>
  <c r="D578" i="16"/>
  <c r="H586" i="17"/>
  <c r="H588" i="17"/>
  <c r="H584" i="17"/>
  <c r="D582" i="16"/>
  <c r="H579" i="17"/>
  <c r="H573" i="17"/>
  <c r="H585" i="17"/>
  <c r="H575" i="17"/>
  <c r="D571" i="16"/>
  <c r="D579" i="16"/>
  <c r="D599" i="16"/>
  <c r="H574" i="17"/>
  <c r="H587" i="17"/>
  <c r="D589" i="16"/>
  <c r="D581" i="16"/>
  <c r="H580" i="17"/>
  <c r="D568" i="16"/>
  <c r="H572" i="17"/>
  <c r="H582" i="17"/>
  <c r="D588" i="16"/>
  <c r="D584" i="16"/>
  <c r="H583" i="17"/>
  <c r="D597" i="16"/>
  <c r="D593" i="16"/>
  <c r="D573" i="16"/>
  <c r="H596" i="17"/>
  <c r="H592" i="17"/>
  <c r="H576" i="17"/>
  <c r="D592" i="16"/>
  <c r="D596" i="16"/>
  <c r="D591" i="16"/>
  <c r="D572" i="16"/>
  <c r="H600" i="17"/>
  <c r="H595" i="17"/>
  <c r="H590" i="17"/>
  <c r="D595" i="16"/>
  <c r="D590" i="16"/>
  <c r="D601" i="16"/>
  <c r="H599" i="17"/>
  <c r="H594" i="17"/>
  <c r="H589" i="17"/>
  <c r="D598" i="16"/>
  <c r="D594" i="16"/>
  <c r="D600" i="16"/>
  <c r="H597" i="17"/>
  <c r="H593" i="17"/>
  <c r="H577" i="17"/>
  <c r="H578" i="17"/>
  <c r="E592" i="16"/>
  <c r="H591" i="17"/>
  <c r="E599" i="16"/>
  <c r="E587" i="16"/>
  <c r="E583" i="16"/>
  <c r="E575" i="16"/>
  <c r="E582" i="16"/>
  <c r="E574" i="16"/>
  <c r="E570" i="16"/>
  <c r="E577" i="16"/>
  <c r="G24" i="18"/>
  <c r="K23" i="18"/>
  <c r="F23" i="18"/>
  <c r="C23" i="18"/>
  <c r="E21" i="18"/>
  <c r="G20" i="18"/>
  <c r="F24" i="18"/>
  <c r="C24" i="18"/>
  <c r="E22" i="18"/>
  <c r="G21" i="18"/>
  <c r="F20" i="18"/>
  <c r="C20" i="18"/>
  <c r="E23" i="18"/>
  <c r="G22" i="18"/>
  <c r="K21" i="18"/>
  <c r="F21" i="18"/>
  <c r="C21" i="18"/>
  <c r="G23" i="18"/>
  <c r="F22" i="18"/>
  <c r="C19" i="18"/>
  <c r="F13" i="18"/>
  <c r="C4" i="18"/>
  <c r="C13" i="18"/>
  <c r="F17" i="18"/>
  <c r="C16" i="18"/>
  <c r="E12" i="18"/>
  <c r="G16" i="18"/>
  <c r="F16" i="18"/>
  <c r="E16" i="18"/>
  <c r="E3" i="18"/>
  <c r="E9" i="18"/>
  <c r="C17" i="18"/>
  <c r="G17" i="18"/>
  <c r="C15" i="18"/>
  <c r="E11" i="18"/>
  <c r="F4" i="18"/>
  <c r="G15" i="18"/>
  <c r="I4" i="18"/>
  <c r="F15" i="18"/>
  <c r="G3" i="18"/>
  <c r="G9" i="18"/>
  <c r="F3" i="18"/>
  <c r="E15" i="18"/>
  <c r="F9" i="18"/>
  <c r="G11" i="18"/>
  <c r="E18" i="18"/>
  <c r="C14" i="18"/>
  <c r="C5" i="18"/>
  <c r="F18" i="18"/>
  <c r="G18" i="18"/>
  <c r="C18" i="18"/>
  <c r="F14" i="18"/>
  <c r="F7" i="18"/>
  <c r="F5" i="18"/>
  <c r="E14" i="18"/>
  <c r="E7" i="18"/>
  <c r="G14" i="18"/>
  <c r="K14" i="18"/>
  <c r="K17" i="18"/>
  <c r="K13" i="18"/>
  <c r="G5" i="18"/>
  <c r="G7" i="18"/>
  <c r="G31" i="18"/>
  <c r="M21" i="18"/>
  <c r="M18" i="18"/>
  <c r="L19" i="18"/>
  <c r="L15" i="18"/>
  <c r="M9" i="18"/>
  <c r="L23" i="18"/>
  <c r="L6" i="18"/>
  <c r="K18" i="18"/>
  <c r="K8" i="18"/>
  <c r="M12" i="18"/>
  <c r="M7" i="18"/>
  <c r="K22" i="18"/>
  <c r="K10" i="18"/>
  <c r="K9" i="18"/>
  <c r="K20" i="18"/>
  <c r="M11" i="18"/>
  <c r="K11" i="18"/>
  <c r="K7" i="18"/>
  <c r="M23" i="18" l="1"/>
  <c r="L4" i="18"/>
  <c r="M14" i="18"/>
  <c r="M15" i="18"/>
  <c r="H31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  <author>Windows User</author>
    <author>Phumt</author>
  </authors>
  <commentList>
    <comment ref="J50" authorId="0" shapeId="0" xr:uid="{F8802769-5084-4B34-84F7-828542F8B07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Cắt máy 2025</t>
        </r>
      </text>
    </comment>
    <comment ref="B144" authorId="1" shapeId="0" xr:uid="{2C135D03-288B-412D-87E7-4B84AFC323EF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dời, udpate tọa độ mới</t>
        </r>
      </text>
    </comment>
    <comment ref="B383" authorId="1" shapeId="0" xr:uid="{835E2644-F715-492C-9E3D-C5A75AF4C42F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Upate vị trí di dời mới</t>
        </r>
      </text>
    </comment>
    <comment ref="B467" authorId="1" shapeId="0" xr:uid="{6DA094F2-A4C6-4664-93A2-2DD584A94950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doi update tọa độ mới</t>
        </r>
      </text>
    </comment>
    <comment ref="B558" authorId="1" shapeId="0" xr:uid="{49ECBAF5-A4A0-4609-A7D5-C77492923F76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Update vi tri di doi moi</t>
        </r>
      </text>
    </comment>
    <comment ref="J572" authorId="0" shapeId="0" xr:uid="{45412F25-E2E3-42B5-8E2B-D1DE252D7A4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căt T10</t>
        </r>
      </text>
    </comment>
    <comment ref="J575" authorId="0" shapeId="0" xr:uid="{847A680D-D0B5-4A64-90DC-037216C898B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căt T10</t>
        </r>
      </text>
    </comment>
    <comment ref="B634" authorId="1" shapeId="0" xr:uid="{CB5AA387-8C02-4D3F-892A-B8A45B4F6514}">
      <text>
        <r>
          <rPr>
            <b/>
            <sz val="9"/>
            <color indexed="81"/>
            <rFont val="Tahoma"/>
            <family val="2"/>
          </rPr>
          <t>Phumt: update vi tri moi roi</t>
        </r>
      </text>
    </comment>
    <comment ref="AB677" authorId="2" shapeId="0" xr:uid="{EEFDE186-79C3-4F40-A4C6-2C89E2971F6D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Kiểm tra lại mã, đổi mã cho đúng NK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B128" authorId="0" shapeId="0" xr:uid="{25670A61-7CD8-4456-9861-81CF5788B139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dời, udpate tọa độ mới</t>
        </r>
      </text>
    </comment>
    <comment ref="B315" authorId="0" shapeId="0" xr:uid="{240C55D1-2DD6-464E-A44B-0A99AA4693B2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Upate vị trí di dời mới</t>
        </r>
      </text>
    </comment>
    <comment ref="B393" authorId="0" shapeId="0" xr:uid="{3BB4F62B-C388-4684-B99F-7CE505A3D97E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doi update tọa độ mới</t>
        </r>
      </text>
    </comment>
    <comment ref="B461" authorId="0" shapeId="0" xr:uid="{070F337D-F289-44E0-9473-C818F9910D14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Update vi tri di doi moi</t>
        </r>
      </text>
    </comment>
    <comment ref="B527" authorId="0" shapeId="0" xr:uid="{22638E8A-730B-4FD0-B480-BBA5A3153CAC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Còn vị trí VNPT cũ</t>
        </r>
      </text>
    </comment>
  </commentList>
</comments>
</file>

<file path=xl/sharedStrings.xml><?xml version="1.0" encoding="utf-8"?>
<sst xmlns="http://schemas.openxmlformats.org/spreadsheetml/2006/main" count="25831" uniqueCount="3323">
  <si>
    <t>STT</t>
  </si>
  <si>
    <t>ID TRẠM</t>
  </si>
  <si>
    <t>CTNK67</t>
  </si>
  <si>
    <t>Mai Tấn Đạt</t>
  </si>
  <si>
    <t>CTBT33</t>
  </si>
  <si>
    <t>CTCR23</t>
  </si>
  <si>
    <t>Nguyễn Văn Tám</t>
  </si>
  <si>
    <t>CTTN12</t>
  </si>
  <si>
    <t>Đặng Tân Thịnh</t>
  </si>
  <si>
    <t>CTCD01</t>
  </si>
  <si>
    <t>CTNK07</t>
  </si>
  <si>
    <t>CTNK19</t>
  </si>
  <si>
    <t>CTNK21</t>
  </si>
  <si>
    <t>CTNK36</t>
  </si>
  <si>
    <t>CTNK38</t>
  </si>
  <si>
    <t>CTNK44</t>
  </si>
  <si>
    <t>CTNK45</t>
  </si>
  <si>
    <t>CTNK46</t>
  </si>
  <si>
    <t>CTNK69</t>
  </si>
  <si>
    <t>CTNK71</t>
  </si>
  <si>
    <t>CTNK72</t>
  </si>
  <si>
    <t>CTNK73</t>
  </si>
  <si>
    <t>CTNK78</t>
  </si>
  <si>
    <t>CTNK79</t>
  </si>
  <si>
    <t>CTNK25</t>
  </si>
  <si>
    <t>CTNK26</t>
  </si>
  <si>
    <t>CTNK65</t>
  </si>
  <si>
    <t>CTNK76</t>
  </si>
  <si>
    <t>CTBT11</t>
  </si>
  <si>
    <t>CTBT15</t>
  </si>
  <si>
    <t>CTBT18</t>
  </si>
  <si>
    <t>CTBT20</t>
  </si>
  <si>
    <t>CTBT34</t>
  </si>
  <si>
    <t>CTBT39</t>
  </si>
  <si>
    <t>CTBT41</t>
  </si>
  <si>
    <t>CTNK88</t>
  </si>
  <si>
    <t>CTNK93</t>
  </si>
  <si>
    <t>CTBT01</t>
  </si>
  <si>
    <t>CTBT02</t>
  </si>
  <si>
    <t>CTBT03</t>
  </si>
  <si>
    <t>CTBT04</t>
  </si>
  <si>
    <t>CTBT05</t>
  </si>
  <si>
    <t>CTBT08</t>
  </si>
  <si>
    <t>CTBT09</t>
  </si>
  <si>
    <t>CTBT10</t>
  </si>
  <si>
    <t>CTBT14</t>
  </si>
  <si>
    <t>CTBT16</t>
  </si>
  <si>
    <t>CTBT17</t>
  </si>
  <si>
    <t>CTBT19</t>
  </si>
  <si>
    <t>CTBT27</t>
  </si>
  <si>
    <t>CTBT28</t>
  </si>
  <si>
    <t>CTBT30</t>
  </si>
  <si>
    <t>CTBT31</t>
  </si>
  <si>
    <t>CTBT32</t>
  </si>
  <si>
    <t>CTBT35</t>
  </si>
  <si>
    <t>CTBT36</t>
  </si>
  <si>
    <t>CTBT37</t>
  </si>
  <si>
    <t>CTBT38</t>
  </si>
  <si>
    <t>CTBT40</t>
  </si>
  <si>
    <t>CTBT42</t>
  </si>
  <si>
    <t>CTBT44</t>
  </si>
  <si>
    <t>CTBT45</t>
  </si>
  <si>
    <t>CTBT47</t>
  </si>
  <si>
    <t>CTNK02</t>
  </si>
  <si>
    <t>CTNK03</t>
  </si>
  <si>
    <t>CTNK05</t>
  </si>
  <si>
    <t>CTNK12</t>
  </si>
  <si>
    <t>CTNK15</t>
  </si>
  <si>
    <t>CTNK16</t>
  </si>
  <si>
    <t>CTNK22</t>
  </si>
  <si>
    <t>CTNK23</t>
  </si>
  <si>
    <t>CTNK24</t>
  </si>
  <si>
    <t>CTNK27</t>
  </si>
  <si>
    <t>CTNK37</t>
  </si>
  <si>
    <t>CTNK40</t>
  </si>
  <si>
    <t>CTNK43</t>
  </si>
  <si>
    <t>CTNK49</t>
  </si>
  <si>
    <t>CTNK55</t>
  </si>
  <si>
    <t>CTNK63</t>
  </si>
  <si>
    <t>CTNK70</t>
  </si>
  <si>
    <t>CTCR18</t>
  </si>
  <si>
    <t>CTCR19</t>
  </si>
  <si>
    <t>CTCR20</t>
  </si>
  <si>
    <t>CTCR31</t>
  </si>
  <si>
    <t>CTNK01</t>
  </si>
  <si>
    <t>CTNK13</t>
  </si>
  <si>
    <t>CTNK28</t>
  </si>
  <si>
    <t>CTNK39</t>
  </si>
  <si>
    <t>CTNK64</t>
  </si>
  <si>
    <t>CTCR33</t>
  </si>
  <si>
    <t>CTNK04</t>
  </si>
  <si>
    <t>CTNK06</t>
  </si>
  <si>
    <t>CTNK08</t>
  </si>
  <si>
    <t>CTNK09</t>
  </si>
  <si>
    <t>CTNK10</t>
  </si>
  <si>
    <t>CTNK14</t>
  </si>
  <si>
    <t>CTNK17</t>
  </si>
  <si>
    <t>CTNK18</t>
  </si>
  <si>
    <t>CTNK20</t>
  </si>
  <si>
    <t>CTNK31</t>
  </si>
  <si>
    <t>CTNK32</t>
  </si>
  <si>
    <t>CTNK34</t>
  </si>
  <si>
    <t>CTNK35</t>
  </si>
  <si>
    <t>CTNK53</t>
  </si>
  <si>
    <t>CTNK56</t>
  </si>
  <si>
    <t>CTNK57</t>
  </si>
  <si>
    <t>CTNK59</t>
  </si>
  <si>
    <t>CTNK61</t>
  </si>
  <si>
    <t>CTNK62</t>
  </si>
  <si>
    <t>CTNK68</t>
  </si>
  <si>
    <t>CTNK74</t>
  </si>
  <si>
    <t>CTNK75</t>
  </si>
  <si>
    <t>CTNK80</t>
  </si>
  <si>
    <t>CTNK81</t>
  </si>
  <si>
    <t>CTNK82</t>
  </si>
  <si>
    <t>CTNK84</t>
  </si>
  <si>
    <t>CTNK86</t>
  </si>
  <si>
    <t>CTNK30</t>
  </si>
  <si>
    <t>CTNK33</t>
  </si>
  <si>
    <t>CTNK51</t>
  </si>
  <si>
    <t>CTNK83</t>
  </si>
  <si>
    <t>CTNK52</t>
  </si>
  <si>
    <t>CTBT29</t>
  </si>
  <si>
    <t>CTCR07</t>
  </si>
  <si>
    <t>CTNK29</t>
  </si>
  <si>
    <t>CTNK42</t>
  </si>
  <si>
    <t>CTNK60</t>
  </si>
  <si>
    <t>CTCR02</t>
  </si>
  <si>
    <t>CTCR06</t>
  </si>
  <si>
    <t>CTCR26</t>
  </si>
  <si>
    <t>CTCR34</t>
  </si>
  <si>
    <t>CTNK11</t>
  </si>
  <si>
    <t>CTNK66</t>
  </si>
  <si>
    <t>CTNK77</t>
  </si>
  <si>
    <t>CTNK50</t>
  </si>
  <si>
    <t>CTNK54</t>
  </si>
  <si>
    <t>CTNK85</t>
  </si>
  <si>
    <t>CTNK89</t>
  </si>
  <si>
    <t>CTNK90</t>
  </si>
  <si>
    <t>CTNK91</t>
  </si>
  <si>
    <t>CTNK92</t>
  </si>
  <si>
    <t>CTBT06</t>
  </si>
  <si>
    <t>CTBT07</t>
  </si>
  <si>
    <t>CTBT12</t>
  </si>
  <si>
    <t>CTBT13</t>
  </si>
  <si>
    <t>CTBT21</t>
  </si>
  <si>
    <t>CTBT23</t>
  </si>
  <si>
    <t>CTBT24</t>
  </si>
  <si>
    <t>CTBT26</t>
  </si>
  <si>
    <t>CTBT22</t>
  </si>
  <si>
    <t>CTBT25</t>
  </si>
  <si>
    <t>CTBT43</t>
  </si>
  <si>
    <t>CTBT46</t>
  </si>
  <si>
    <t>CTPD03</t>
  </si>
  <si>
    <t>CTPD04</t>
  </si>
  <si>
    <t>CTPD05</t>
  </si>
  <si>
    <t>CTPD09</t>
  </si>
  <si>
    <t>CTPD10</t>
  </si>
  <si>
    <t>CTPD17</t>
  </si>
  <si>
    <t>CTNK41</t>
  </si>
  <si>
    <t>CTNK47</t>
  </si>
  <si>
    <t>CTNK48</t>
  </si>
  <si>
    <t>CTNK87</t>
  </si>
  <si>
    <t>CTPD29</t>
  </si>
  <si>
    <t>CTPD30</t>
  </si>
  <si>
    <t>CTPD01</t>
  </si>
  <si>
    <t>CTPD02</t>
  </si>
  <si>
    <t>CTPD06</t>
  </si>
  <si>
    <t>CTPD07</t>
  </si>
  <si>
    <t>CTPD08</t>
  </si>
  <si>
    <t>CTPD11</t>
  </si>
  <si>
    <t>CTPD12</t>
  </si>
  <si>
    <t>CTPD13</t>
  </si>
  <si>
    <t>CTPD14</t>
  </si>
  <si>
    <t>CTPD15</t>
  </si>
  <si>
    <t>CTPD16</t>
  </si>
  <si>
    <t>CTPD18</t>
  </si>
  <si>
    <t>CTPD19</t>
  </si>
  <si>
    <t>CTPD20</t>
  </si>
  <si>
    <t>CTPD21</t>
  </si>
  <si>
    <t>CTPD22</t>
  </si>
  <si>
    <t>CTPD23</t>
  </si>
  <si>
    <t>CTPD24</t>
  </si>
  <si>
    <t>CTPD25</t>
  </si>
  <si>
    <t>CTPD26</t>
  </si>
  <si>
    <t>CTPD27</t>
  </si>
  <si>
    <t>CTPD28</t>
  </si>
  <si>
    <t>CTCR01</t>
  </si>
  <si>
    <t>CTCR03</t>
  </si>
  <si>
    <t>CTCR04</t>
  </si>
  <si>
    <t>CTCR05</t>
  </si>
  <si>
    <t>CTCR08</t>
  </si>
  <si>
    <t>CTCR09</t>
  </si>
  <si>
    <t>CTCR10</t>
  </si>
  <si>
    <t>CTCR11</t>
  </si>
  <si>
    <t>CTCR12</t>
  </si>
  <si>
    <t>CTCR13</t>
  </si>
  <si>
    <t>CTCR14</t>
  </si>
  <si>
    <t>CTCR15</t>
  </si>
  <si>
    <t>CTCR16</t>
  </si>
  <si>
    <t>CTCR17</t>
  </si>
  <si>
    <t>CTCR21</t>
  </si>
  <si>
    <t>CTCR22</t>
  </si>
  <si>
    <t>CTCR24</t>
  </si>
  <si>
    <t>CTCR25</t>
  </si>
  <si>
    <t>CTCR27</t>
  </si>
  <si>
    <t>CTCR28</t>
  </si>
  <si>
    <t>CTCR29</t>
  </si>
  <si>
    <t>CTCR30</t>
  </si>
  <si>
    <t>CTCR32</t>
  </si>
  <si>
    <t>CTCR35</t>
  </si>
  <si>
    <t>CTCR36</t>
  </si>
  <si>
    <t>CTCR37</t>
  </si>
  <si>
    <t>Nguyễn Công Thắng</t>
  </si>
  <si>
    <t>Trần Minh Nhựt</t>
  </si>
  <si>
    <t>Mai Tấn Tài</t>
  </si>
  <si>
    <t>CTCD02</t>
  </si>
  <si>
    <t>CTCD03</t>
  </si>
  <si>
    <t>CTCD04</t>
  </si>
  <si>
    <t>CTCD05</t>
  </si>
  <si>
    <t>CTCD06</t>
  </si>
  <si>
    <t>CTCD07</t>
  </si>
  <si>
    <t>CTCD08</t>
  </si>
  <si>
    <t>CTCD09</t>
  </si>
  <si>
    <t>CTCD10</t>
  </si>
  <si>
    <t>CTCD11</t>
  </si>
  <si>
    <t>CTCD12</t>
  </si>
  <si>
    <t>CTCD13</t>
  </si>
  <si>
    <t>CTCD15</t>
  </si>
  <si>
    <t>CTCD16</t>
  </si>
  <si>
    <t>CTCD17</t>
  </si>
  <si>
    <t>CTCD18</t>
  </si>
  <si>
    <t>CTCD19</t>
  </si>
  <si>
    <t>CTCD20</t>
  </si>
  <si>
    <t>CTCD21</t>
  </si>
  <si>
    <t>CTCD22</t>
  </si>
  <si>
    <t>CTCD23</t>
  </si>
  <si>
    <t>CTCD24</t>
  </si>
  <si>
    <t>CTCD25</t>
  </si>
  <si>
    <t>CTTL01</t>
  </si>
  <si>
    <t>CTTL02</t>
  </si>
  <si>
    <t>CTTL03</t>
  </si>
  <si>
    <t>CTTL04</t>
  </si>
  <si>
    <t>CTTL05</t>
  </si>
  <si>
    <t>CTTL06</t>
  </si>
  <si>
    <t>CTTL07</t>
  </si>
  <si>
    <t>CTTL08</t>
  </si>
  <si>
    <t>CTTL09</t>
  </si>
  <si>
    <t>CTTL10</t>
  </si>
  <si>
    <t>CTTL11</t>
  </si>
  <si>
    <t>CTTL12</t>
  </si>
  <si>
    <t>CTTL13</t>
  </si>
  <si>
    <t>CTTL14</t>
  </si>
  <si>
    <t>CTTL15</t>
  </si>
  <si>
    <t>CTTL16</t>
  </si>
  <si>
    <t>CTTL17</t>
  </si>
  <si>
    <t>CTTL18</t>
  </si>
  <si>
    <t>CTTL19</t>
  </si>
  <si>
    <t>CTTL20</t>
  </si>
  <si>
    <t>CTTL21</t>
  </si>
  <si>
    <t>CTTL22</t>
  </si>
  <si>
    <t>CTTL23</t>
  </si>
  <si>
    <t>CTTL24</t>
  </si>
  <si>
    <t>CTTN01</t>
  </si>
  <si>
    <t>CTTN02</t>
  </si>
  <si>
    <t>CTTN03</t>
  </si>
  <si>
    <t>CTTN04</t>
  </si>
  <si>
    <t>CTTN05</t>
  </si>
  <si>
    <t>CTTN06</t>
  </si>
  <si>
    <t>CTTN07</t>
  </si>
  <si>
    <t>CTTN08</t>
  </si>
  <si>
    <t>CTTN09</t>
  </si>
  <si>
    <t>CTTN10</t>
  </si>
  <si>
    <t>CTTN11</t>
  </si>
  <si>
    <t>CTTN13</t>
  </si>
  <si>
    <t>CTTN14</t>
  </si>
  <si>
    <t>CTTN15</t>
  </si>
  <si>
    <t>CTTN16</t>
  </si>
  <si>
    <t>CTTN17</t>
  </si>
  <si>
    <t>CTTN18</t>
  </si>
  <si>
    <t>CTTN19</t>
  </si>
  <si>
    <t>CTTN20</t>
  </si>
  <si>
    <t>CTTN21</t>
  </si>
  <si>
    <t>CTTN22</t>
  </si>
  <si>
    <t>CTTN23</t>
  </si>
  <si>
    <t>CTTN24</t>
  </si>
  <si>
    <t>CTTN25</t>
  </si>
  <si>
    <t>CTTN26</t>
  </si>
  <si>
    <t>CTTN27</t>
  </si>
  <si>
    <t>CTTN28</t>
  </si>
  <si>
    <t>CTVT01</t>
  </si>
  <si>
    <t>CTVT02</t>
  </si>
  <si>
    <t>CTVT03</t>
  </si>
  <si>
    <t>CTVT04</t>
  </si>
  <si>
    <t>CTVT05</t>
  </si>
  <si>
    <t>CTVT06</t>
  </si>
  <si>
    <t>CTVT07</t>
  </si>
  <si>
    <t>CTVT08</t>
  </si>
  <si>
    <t>CTVT09</t>
  </si>
  <si>
    <t>CTVT10</t>
  </si>
  <si>
    <t>CTVT11</t>
  </si>
  <si>
    <t>CTVT12</t>
  </si>
  <si>
    <t>CTVT13</t>
  </si>
  <si>
    <t>CTVT14</t>
  </si>
  <si>
    <t>CTVT15</t>
  </si>
  <si>
    <t>CTVT16</t>
  </si>
  <si>
    <t>CTVT17</t>
  </si>
  <si>
    <t>CTVT18</t>
  </si>
  <si>
    <t>CTVT19</t>
  </si>
  <si>
    <t>CTVT20</t>
  </si>
  <si>
    <t>CTVT21</t>
  </si>
  <si>
    <t>CTVT22</t>
  </si>
  <si>
    <t>CTVT23</t>
  </si>
  <si>
    <t>CTVT24</t>
  </si>
  <si>
    <t>CTVT25</t>
  </si>
  <si>
    <t>CTVT26</t>
  </si>
  <si>
    <t>CTVT31</t>
  </si>
  <si>
    <t>CTVT32</t>
  </si>
  <si>
    <t>CTVT33</t>
  </si>
  <si>
    <t>CTVT27</t>
  </si>
  <si>
    <t>CTVT29</t>
  </si>
  <si>
    <t>CTVT30</t>
  </si>
  <si>
    <t>CTVT34</t>
  </si>
  <si>
    <t>CTVT28</t>
  </si>
  <si>
    <t>CTTN29</t>
  </si>
  <si>
    <t>CTCD33</t>
  </si>
  <si>
    <t>CTTN33</t>
  </si>
  <si>
    <t>CTTN31</t>
  </si>
  <si>
    <t>CTCD32</t>
  </si>
  <si>
    <t>CTTL26</t>
  </si>
  <si>
    <t>CTTL25</t>
  </si>
  <si>
    <t>CTTL27</t>
  </si>
  <si>
    <t>CTTL29</t>
  </si>
  <si>
    <t>CTCD30</t>
  </si>
  <si>
    <t>CTCD26</t>
  </si>
  <si>
    <t>CTCD27</t>
  </si>
  <si>
    <t>CTCD28</t>
  </si>
  <si>
    <t>CTCD31</t>
  </si>
  <si>
    <t>CTTN30</t>
  </si>
  <si>
    <t>Trần Văn Sáng</t>
  </si>
  <si>
    <t>Nguyễn Minh Sơn</t>
  </si>
  <si>
    <t>Nguyễn Văn Khởi</t>
  </si>
  <si>
    <t>Hồ Hải</t>
  </si>
  <si>
    <t>Trần Anh Tướng</t>
  </si>
  <si>
    <t>CTOM10</t>
  </si>
  <si>
    <t>CTOM28</t>
  </si>
  <si>
    <t>CTOM30</t>
  </si>
  <si>
    <t>CTOM02</t>
  </si>
  <si>
    <t>CTOM04</t>
  </si>
  <si>
    <t>CTOM06</t>
  </si>
  <si>
    <t>CTOM08</t>
  </si>
  <si>
    <t>CTOM09</t>
  </si>
  <si>
    <t>CTOM01</t>
  </si>
  <si>
    <t>CTOM18</t>
  </si>
  <si>
    <t>CTOM05</t>
  </si>
  <si>
    <t>CTOM23</t>
  </si>
  <si>
    <t>CTOM15</t>
  </si>
  <si>
    <t>CTOM24</t>
  </si>
  <si>
    <t>CTOM14</t>
  </si>
  <si>
    <t>CTOM13</t>
  </si>
  <si>
    <t>CTOM17</t>
  </si>
  <si>
    <t>CTOM25</t>
  </si>
  <si>
    <t>CTOM26</t>
  </si>
  <si>
    <t>CTOM07</t>
  </si>
  <si>
    <t>CTOM22</t>
  </si>
  <si>
    <t>CTOM31</t>
  </si>
  <si>
    <t>CTOM03</t>
  </si>
  <si>
    <t>CTOM29</t>
  </si>
  <si>
    <t>CTOM19</t>
  </si>
  <si>
    <t>CTOM20</t>
  </si>
  <si>
    <t>CTOM12</t>
  </si>
  <si>
    <t>CTOM16</t>
  </si>
  <si>
    <t>CTOM11</t>
  </si>
  <si>
    <t>CTOM27</t>
  </si>
  <si>
    <t>CTOM33</t>
  </si>
  <si>
    <t>CTOM34</t>
  </si>
  <si>
    <t>CTOM32</t>
  </si>
  <si>
    <t>CTNK58</t>
  </si>
  <si>
    <t>CTTN34</t>
  </si>
  <si>
    <t>CTTL28</t>
  </si>
  <si>
    <t>Huỳnh Hữu Phước</t>
  </si>
  <si>
    <t>CTTL30</t>
  </si>
  <si>
    <t>CTTL31</t>
  </si>
  <si>
    <t>CTNK94</t>
  </si>
  <si>
    <t>CTNK95</t>
  </si>
  <si>
    <t>CTCR38</t>
  </si>
  <si>
    <t>CTTL32</t>
  </si>
  <si>
    <t>CTVT35</t>
  </si>
  <si>
    <t>CTCR39</t>
  </si>
  <si>
    <t>CTTN32</t>
  </si>
  <si>
    <t>CTNK97</t>
  </si>
  <si>
    <t>CTNK98</t>
  </si>
  <si>
    <t>CTOM21</t>
  </si>
  <si>
    <t>Nguyễn Minh Hùng</t>
  </si>
  <si>
    <t>Bạch Kiên Nhẫn</t>
  </si>
  <si>
    <t>CTTN35</t>
  </si>
  <si>
    <t>0907505123</t>
  </si>
  <si>
    <t>0939211119</t>
  </si>
  <si>
    <t>Lê Soni</t>
  </si>
  <si>
    <t>0939101512</t>
  </si>
  <si>
    <t>0939746117</t>
  </si>
  <si>
    <t>0907635335</t>
  </si>
  <si>
    <t>0932951159</t>
  </si>
  <si>
    <t>0932988844</t>
  </si>
  <si>
    <t>0907703434</t>
  </si>
  <si>
    <t>0902656797</t>
  </si>
  <si>
    <t>0939188171</t>
  </si>
  <si>
    <t>Nguyễn Thanh Tình</t>
  </si>
  <si>
    <t>0939944649</t>
  </si>
  <si>
    <t>CTTN38</t>
  </si>
  <si>
    <t>CTOM36</t>
  </si>
  <si>
    <t>CTOM35</t>
  </si>
  <si>
    <t>CTCD14</t>
  </si>
  <si>
    <t>CTTN36</t>
  </si>
  <si>
    <t>CTTN37</t>
  </si>
  <si>
    <t>Nguyễn văn Công</t>
  </si>
  <si>
    <t>0907006051</t>
  </si>
  <si>
    <t>CTVT36</t>
  </si>
  <si>
    <t>CTPD31</t>
  </si>
  <si>
    <t>0932861329</t>
  </si>
  <si>
    <t>CTOM37</t>
  </si>
  <si>
    <t>CTBT48</t>
  </si>
  <si>
    <t>CTBT49</t>
  </si>
  <si>
    <t>CTCR40</t>
  </si>
  <si>
    <t>CTNK96</t>
  </si>
  <si>
    <t>Nguyễn Khắc Huy</t>
  </si>
  <si>
    <t>0907738592</t>
  </si>
  <si>
    <t>0939085566</t>
  </si>
  <si>
    <t>0907503168</t>
  </si>
  <si>
    <t>0901051510</t>
  </si>
  <si>
    <t>0939291725</t>
  </si>
  <si>
    <t>0939122257</t>
  </si>
  <si>
    <t>0939284814</t>
  </si>
  <si>
    <t>0939113359</t>
  </si>
  <si>
    <t>ĐT1</t>
  </si>
  <si>
    <t>ĐT2</t>
  </si>
  <si>
    <t>0939409949</t>
  </si>
  <si>
    <t>Nhân Viên VHKT</t>
  </si>
  <si>
    <t>CTNK99</t>
  </si>
  <si>
    <t>0907757913</t>
  </si>
  <si>
    <t>CTCR41</t>
  </si>
  <si>
    <t>CTNKA5</t>
  </si>
  <si>
    <t>CTBT54</t>
  </si>
  <si>
    <t>CTOM39</t>
  </si>
  <si>
    <t>CTOM40</t>
  </si>
  <si>
    <t>CTOM41</t>
  </si>
  <si>
    <t>CTOM42</t>
  </si>
  <si>
    <t>CTCR42</t>
  </si>
  <si>
    <t>CTBT50</t>
  </si>
  <si>
    <t>CTNKA0</t>
  </si>
  <si>
    <t>CTNKA4</t>
  </si>
  <si>
    <t>CTNKA8</t>
  </si>
  <si>
    <t>CTCR43</t>
  </si>
  <si>
    <t>CTBT53</t>
  </si>
  <si>
    <t>CTBT51</t>
  </si>
  <si>
    <t>CTCR48</t>
  </si>
  <si>
    <t>CTCR45</t>
  </si>
  <si>
    <t>CTCR46</t>
  </si>
  <si>
    <t>CTCR47</t>
  </si>
  <si>
    <t>CTBT56</t>
  </si>
  <si>
    <t>CTBT57</t>
  </si>
  <si>
    <t>CTBT58</t>
  </si>
  <si>
    <t>CTBT59</t>
  </si>
  <si>
    <t>CTBT60</t>
  </si>
  <si>
    <t>CTNKA7</t>
  </si>
  <si>
    <t>CTNKB4</t>
  </si>
  <si>
    <t>CTNKB3</t>
  </si>
  <si>
    <t>CTBT61</t>
  </si>
  <si>
    <t>CTBT62</t>
  </si>
  <si>
    <t>CTBT66</t>
  </si>
  <si>
    <t>CTBT67</t>
  </si>
  <si>
    <t>CTNKB9</t>
  </si>
  <si>
    <t>CTNKB5</t>
  </si>
  <si>
    <t>CTNKB6</t>
  </si>
  <si>
    <t>CTOM51</t>
  </si>
  <si>
    <t>CTOM43</t>
  </si>
  <si>
    <t>CTOM44</t>
  </si>
  <si>
    <t>CTOM48</t>
  </si>
  <si>
    <t>CTOM50</t>
  </si>
  <si>
    <t>CTPD35</t>
  </si>
  <si>
    <t>CTPD33</t>
  </si>
  <si>
    <t>CTTN39</t>
  </si>
  <si>
    <t>CTVT39</t>
  </si>
  <si>
    <t>CTBT68</t>
  </si>
  <si>
    <t>CTNKB7</t>
  </si>
  <si>
    <t>CTOM45</t>
  </si>
  <si>
    <t>CTPD32</t>
  </si>
  <si>
    <t>CTPD36</t>
  </si>
  <si>
    <t>CTPD37</t>
  </si>
  <si>
    <t>CTPD40</t>
  </si>
  <si>
    <t>CTTL33</t>
  </si>
  <si>
    <t>CTTN40</t>
  </si>
  <si>
    <t>CTTN41</t>
  </si>
  <si>
    <t>CTTN49</t>
  </si>
  <si>
    <t>CTVT37</t>
  </si>
  <si>
    <t>CTVT38</t>
  </si>
  <si>
    <t>CTCD35</t>
  </si>
  <si>
    <t>CTCD36</t>
  </si>
  <si>
    <t>CTOM55</t>
  </si>
  <si>
    <t>CTPD38</t>
  </si>
  <si>
    <t>CTPD34</t>
  </si>
  <si>
    <t>CTTL34</t>
  </si>
  <si>
    <t>CTTL39</t>
  </si>
  <si>
    <t>CTTL40</t>
  </si>
  <si>
    <t>CTOM52</t>
  </si>
  <si>
    <t>CTBT72</t>
  </si>
  <si>
    <t>CTBT73</t>
  </si>
  <si>
    <t>CTBT74</t>
  </si>
  <si>
    <t>CTTN47</t>
  </si>
  <si>
    <t>CTTN51</t>
  </si>
  <si>
    <t>CTOM47</t>
  </si>
  <si>
    <t>CTOM57</t>
  </si>
  <si>
    <t>CTOM61</t>
  </si>
  <si>
    <t>CTOM63</t>
  </si>
  <si>
    <t>CTTN52</t>
  </si>
  <si>
    <t>CTBT75</t>
  </si>
  <si>
    <t>CTCD41</t>
  </si>
  <si>
    <t>CTCD38</t>
  </si>
  <si>
    <t>CTCD39</t>
  </si>
  <si>
    <t>CTCD40</t>
  </si>
  <si>
    <t>CTCD42</t>
  </si>
  <si>
    <t>CTTL41</t>
  </si>
  <si>
    <t>CTCR50</t>
  </si>
  <si>
    <t>CTCR52</t>
  </si>
  <si>
    <t>CTCR51</t>
  </si>
  <si>
    <t>CTOM60</t>
  </si>
  <si>
    <t>CTOM56</t>
  </si>
  <si>
    <t>CTOM62</t>
  </si>
  <si>
    <t>CTPD42</t>
  </si>
  <si>
    <t>CTPD41</t>
  </si>
  <si>
    <t>CTTL42</t>
  </si>
  <si>
    <t>CTVT41</t>
  </si>
  <si>
    <t>CTVT40</t>
  </si>
  <si>
    <t>CTBT70</t>
  </si>
  <si>
    <t>CTBT71</t>
  </si>
  <si>
    <t>CTBT63</t>
  </si>
  <si>
    <t>CTCR49</t>
  </si>
  <si>
    <t>CTOM54</t>
  </si>
  <si>
    <t>CTOM46</t>
  </si>
  <si>
    <t>CTOM49</t>
  </si>
  <si>
    <t>CTBT64</t>
  </si>
  <si>
    <t>CTBT69</t>
  </si>
  <si>
    <t>CTCD34</t>
  </si>
  <si>
    <t>CTOM53</t>
  </si>
  <si>
    <t>CTPD39</t>
  </si>
  <si>
    <t>CTTN42</t>
  </si>
  <si>
    <t>CTNKA3</t>
  </si>
  <si>
    <t>CTNKA1</t>
  </si>
  <si>
    <t>CTTL43</t>
  </si>
  <si>
    <t>CTTN53</t>
  </si>
  <si>
    <t>CTTN54</t>
  </si>
  <si>
    <t>CTTN55</t>
  </si>
  <si>
    <t>CTTN56</t>
  </si>
  <si>
    <t>CTTN57</t>
  </si>
  <si>
    <t>CTCD43</t>
  </si>
  <si>
    <t>CTTL44</t>
  </si>
  <si>
    <t>CTTL47</t>
  </si>
  <si>
    <t>CTTL48</t>
  </si>
  <si>
    <t>CTOM65</t>
  </si>
  <si>
    <t>CTOM64</t>
  </si>
  <si>
    <t>CTTL46</t>
  </si>
  <si>
    <t>CTBT76</t>
  </si>
  <si>
    <t>CTBT77</t>
  </si>
  <si>
    <t>CTBT78</t>
  </si>
  <si>
    <t>CTCD44</t>
  </si>
  <si>
    <t>CTCR53</t>
  </si>
  <si>
    <t>CTCR54</t>
  </si>
  <si>
    <t>CTNKD0</t>
  </si>
  <si>
    <t>CTOM66</t>
  </si>
  <si>
    <t>CTTL45</t>
  </si>
  <si>
    <t>CTTN58</t>
  </si>
  <si>
    <t>CTVT42</t>
  </si>
  <si>
    <t>CTBT79</t>
  </si>
  <si>
    <t>CTCD45</t>
  </si>
  <si>
    <t>CTCD46</t>
  </si>
  <si>
    <t>CTCD47</t>
  </si>
  <si>
    <t>CTCR55</t>
  </si>
  <si>
    <t>CTTL49</t>
  </si>
  <si>
    <t>CTOM69</t>
  </si>
  <si>
    <t>CTCR56</t>
  </si>
  <si>
    <t>CTNKD2</t>
  </si>
  <si>
    <t>CTOM67</t>
  </si>
  <si>
    <t>CTOM68</t>
  </si>
  <si>
    <t>CTVT43</t>
  </si>
  <si>
    <t>CTCD48</t>
  </si>
  <si>
    <t>CTNKD3</t>
  </si>
  <si>
    <t>CTTN59</t>
  </si>
  <si>
    <t>CTCR57</t>
  </si>
  <si>
    <t>CTNKA2</t>
  </si>
  <si>
    <t>Long</t>
  </si>
  <si>
    <t>Lat</t>
  </si>
  <si>
    <t>CTCR44</t>
  </si>
  <si>
    <t>CTBT80</t>
  </si>
  <si>
    <t>CTTN60</t>
  </si>
  <si>
    <t>CTTN61</t>
  </si>
  <si>
    <t>CTBT81</t>
  </si>
  <si>
    <t>CTCD49</t>
  </si>
  <si>
    <t>CTCR59</t>
  </si>
  <si>
    <t>CTPD44</t>
  </si>
  <si>
    <t>CTNKD4</t>
  </si>
  <si>
    <t>CTPD43</t>
  </si>
  <si>
    <t>CTNKD5</t>
  </si>
  <si>
    <t>Tên trạm</t>
  </si>
  <si>
    <t>16CTBT015</t>
  </si>
  <si>
    <t>16CTBT016</t>
  </si>
  <si>
    <t>16CTBT017</t>
  </si>
  <si>
    <t>16CTBT021</t>
  </si>
  <si>
    <t>16CTBT018</t>
  </si>
  <si>
    <t>16CTBT006</t>
  </si>
  <si>
    <t>16CTBT008</t>
  </si>
  <si>
    <t>16CTBT026</t>
  </si>
  <si>
    <t>16CTBT024</t>
  </si>
  <si>
    <t>16CTBT011</t>
  </si>
  <si>
    <t>16CTBT019</t>
  </si>
  <si>
    <t>16CTBT005</t>
  </si>
  <si>
    <t>16CTBT007</t>
  </si>
  <si>
    <t>16CTBT010</t>
  </si>
  <si>
    <t>16CTBT012</t>
  </si>
  <si>
    <t>16CTBT013</t>
  </si>
  <si>
    <t>16CTBT027</t>
  </si>
  <si>
    <t>16CTBT025</t>
  </si>
  <si>
    <t>16CTBT002</t>
  </si>
  <si>
    <t>16CTBT003</t>
  </si>
  <si>
    <t>16CTBT004</t>
  </si>
  <si>
    <t>17CTBT045</t>
  </si>
  <si>
    <t>CT Trung An</t>
  </si>
  <si>
    <t>CT Trung An 2</t>
  </si>
  <si>
    <t>16CTCD002</t>
  </si>
  <si>
    <t>16CTCD005</t>
  </si>
  <si>
    <t>16CTCD010</t>
  </si>
  <si>
    <t>16CTCD006</t>
  </si>
  <si>
    <t>16CTCD007</t>
  </si>
  <si>
    <t>16CTCD008</t>
  </si>
  <si>
    <t>16CTCD004</t>
  </si>
  <si>
    <t>16CTCD009</t>
  </si>
  <si>
    <t>16CTCD001</t>
  </si>
  <si>
    <t>16CTCD011</t>
  </si>
  <si>
    <t>17CTCD005</t>
  </si>
  <si>
    <t>17CTCD077</t>
  </si>
  <si>
    <t>17CTCD082</t>
  </si>
  <si>
    <t>17CTCD064</t>
  </si>
  <si>
    <t>CT IBC TTDH</t>
  </si>
  <si>
    <t>16CTCR008</t>
  </si>
  <si>
    <t>16CTCR006</t>
  </si>
  <si>
    <t>16CTCR010</t>
  </si>
  <si>
    <t>16CTCR009</t>
  </si>
  <si>
    <t>16CTCR001</t>
  </si>
  <si>
    <t>16CTCR002</t>
  </si>
  <si>
    <t>16CTCR012</t>
  </si>
  <si>
    <t>16CTCR004</t>
  </si>
  <si>
    <t>16CTCR003</t>
  </si>
  <si>
    <t>16CTCR011</t>
  </si>
  <si>
    <t>17CTCR007</t>
  </si>
  <si>
    <t>16CTCR007</t>
  </si>
  <si>
    <t>16CTCR013</t>
  </si>
  <si>
    <t>CT Quang Trung</t>
  </si>
  <si>
    <t>CT Hàn Bàng</t>
  </si>
  <si>
    <t>CT 30/4</t>
  </si>
  <si>
    <t>CT MSC</t>
  </si>
  <si>
    <t>16CTNK005</t>
  </si>
  <si>
    <t>16CTNK006</t>
  </si>
  <si>
    <t>16CTNK003</t>
  </si>
  <si>
    <t>16CTNK001</t>
  </si>
  <si>
    <t>16CTNK008</t>
  </si>
  <si>
    <t>16CTOM008</t>
  </si>
  <si>
    <t>16CTOM009</t>
  </si>
  <si>
    <t>16CTOM010</t>
  </si>
  <si>
    <t>16CTOM011</t>
  </si>
  <si>
    <t>16CTOM012</t>
  </si>
  <si>
    <t>16CTOM013</t>
  </si>
  <si>
    <t>16CTOM014</t>
  </si>
  <si>
    <t>16CTOM017</t>
  </si>
  <si>
    <t>16CTOM005</t>
  </si>
  <si>
    <t>16CTOM002</t>
  </si>
  <si>
    <t>16CTOM007</t>
  </si>
  <si>
    <t>16CTOM015</t>
  </si>
  <si>
    <t>16CTOM016</t>
  </si>
  <si>
    <t>16CTOM018</t>
  </si>
  <si>
    <t>16CTOM006</t>
  </si>
  <si>
    <t>16CTOM019</t>
  </si>
  <si>
    <t>16CTOM021</t>
  </si>
  <si>
    <t>16CTOM022</t>
  </si>
  <si>
    <t>16CTOM001</t>
  </si>
  <si>
    <t>16CTOM004</t>
  </si>
  <si>
    <t>16CTOM020</t>
  </si>
  <si>
    <t>16CTOM003</t>
  </si>
  <si>
    <t>17CTOM049</t>
  </si>
  <si>
    <t>16CTBT020</t>
  </si>
  <si>
    <t>16CTPD002</t>
  </si>
  <si>
    <t>16CTPD006</t>
  </si>
  <si>
    <t>16CTPD010</t>
  </si>
  <si>
    <t>16CTPD004</t>
  </si>
  <si>
    <t>16CTPD005</t>
  </si>
  <si>
    <t>16CTPD007</t>
  </si>
  <si>
    <t>16CTPD008</t>
  </si>
  <si>
    <t>16CTPD003</t>
  </si>
  <si>
    <t>16CTPD011</t>
  </si>
  <si>
    <t>16CTPD009</t>
  </si>
  <si>
    <t>16CTPD001</t>
  </si>
  <si>
    <t>16CTTL002</t>
  </si>
  <si>
    <t>16CTTL001</t>
  </si>
  <si>
    <t>16CTTL010</t>
  </si>
  <si>
    <t>16CTTL011</t>
  </si>
  <si>
    <t>16CTCD013</t>
  </si>
  <si>
    <t>16CTTL005</t>
  </si>
  <si>
    <t>16CTTL003</t>
  </si>
  <si>
    <t>16CTTL004</t>
  </si>
  <si>
    <t>16CTTL006</t>
  </si>
  <si>
    <t>16CTTL007</t>
  </si>
  <si>
    <t>16CTTL008</t>
  </si>
  <si>
    <t>16CTTL009</t>
  </si>
  <si>
    <t>17CTTL036</t>
  </si>
  <si>
    <t>16CTTN008</t>
  </si>
  <si>
    <t>16CTTN002</t>
  </si>
  <si>
    <t>16CTTN003</t>
  </si>
  <si>
    <t>16CTTN004</t>
  </si>
  <si>
    <t>16CTTN001</t>
  </si>
  <si>
    <t>16CTTN013</t>
  </si>
  <si>
    <t>16CTTN015</t>
  </si>
  <si>
    <t>16CTBT022</t>
  </si>
  <si>
    <t>16CTTN005</t>
  </si>
  <si>
    <t>16CTTN006</t>
  </si>
  <si>
    <t>16CTTN007</t>
  </si>
  <si>
    <t>16CTTN009</t>
  </si>
  <si>
    <t>16CTTN012</t>
  </si>
  <si>
    <t>16CTTN014</t>
  </si>
  <si>
    <t>16CTTN011</t>
  </si>
  <si>
    <t>16CTVT001</t>
  </si>
  <si>
    <t>16CTVT003</t>
  </si>
  <si>
    <t>16CTVT006</t>
  </si>
  <si>
    <t>16CTVT007</t>
  </si>
  <si>
    <t>16CTVT005</t>
  </si>
  <si>
    <t>16CTVT004</t>
  </si>
  <si>
    <t>16CTVT002</t>
  </si>
  <si>
    <t>16CTBT009</t>
  </si>
  <si>
    <t>16CTTN010</t>
  </si>
  <si>
    <t>16CTTN016</t>
  </si>
  <si>
    <t>19CTBT009</t>
  </si>
  <si>
    <t>19CTCD004</t>
  </si>
  <si>
    <t>19CTCR002</t>
  </si>
  <si>
    <t>19CTCR003</t>
  </si>
  <si>
    <t>19CTNK007</t>
  </si>
  <si>
    <t>19CTPD008</t>
  </si>
  <si>
    <t>CRAN_CTO01</t>
  </si>
  <si>
    <t>CTTL50</t>
  </si>
  <si>
    <t>19CTTL501</t>
  </si>
  <si>
    <t>CTTL51</t>
  </si>
  <si>
    <t>19CTTL502</t>
  </si>
  <si>
    <t>CTNKE5</t>
  </si>
  <si>
    <t>19CTNK005</t>
  </si>
  <si>
    <t>CTBT82</t>
  </si>
  <si>
    <t>20CTBT001</t>
  </si>
  <si>
    <t>CTCR60</t>
  </si>
  <si>
    <t>20CTCR001</t>
  </si>
  <si>
    <t>Phường/xã</t>
  </si>
  <si>
    <t>Sở Hữu</t>
  </si>
  <si>
    <t>Bình Thủy</t>
  </si>
  <si>
    <t>CT 55 - LK</t>
  </si>
  <si>
    <t>SEATH</t>
  </si>
  <si>
    <t>NHÀ DÂN</t>
  </si>
  <si>
    <t>VNPT</t>
  </si>
  <si>
    <t>MobiFone</t>
  </si>
  <si>
    <t>Quận/Huyện</t>
  </si>
  <si>
    <t>Thốt Nốt</t>
  </si>
  <si>
    <t>Không máy</t>
  </si>
  <si>
    <t>XHH</t>
  </si>
  <si>
    <t>Lê Tấn Phước</t>
  </si>
  <si>
    <t>Cái Răng</t>
  </si>
  <si>
    <t>Phong Điền</t>
  </si>
  <si>
    <t>Ninh Kiều</t>
  </si>
  <si>
    <t>Nhà dân</t>
  </si>
  <si>
    <t>TOÀN CẦU</t>
  </si>
  <si>
    <t>LAM VŨ</t>
  </si>
  <si>
    <t>Trà Nóc</t>
  </si>
  <si>
    <t>MIỀN TÂY</t>
  </si>
  <si>
    <t>Cờ Đỏ</t>
  </si>
  <si>
    <t>Đông Thắng</t>
  </si>
  <si>
    <t>Thới Lai</t>
  </si>
  <si>
    <t>QUỐC TẾ</t>
  </si>
  <si>
    <t>TEDICO</t>
  </si>
  <si>
    <t>An Bình</t>
  </si>
  <si>
    <t>Xuân Khánh</t>
  </si>
  <si>
    <t>An Hoà</t>
  </si>
  <si>
    <t>IBC Văn Lang</t>
  </si>
  <si>
    <t>IBC Itecom</t>
  </si>
  <si>
    <t>Ô Môn</t>
  </si>
  <si>
    <t>Châu Văn Liêm</t>
  </si>
  <si>
    <t>Thới An</t>
  </si>
  <si>
    <t>Trường Lạc</t>
  </si>
  <si>
    <t>Phước Thới</t>
  </si>
  <si>
    <t>TRường Lạc</t>
  </si>
  <si>
    <t>TT Phong Điền</t>
  </si>
  <si>
    <t>Nhơn Nghĩa</t>
  </si>
  <si>
    <t>TDIS</t>
  </si>
  <si>
    <t>Trường Long</t>
  </si>
  <si>
    <t>Trung Kiên</t>
  </si>
  <si>
    <t>Vĩnh Thạnh</t>
  </si>
  <si>
    <t>CSG-CTBT28</t>
  </si>
  <si>
    <t>CSG-CTCD01</t>
  </si>
  <si>
    <t>CSG-CTNK17</t>
  </si>
  <si>
    <t>CSG-CTNK35</t>
  </si>
  <si>
    <t>CSG-CTNK53</t>
  </si>
  <si>
    <t>CSG-CTOM02</t>
  </si>
  <si>
    <t>CSG-CTOM07</t>
  </si>
  <si>
    <t>CSG-CTOM11</t>
  </si>
  <si>
    <t>CSG-CTOM12</t>
  </si>
  <si>
    <t>CSG-CTOM14</t>
  </si>
  <si>
    <t>CSG-CTOM25</t>
  </si>
  <si>
    <t>CSG-CTPD01</t>
  </si>
  <si>
    <t>CSG-CTPD08</t>
  </si>
  <si>
    <t>CSG-CTPD24</t>
  </si>
  <si>
    <t>CSG-CTTN22</t>
  </si>
  <si>
    <t>CSG</t>
  </si>
  <si>
    <t>Nguyễn Hữu Út Mười</t>
  </si>
  <si>
    <t>20CTCR003</t>
  </si>
  <si>
    <t>20CTTN001</t>
  </si>
  <si>
    <t>CTVT44</t>
  </si>
  <si>
    <t>20CTVT001</t>
  </si>
  <si>
    <t>20CTPD002</t>
  </si>
  <si>
    <t>20CTTL001</t>
  </si>
  <si>
    <t>20CTTL002</t>
  </si>
  <si>
    <t>CTVT45</t>
  </si>
  <si>
    <t>20CTVT002</t>
  </si>
  <si>
    <t>20CTCR002</t>
  </si>
  <si>
    <t>CTVT46</t>
  </si>
  <si>
    <t>20CTVT003</t>
  </si>
  <si>
    <t>20CTBT002</t>
  </si>
  <si>
    <t>20CTPD001</t>
  </si>
  <si>
    <t>CTTN62</t>
  </si>
  <si>
    <t>CTCD50</t>
  </si>
  <si>
    <t>CTCR62</t>
  </si>
  <si>
    <t>CTBT83</t>
  </si>
  <si>
    <t>Thông tin cáp</t>
  </si>
  <si>
    <t>FO MobiFone</t>
  </si>
  <si>
    <t>CT An Bình</t>
  </si>
  <si>
    <t>Cần Thơ 292</t>
  </si>
  <si>
    <t>Cần Thơ 293</t>
  </si>
  <si>
    <t>CT Phong Điền 2</t>
  </si>
  <si>
    <t>Cần Thơ 249</t>
  </si>
  <si>
    <t>Cần Thơ 276</t>
  </si>
  <si>
    <t>FO Tpcoms</t>
  </si>
  <si>
    <t>Lê Hà Phước Minh</t>
  </si>
  <si>
    <t>VTT</t>
  </si>
  <si>
    <t>ND</t>
  </si>
  <si>
    <t>CTBT86</t>
  </si>
  <si>
    <t>CTCD52</t>
  </si>
  <si>
    <t>CTCD51</t>
  </si>
  <si>
    <t>CTCR65</t>
  </si>
  <si>
    <t>CTCR64</t>
  </si>
  <si>
    <t>CTPD48</t>
  </si>
  <si>
    <t>CTPD47</t>
  </si>
  <si>
    <t>CTTL55</t>
  </si>
  <si>
    <t>CTTL56</t>
  </si>
  <si>
    <t>CTTL57</t>
  </si>
  <si>
    <t>CTTL58</t>
  </si>
  <si>
    <t>CTCR63</t>
  </si>
  <si>
    <t>CTVT56</t>
  </si>
  <si>
    <t>CTVT57</t>
  </si>
  <si>
    <t>CTVT53</t>
  </si>
  <si>
    <t>CTVT54</t>
  </si>
  <si>
    <t>CTVT52</t>
  </si>
  <si>
    <t>CTVT51</t>
  </si>
  <si>
    <t>CTVT55</t>
  </si>
  <si>
    <t>CTCD53</t>
  </si>
  <si>
    <t>CTPD50</t>
  </si>
  <si>
    <t>CTNKE8</t>
  </si>
  <si>
    <t>CTCRX0</t>
  </si>
  <si>
    <t>CTNKX2</t>
  </si>
  <si>
    <t>CTNKX4</t>
  </si>
  <si>
    <t>CTNKX0</t>
  </si>
  <si>
    <t>CTNKX5</t>
  </si>
  <si>
    <t>CTNKX3</t>
  </si>
  <si>
    <t>CTNKX6</t>
  </si>
  <si>
    <t>CTOM70</t>
  </si>
  <si>
    <t>CTTN63</t>
  </si>
  <si>
    <t>CTTN65</t>
  </si>
  <si>
    <t>CTTN64</t>
  </si>
  <si>
    <t>LK</t>
  </si>
  <si>
    <t>MO</t>
  </si>
  <si>
    <t>Viettel</t>
  </si>
  <si>
    <t>Độ cao cột</t>
  </si>
  <si>
    <t>Loại cột</t>
  </si>
  <si>
    <t>Tự đứng</t>
  </si>
  <si>
    <t>IBC</t>
  </si>
  <si>
    <t>Dây co</t>
  </si>
  <si>
    <t>SITE ID</t>
  </si>
  <si>
    <t>Chiều cao  cột</t>
  </si>
  <si>
    <t>Chủ quản cột</t>
  </si>
  <si>
    <t>Loại trạm</t>
  </si>
  <si>
    <t>(2G/3G/4G/Node…)</t>
  </si>
  <si>
    <t>Bão đến cấp 8-9</t>
  </si>
  <si>
    <t>Bão đến cấp 10-11</t>
  </si>
  <si>
    <t>PA giảm tải khi bão từ cấp 12-15</t>
  </si>
  <si>
    <t>PA giảm tãi khi bão trên cấp 15</t>
  </si>
  <si>
    <t>2G/3G/4G</t>
  </si>
  <si>
    <t>2G</t>
  </si>
  <si>
    <t>MBF</t>
  </si>
  <si>
    <t>3G/4G</t>
  </si>
  <si>
    <t>4G</t>
  </si>
  <si>
    <t>2G/3G/4G/AGG</t>
  </si>
  <si>
    <t>2G/trống viba</t>
  </si>
  <si>
    <t>2G/4G trống viba</t>
  </si>
  <si>
    <t>Node TD/2G3G4G</t>
  </si>
  <si>
    <t>TD</t>
  </si>
  <si>
    <t>2G/3G/4G, AGG</t>
  </si>
  <si>
    <t>2G/4G</t>
  </si>
  <si>
    <t>2G/3G/4G, AGG, MTC, RNC</t>
  </si>
  <si>
    <t>viba</t>
  </si>
  <si>
    <t>NET2</t>
  </si>
  <si>
    <t>Boom</t>
  </si>
  <si>
    <t>IBc</t>
  </si>
  <si>
    <t>Pole</t>
  </si>
  <si>
    <t>DC</t>
  </si>
  <si>
    <t>23G/4G</t>
  </si>
  <si>
    <t>pole</t>
  </si>
  <si>
    <t>Mo</t>
  </si>
  <si>
    <t>TÊN TRẠM</t>
  </si>
  <si>
    <t>QUẬN/HUYỆN</t>
  </si>
  <si>
    <t>Đơn vị chủ quản</t>
  </si>
  <si>
    <t>ĐT liên hệ</t>
  </si>
  <si>
    <t>Nhãn hiệu MFĐ</t>
  </si>
  <si>
    <t>Công suất</t>
  </si>
  <si>
    <t>Sở hữu máy nổ</t>
  </si>
  <si>
    <t>Nhiên liệu dự phòng (lít)</t>
  </si>
  <si>
    <t>CT Bình Thủy</t>
  </si>
  <si>
    <t>TRƯỜNG LỘC</t>
  </si>
  <si>
    <t>CT Bình Thủy 2</t>
  </si>
  <si>
    <t>SAMDI - ISUZU</t>
  </si>
  <si>
    <t>CT Bình Thủy 3</t>
  </si>
  <si>
    <t>MFĐ tòa nhà</t>
  </si>
  <si>
    <t>CT Bình Thủy 4</t>
  </si>
  <si>
    <t>VIETGEN</t>
  </si>
  <si>
    <t>CT Bình Thủy 5</t>
  </si>
  <si>
    <t>GI</t>
  </si>
  <si>
    <t>Vikyno</t>
  </si>
  <si>
    <t>CT Bình Thủy 6</t>
  </si>
  <si>
    <t>0916660111; 0949899889</t>
  </si>
  <si>
    <t>nhà dân</t>
  </si>
  <si>
    <t>CT Bình Thủy 7</t>
  </si>
  <si>
    <t>CT Bình Thủy 8</t>
  </si>
  <si>
    <t>CT Bình Thủy 9</t>
  </si>
  <si>
    <t>CT Bình Thủy 10</t>
  </si>
  <si>
    <t>UCLĐ</t>
  </si>
  <si>
    <t>CT Bình Thủy 11</t>
  </si>
  <si>
    <t>CT Bình Thủy 12</t>
  </si>
  <si>
    <t>CT Bình Thủy 13</t>
  </si>
  <si>
    <t>CT Bình Thủy 14</t>
  </si>
  <si>
    <t>CT Bình Thủy 15</t>
  </si>
  <si>
    <t>CT Bình Thủy 16</t>
  </si>
  <si>
    <t>CT Bình Thủy 17</t>
  </si>
  <si>
    <t>CT Trần Quang Diệu</t>
  </si>
  <si>
    <t>CT Bình Thủy 19</t>
  </si>
  <si>
    <t>CAPO</t>
  </si>
  <si>
    <t>CT Nguyễn Văn Cừ 2</t>
  </si>
  <si>
    <t>CT Long Tuyền</t>
  </si>
  <si>
    <t>0908 909626</t>
  </si>
  <si>
    <t>CT Long Tuyền 2</t>
  </si>
  <si>
    <t>CT Long Tuyền 3</t>
  </si>
  <si>
    <t>CT Long Tuyền 4</t>
  </si>
  <si>
    <t>CT Long Tuyền 5</t>
  </si>
  <si>
    <t>CT Long Tuyền 6</t>
  </si>
  <si>
    <t>CT Trà Nóc</t>
  </si>
  <si>
    <t>CT Trà Nóc 4</t>
  </si>
  <si>
    <t>CT Mỹ Khánh 6</t>
  </si>
  <si>
    <t>CT Thới An Đông</t>
  </si>
  <si>
    <t>POWERLINK</t>
  </si>
  <si>
    <t>CT Long Hòa</t>
  </si>
  <si>
    <t>VNC55</t>
  </si>
  <si>
    <t>CT Long Hòa 2</t>
  </si>
  <si>
    <t>Cần Thơ 224</t>
  </si>
  <si>
    <t>Cần Thơ 228</t>
  </si>
  <si>
    <t>Cần Thơ 235</t>
  </si>
  <si>
    <t>Cần Thơ 238</t>
  </si>
  <si>
    <t>Cần Thơ 278</t>
  </si>
  <si>
    <t>MEKONG</t>
  </si>
  <si>
    <t>Cần Thơ 291</t>
  </si>
  <si>
    <t>Cần Thơ 326</t>
  </si>
  <si>
    <t>Cần Thơ 219</t>
  </si>
  <si>
    <t>Cần Thơ 370</t>
  </si>
  <si>
    <t>Denko</t>
  </si>
  <si>
    <t>Cần Thơ 395</t>
  </si>
  <si>
    <t>O'CEAN</t>
  </si>
  <si>
    <t>Cần Thơ 396</t>
  </si>
  <si>
    <t>Cần Thơ 401</t>
  </si>
  <si>
    <t>Cần Thơ 402</t>
  </si>
  <si>
    <t>Cần Thơ 403</t>
  </si>
  <si>
    <t>FUKA</t>
  </si>
  <si>
    <t>Cần Thơ 404</t>
  </si>
  <si>
    <t>'02923600599</t>
  </si>
  <si>
    <t>Cần Thơ 484</t>
  </si>
  <si>
    <t>Cần Thơ 482</t>
  </si>
  <si>
    <t>TATO</t>
  </si>
  <si>
    <t>Cần Thơ 494</t>
  </si>
  <si>
    <t>FG Wilson</t>
  </si>
  <si>
    <t>Cần Thơ 500</t>
  </si>
  <si>
    <t>0939 992265</t>
  </si>
  <si>
    <t>Cần Thơ 504</t>
  </si>
  <si>
    <t>0939 000009</t>
  </si>
  <si>
    <t>RedPower</t>
  </si>
  <si>
    <t>Cần Thơ 506</t>
  </si>
  <si>
    <t>0129 2393456</t>
  </si>
  <si>
    <t>0939 426648</t>
  </si>
  <si>
    <t>Kim Bình</t>
  </si>
  <si>
    <t>0945 336200</t>
  </si>
  <si>
    <t>0939 179526</t>
  </si>
  <si>
    <t>0939 426658</t>
  </si>
  <si>
    <t>Không</t>
  </si>
  <si>
    <t>không</t>
  </si>
  <si>
    <t>Cần Thơ 503</t>
  </si>
  <si>
    <t>CT Cờ Đỏ</t>
  </si>
  <si>
    <t>CT Cờ Đỏ 2</t>
  </si>
  <si>
    <t>Honda</t>
  </si>
  <si>
    <t>CT Trung Hưng</t>
  </si>
  <si>
    <t>CT Trung Thạnh</t>
  </si>
  <si>
    <t>CT Thạnh Phú</t>
  </si>
  <si>
    <t>CT Thạnh Phú 4</t>
  </si>
  <si>
    <t>CT Thuận Hưng 7</t>
  </si>
  <si>
    <t>CT NT Sông Hậu</t>
  </si>
  <si>
    <t>CT Thới Đông</t>
  </si>
  <si>
    <t>CT Thới Đông 2</t>
  </si>
  <si>
    <t>Cần Thơ 427</t>
  </si>
  <si>
    <t>Cần Thơ 474</t>
  </si>
  <si>
    <t>Cần Thơ 247</t>
  </si>
  <si>
    <t>Cần Thơ 248</t>
  </si>
  <si>
    <t>Huy Nam</t>
  </si>
  <si>
    <t>Cần Thơ 250</t>
  </si>
  <si>
    <t>Cần Thơ 297</t>
  </si>
  <si>
    <t>Cần Thơ 298</t>
  </si>
  <si>
    <t>Cần Thơ 306</t>
  </si>
  <si>
    <t>Cần Thơ 313</t>
  </si>
  <si>
    <t>Cần Thơ 317</t>
  </si>
  <si>
    <t>Cần Thơ 358</t>
  </si>
  <si>
    <t>Cần Thơ 365</t>
  </si>
  <si>
    <t>Cần Thơ 376</t>
  </si>
  <si>
    <t>Cần Thơ 377</t>
  </si>
  <si>
    <t>Cần Thơ 378</t>
  </si>
  <si>
    <t>Cần Thơ 407</t>
  </si>
  <si>
    <t>01692 625379</t>
  </si>
  <si>
    <t>Cần Thơ 428</t>
  </si>
  <si>
    <t>Cần Thơ 429</t>
  </si>
  <si>
    <t>CT Thới Lai 2</t>
  </si>
  <si>
    <t>CT Cái Răng</t>
  </si>
  <si>
    <t>SDMO</t>
  </si>
  <si>
    <t>CT Cái Răng 2</t>
  </si>
  <si>
    <t>CT Cái Răng 3</t>
  </si>
  <si>
    <t>CT Phú Thứ</t>
  </si>
  <si>
    <t>CT Cái Răng 5</t>
  </si>
  <si>
    <t>CT Lộ Vòng Cung</t>
  </si>
  <si>
    <t>CT Cái Răng 7</t>
  </si>
  <si>
    <t>CT Cái Răng 8</t>
  </si>
  <si>
    <t>CT Cái Răng 9</t>
  </si>
  <si>
    <t>CT Thường Thạnh</t>
  </si>
  <si>
    <t>CT Cái Răng 11</t>
  </si>
  <si>
    <t>CT Cái Răng 12</t>
  </si>
  <si>
    <t>CT Cái Răng 13</t>
  </si>
  <si>
    <t>CT Tân Phú</t>
  </si>
  <si>
    <t>CT Hưng Phú 1</t>
  </si>
  <si>
    <t>CT Hưng Phú 2</t>
  </si>
  <si>
    <t>093. 9000999</t>
  </si>
  <si>
    <t>CT Hưng Phú 4</t>
  </si>
  <si>
    <t>Năm Thu</t>
  </si>
  <si>
    <t>CT Hưng Phú 6</t>
  </si>
  <si>
    <t>CT Hưng Phú 7</t>
  </si>
  <si>
    <t>CT Hưng Phú 9</t>
  </si>
  <si>
    <t>Cần Thơ 230</t>
  </si>
  <si>
    <t>0292. 3912115</t>
  </si>
  <si>
    <t>Cần Thơ 232</t>
  </si>
  <si>
    <t>0292. 3914705</t>
  </si>
  <si>
    <t>Cần Thơ 233</t>
  </si>
  <si>
    <t>Cần Thơ 236</t>
  </si>
  <si>
    <t>Cần Thơ 237</t>
  </si>
  <si>
    <t>Cần Thơ 253</t>
  </si>
  <si>
    <t>Cần Thơ 280</t>
  </si>
  <si>
    <t>Cần Thơ 289</t>
  </si>
  <si>
    <t>Cần Thơ 290</t>
  </si>
  <si>
    <t>Cần Thơ 371</t>
  </si>
  <si>
    <t>Cần Thơ 372</t>
  </si>
  <si>
    <t>Cần Thơ 373</t>
  </si>
  <si>
    <t>Cần Thơ 374</t>
  </si>
  <si>
    <t>Cần Thơ 375</t>
  </si>
  <si>
    <t>Cần Thơ 408</t>
  </si>
  <si>
    <t>Cần Thơ 411</t>
  </si>
  <si>
    <t>Cần Thơ 416</t>
  </si>
  <si>
    <t>Cần Thơ 452</t>
  </si>
  <si>
    <t>0989009038; 07103 836263</t>
  </si>
  <si>
    <t>Cần Thơ 453</t>
  </si>
  <si>
    <t>Tường Việt</t>
  </si>
  <si>
    <t>Cần Thơ 483</t>
  </si>
  <si>
    <t>Cần Thơ 487</t>
  </si>
  <si>
    <t>0932 905577</t>
  </si>
  <si>
    <t>Cần Thơ 498</t>
  </si>
  <si>
    <t>0939 979797</t>
  </si>
  <si>
    <t>Cần Thơ 502</t>
  </si>
  <si>
    <t>0913 143333</t>
  </si>
  <si>
    <t>0939 589000</t>
  </si>
  <si>
    <t>0939 999970</t>
  </si>
  <si>
    <t>0905 961986</t>
  </si>
  <si>
    <t>CT Ninh Kiều 1</t>
  </si>
  <si>
    <t>CT Ninh Kiều 2</t>
  </si>
  <si>
    <t>Cần Thơ PTT</t>
  </si>
  <si>
    <t>2,923,817,429</t>
  </si>
  <si>
    <t>CT Ninh Kiều 4</t>
  </si>
  <si>
    <t>CT Ninh Kiều 5</t>
  </si>
  <si>
    <t>CT Ninh Kiều 6</t>
  </si>
  <si>
    <t>CT Ninh Kiều 7</t>
  </si>
  <si>
    <t>CT Ninh Kiều 8</t>
  </si>
  <si>
    <t>CT Hưng Lợi</t>
  </si>
  <si>
    <t>CT Ninh Kiều 10</t>
  </si>
  <si>
    <t>CT Ninh Kiều 11</t>
  </si>
  <si>
    <t>CT Ninh Kiều 12</t>
  </si>
  <si>
    <t>CT Ninh Kiều 14</t>
  </si>
  <si>
    <t>CT Ninh Kiều 15</t>
  </si>
  <si>
    <t>CT Ninh Kiều 16</t>
  </si>
  <si>
    <t>CT Ninh Kiều 17</t>
  </si>
  <si>
    <t>CT Ninh Kiều 18</t>
  </si>
  <si>
    <t>CT Ninh Kiều 19</t>
  </si>
  <si>
    <t>CT Ninh Kiều 20</t>
  </si>
  <si>
    <t>CT Ninh Kiều 21</t>
  </si>
  <si>
    <t>CT Ninh Kiều 22</t>
  </si>
  <si>
    <t>CT Ninh KIều 23</t>
  </si>
  <si>
    <t>CT Xô Viết Nghệ Tĩnh</t>
  </si>
  <si>
    <t>CT Ninh Kiều 25</t>
  </si>
  <si>
    <t>CT Cồn Khương</t>
  </si>
  <si>
    <t>CT Ninh Kiều 27</t>
  </si>
  <si>
    <t>CT Ninh Kiều 28</t>
  </si>
  <si>
    <t>Cần Thơ 229</t>
  </si>
  <si>
    <t>CT Ninh Kiều 30</t>
  </si>
  <si>
    <t>CT Phi Trường 31</t>
  </si>
  <si>
    <t>CT Mậu Thân</t>
  </si>
  <si>
    <t>CT Ninh Kiều 33</t>
  </si>
  <si>
    <t>CT Ninh Kiều 34</t>
  </si>
  <si>
    <t>CT Ninh Kiều 35</t>
  </si>
  <si>
    <t>CT Trần Việt Châu</t>
  </si>
  <si>
    <t>CT Bến Ninh Kiều</t>
  </si>
  <si>
    <t>CT Hùng Vương</t>
  </si>
  <si>
    <t>091. 8776795</t>
  </si>
  <si>
    <t>CT Phương Đông</t>
  </si>
  <si>
    <t>50KVA</t>
  </si>
  <si>
    <t>CT Nguyễn Trãi</t>
  </si>
  <si>
    <t>SBM</t>
  </si>
  <si>
    <t>CT Bệnh Viện Mới</t>
  </si>
  <si>
    <t>CT Lộ Vòng Cung 2</t>
  </si>
  <si>
    <t>CT Ngô Quyền</t>
  </si>
  <si>
    <t>CT Nguyễn Văn Cừ</t>
  </si>
  <si>
    <t>0939 350575</t>
  </si>
  <si>
    <t>CT Nguyễn Văn Cừ 3</t>
  </si>
  <si>
    <t>CT Lộ 91</t>
  </si>
  <si>
    <t>091. 3870957</t>
  </si>
  <si>
    <t>CT KDC Nam Cần Thơ</t>
  </si>
  <si>
    <t>CT Lưu Hữu Phước</t>
  </si>
  <si>
    <t>Cần Thơ 251</t>
  </si>
  <si>
    <t>Cần Thơ 252</t>
  </si>
  <si>
    <t>Cần Thơ 254</t>
  </si>
  <si>
    <t>091. 9145145</t>
  </si>
  <si>
    <t>Cần Thơ 255</t>
  </si>
  <si>
    <t>Cần Thơ 256</t>
  </si>
  <si>
    <t>Cần Thơ 257</t>
  </si>
  <si>
    <t>098. 8876505</t>
  </si>
  <si>
    <t>CT Cái Sơn</t>
  </si>
  <si>
    <t>Cần Thơ 259</t>
  </si>
  <si>
    <t>091. 3974623</t>
  </si>
  <si>
    <t>CT Mỹ Khánh 5</t>
  </si>
  <si>
    <t>Cần Thơ 261</t>
  </si>
  <si>
    <t>Cần Thơ 262</t>
  </si>
  <si>
    <t>Cần Thơ 263</t>
  </si>
  <si>
    <t>Cần Thơ 264</t>
  </si>
  <si>
    <t>Cần Thơ 265</t>
  </si>
  <si>
    <t>Cần Thơ 266</t>
  </si>
  <si>
    <t>Cần Thơ 268</t>
  </si>
  <si>
    <t xml:space="preserve"> 091. 8437643</t>
  </si>
  <si>
    <t>CT Lộ 19</t>
  </si>
  <si>
    <t>Vikino</t>
  </si>
  <si>
    <t>Cần Thơ 270</t>
  </si>
  <si>
    <t>Cần Thơ 271</t>
  </si>
  <si>
    <t>CT Cái Khế</t>
  </si>
  <si>
    <t>0292. 3821767</t>
  </si>
  <si>
    <t>CT Cái Khế 2</t>
  </si>
  <si>
    <t>CT Tầm Vu</t>
  </si>
  <si>
    <t>Cần Thơ 217</t>
  </si>
  <si>
    <t>Cần Thơ 218</t>
  </si>
  <si>
    <t>Cần Thơ 221</t>
  </si>
  <si>
    <t>Cần Thơ 227</t>
  </si>
  <si>
    <t>Cần Thơ 234</t>
  </si>
  <si>
    <t>Cần Thơ 239</t>
  </si>
  <si>
    <t>093. 9296888</t>
  </si>
  <si>
    <t>Cần Thơ 295</t>
  </si>
  <si>
    <t>Cần Thơ 380</t>
  </si>
  <si>
    <t>Cần Thơ 381</t>
  </si>
  <si>
    <t>Cần Thơ 382</t>
  </si>
  <si>
    <t>Cần Thơ 383</t>
  </si>
  <si>
    <t>Cần Thơ 410</t>
  </si>
  <si>
    <t>0908 887743</t>
  </si>
  <si>
    <t>Cần Thơ 417</t>
  </si>
  <si>
    <t>Cần Thơ 419</t>
  </si>
  <si>
    <t>0918 655220; 0932905577</t>
  </si>
  <si>
    <t>Cần Thơ 420</t>
  </si>
  <si>
    <t>Cần Thơ 439</t>
  </si>
  <si>
    <t>Cần Thơ 443</t>
  </si>
  <si>
    <t>Cần Thơ 468</t>
  </si>
  <si>
    <t>Cần Thơ 470</t>
  </si>
  <si>
    <t>IBC Vincom Hùng Vương</t>
  </si>
  <si>
    <t>Cần Thơ 471</t>
  </si>
  <si>
    <t>Cần Thơ 472</t>
  </si>
  <si>
    <t>IBC Lotte Cần Thơ</t>
  </si>
  <si>
    <t>Cần Thơ 488</t>
  </si>
  <si>
    <t>IBC BV ĐK Cần Thơ</t>
  </si>
  <si>
    <t>Cần Thơ 491</t>
  </si>
  <si>
    <t>0913 784761</t>
  </si>
  <si>
    <t>Cần Thơ 492</t>
  </si>
  <si>
    <t>0944 291777</t>
  </si>
  <si>
    <t>Cần Thơ 496</t>
  </si>
  <si>
    <t>Cần Thơ 497</t>
  </si>
  <si>
    <t>0122 769 4909</t>
  </si>
  <si>
    <t>IBC KS Mường Thanh</t>
  </si>
  <si>
    <t>IBC Vincom Xuân Khánh</t>
  </si>
  <si>
    <t>0939 588899</t>
  </si>
  <si>
    <t>Cần Thơ 505</t>
  </si>
  <si>
    <t>CT Ô Môn</t>
  </si>
  <si>
    <t>CT Ô Môn 2</t>
  </si>
  <si>
    <t>CT Ô Môn 3</t>
  </si>
  <si>
    <t>CT Ô Môn 4</t>
  </si>
  <si>
    <t>CT Sông Hậu</t>
  </si>
  <si>
    <t>098 2898236</t>
  </si>
  <si>
    <t>Hữu Toàn</t>
  </si>
  <si>
    <t>CT Ô Môn 6</t>
  </si>
  <si>
    <t>CT Ô Môn 7</t>
  </si>
  <si>
    <t>CT Ô Môn 8</t>
  </si>
  <si>
    <t>CT Ô Môn 9</t>
  </si>
  <si>
    <t>Cần Thơ 220</t>
  </si>
  <si>
    <t>CT Trường Lạc</t>
  </si>
  <si>
    <t>0969 823 754</t>
  </si>
  <si>
    <t>CT Trường Lạc 2</t>
  </si>
  <si>
    <t>CT Trường Lạc 3</t>
  </si>
  <si>
    <t>CT Phước Thới</t>
  </si>
  <si>
    <t>0932 907977</t>
  </si>
  <si>
    <t>CT Phước Thới 2</t>
  </si>
  <si>
    <t>CT Định Môn</t>
  </si>
  <si>
    <t>CT Thới Lợi</t>
  </si>
  <si>
    <t>CT Thới Long</t>
  </si>
  <si>
    <t>CT Thới Long 2</t>
  </si>
  <si>
    <t>Cần Thơ 279</t>
  </si>
  <si>
    <t>Cần Thơ 424</t>
  </si>
  <si>
    <t>CT Thới An 2</t>
  </si>
  <si>
    <t>CT Thới An 3</t>
  </si>
  <si>
    <t>CT Thới An 4</t>
  </si>
  <si>
    <t>CT Trà Nóc 2</t>
  </si>
  <si>
    <t>CT Trà Nóc 3</t>
  </si>
  <si>
    <t>Cần Thơ 273</t>
  </si>
  <si>
    <t>Cần Thơ 274</t>
  </si>
  <si>
    <t>0292. 3660337</t>
  </si>
  <si>
    <t>Cần Thơ 275</t>
  </si>
  <si>
    <t>Cần Thơ 277</t>
  </si>
  <si>
    <t>0292. 3666433</t>
  </si>
  <si>
    <t>Cần Thơ 405</t>
  </si>
  <si>
    <t>Cần Thơ 423</t>
  </si>
  <si>
    <t>01263755962-01208737634</t>
  </si>
  <si>
    <t>Cần Thơ 464</t>
  </si>
  <si>
    <t>Cần Thơ 475</t>
  </si>
  <si>
    <t>Cần Thơ 478</t>
  </si>
  <si>
    <t>Cần Thơ 485</t>
  </si>
  <si>
    <t>Cần Thơ 507</t>
  </si>
  <si>
    <t>0939 377775</t>
  </si>
  <si>
    <t>Cần Thơ 508</t>
  </si>
  <si>
    <t>0168 7706479</t>
  </si>
  <si>
    <t>Cần Thơ 509</t>
  </si>
  <si>
    <t>Cần Thơ 510</t>
  </si>
  <si>
    <t>0939 997979</t>
  </si>
  <si>
    <t>Cần Thơ 495</t>
  </si>
  <si>
    <t>0939 772156</t>
  </si>
  <si>
    <t xml:space="preserve">0938 862 839 </t>
  </si>
  <si>
    <t>0939 884000</t>
  </si>
  <si>
    <t>CT Phong Điền</t>
  </si>
  <si>
    <t>CT Giai Xuân</t>
  </si>
  <si>
    <t>CT Giai Xuân 2</t>
  </si>
  <si>
    <t>CT Giai Xuân 3</t>
  </si>
  <si>
    <t>CT Nhơn Nghĩa 2</t>
  </si>
  <si>
    <t>CT Trường Long</t>
  </si>
  <si>
    <t>CT Tân Thới</t>
  </si>
  <si>
    <t>CT Tân Thới 2</t>
  </si>
  <si>
    <t>CT Tân Thới 3</t>
  </si>
  <si>
    <t>CT Mỹ Khánh</t>
  </si>
  <si>
    <t>CT Mỹ Khánh 2</t>
  </si>
  <si>
    <t>CT Mỹ Khánh 3</t>
  </si>
  <si>
    <t>CT Mỹ Khánh 4</t>
  </si>
  <si>
    <t>CT Cái Răng 15</t>
  </si>
  <si>
    <t>Cần Thơ 223</t>
  </si>
  <si>
    <t>Cần Thơ 226</t>
  </si>
  <si>
    <t>Cần Thơ 267</t>
  </si>
  <si>
    <t>Cần Thơ 269</t>
  </si>
  <si>
    <t>Cần Thơ 272</t>
  </si>
  <si>
    <t>Cần Thơ 281</t>
  </si>
  <si>
    <t>Cần Thơ 282</t>
  </si>
  <si>
    <t>Cần Thơ 283</t>
  </si>
  <si>
    <t>Cần Thơ 284</t>
  </si>
  <si>
    <t>CT Trường Long 3</t>
  </si>
  <si>
    <t>Cần Thơ 286</t>
  </si>
  <si>
    <t>Cần Thơ 287</t>
  </si>
  <si>
    <t>Cần Thơ 288</t>
  </si>
  <si>
    <t>Cần Thơ 400</t>
  </si>
  <si>
    <t>Cần Thơ 412</t>
  </si>
  <si>
    <t>Cần Thơ 481</t>
  </si>
  <si>
    <t>0944 291 777</t>
  </si>
  <si>
    <t>CT Thới Lai</t>
  </si>
  <si>
    <t>Cần Thơ 397</t>
  </si>
  <si>
    <t>CT Đông Thuận</t>
  </si>
  <si>
    <t>CT Thới Lai 4</t>
  </si>
  <si>
    <t>CT Thới Lai 5</t>
  </si>
  <si>
    <t>CT Xuân Thắng</t>
  </si>
  <si>
    <t>CT Ô Môn 5</t>
  </si>
  <si>
    <t>CT Thới Thạnh 2</t>
  </si>
  <si>
    <t>CT Trường Thành</t>
  </si>
  <si>
    <t>CT Trường Thành 2</t>
  </si>
  <si>
    <t>CT Trường Xuân</t>
  </si>
  <si>
    <t>CT Trường Xuân 2</t>
  </si>
  <si>
    <t>CT Trường Xuân A</t>
  </si>
  <si>
    <t>CT Đông Bình</t>
  </si>
  <si>
    <t>CT Trường Long 2</t>
  </si>
  <si>
    <t>CT Thới Thạnh</t>
  </si>
  <si>
    <t>Cần Thơ 231</t>
  </si>
  <si>
    <t>Cần Thơ 240</t>
  </si>
  <si>
    <t>Cần Thơ 241</t>
  </si>
  <si>
    <t>Cần Thơ 243</t>
  </si>
  <si>
    <t>Cần Thơ 244</t>
  </si>
  <si>
    <t>Cần Thơ 246</t>
  </si>
  <si>
    <t>Cần Thơ 285</t>
  </si>
  <si>
    <t>Capo</t>
  </si>
  <si>
    <t>Cần Thơ 348</t>
  </si>
  <si>
    <t>Cần Thơ 384</t>
  </si>
  <si>
    <t>Cần Thơ 425</t>
  </si>
  <si>
    <t>Cần Thơ 431</t>
  </si>
  <si>
    <t>Cần Thơ 432</t>
  </si>
  <si>
    <t>Cần Thơ 442</t>
  </si>
  <si>
    <t>Cần Thơ 242</t>
  </si>
  <si>
    <t>Cần Thơ 245</t>
  </si>
  <si>
    <t>Cần Thơ 467</t>
  </si>
  <si>
    <t>0906 372727</t>
  </si>
  <si>
    <t>CT Thốt Nốt</t>
  </si>
  <si>
    <t>CT Thới Thuận 2</t>
  </si>
  <si>
    <t>CT Thới Thuận 3</t>
  </si>
  <si>
    <t>CT Thới Thuận</t>
  </si>
  <si>
    <t>CT Thốt Nốt 5</t>
  </si>
  <si>
    <t>CT Tân Lộc</t>
  </si>
  <si>
    <t>CT Trung Nhứt</t>
  </si>
  <si>
    <t>CT Trung Nhất 3</t>
  </si>
  <si>
    <t>CT Lộ Tẻ</t>
  </si>
  <si>
    <t>CT Lộ Tẻ 2</t>
  </si>
  <si>
    <t>CT Thuận Hưng</t>
  </si>
  <si>
    <t>CT Thuận Hưng 2</t>
  </si>
  <si>
    <t>CT Thuận Hưng 3</t>
  </si>
  <si>
    <t>CT Thuận Hưng 4</t>
  </si>
  <si>
    <t>CT Thuận Hưng 5</t>
  </si>
  <si>
    <t>CT Thuận Hưng 6</t>
  </si>
  <si>
    <t>CT Thới Long 4</t>
  </si>
  <si>
    <t>Cần Thơ 296</t>
  </si>
  <si>
    <t>Cần Thơ 299</t>
  </si>
  <si>
    <t>Cần Thơ 300</t>
  </si>
  <si>
    <t>Cần Thơ 301</t>
  </si>
  <si>
    <t>Cần Thơ 302</t>
  </si>
  <si>
    <t>Cần Thơ 303</t>
  </si>
  <si>
    <t>Cần Thơ 304</t>
  </si>
  <si>
    <t>Cần Thơ 305</t>
  </si>
  <si>
    <t>Cần Thơ 314</t>
  </si>
  <si>
    <t>Cần Thơ 355</t>
  </si>
  <si>
    <t>Cần Thơ 357</t>
  </si>
  <si>
    <t>Cần Thơ 388</t>
  </si>
  <si>
    <t>Cần Thơ 406</t>
  </si>
  <si>
    <t>Cần Thơ 426</t>
  </si>
  <si>
    <t>Cần Thơ 459</t>
  </si>
  <si>
    <t>Cần Thơ 430</t>
  </si>
  <si>
    <t>CT Thốt Nốt 3</t>
  </si>
  <si>
    <t>Cần Thơ 469</t>
  </si>
  <si>
    <t>Cần Thơ 479</t>
  </si>
  <si>
    <t>Cần Thơ 480</t>
  </si>
  <si>
    <t>Cần Thơ 477</t>
  </si>
  <si>
    <t>CT Vĩnh Trinh</t>
  </si>
  <si>
    <t>CT Vĩnh Trinh 2</t>
  </si>
  <si>
    <t>CT Thạnh Thắng</t>
  </si>
  <si>
    <t>CT Thạnh Quới</t>
  </si>
  <si>
    <t>CT Thạnh Quới 2</t>
  </si>
  <si>
    <t>CT Thạnh Quới 3</t>
  </si>
  <si>
    <t>Cần Thơ 307</t>
  </si>
  <si>
    <t>Cần Thơ 308</t>
  </si>
  <si>
    <t>Cần Thơ 309</t>
  </si>
  <si>
    <t>Cần Thơ 310</t>
  </si>
  <si>
    <t>Cần Thơ 311</t>
  </si>
  <si>
    <t>Cần Thơ 312</t>
  </si>
  <si>
    <t>Cần Thơ 315</t>
  </si>
  <si>
    <t>Cần Thơ 316</t>
  </si>
  <si>
    <t>Cần Thơ 353</t>
  </si>
  <si>
    <t>Cần Thơ 354</t>
  </si>
  <si>
    <t>Cần Thơ 359</t>
  </si>
  <si>
    <t>Cần Thơ 363</t>
  </si>
  <si>
    <t>Cần Thơ 364</t>
  </si>
  <si>
    <t>Cần Thơ 366</t>
  </si>
  <si>
    <t>Cần Thơ 367</t>
  </si>
  <si>
    <t>Cần Thơ 368</t>
  </si>
  <si>
    <t>CT Xã Thạnh An</t>
  </si>
  <si>
    <t>CT Thạnh An</t>
  </si>
  <si>
    <t>CT Thạnh An 2</t>
  </si>
  <si>
    <t>CT Thạnh Lộc</t>
  </si>
  <si>
    <t>Cần Thơ 389</t>
  </si>
  <si>
    <t>Cần Thơ 398</t>
  </si>
  <si>
    <t>Cần Thơ 433</t>
  </si>
  <si>
    <t>Cần Thơ 434</t>
  </si>
  <si>
    <t>Cần Thơ 435</t>
  </si>
  <si>
    <t>Cần Thơ 436</t>
  </si>
  <si>
    <t>Cần Thơ 437</t>
  </si>
  <si>
    <t>Cần Thơ 438</t>
  </si>
  <si>
    <t>Cần Thơ 473</t>
  </si>
  <si>
    <t>Cần Thơ 476</t>
  </si>
  <si>
    <t>Cần Thơ 511</t>
  </si>
  <si>
    <t>IBC BV Nhi Đồng Cần Thơ</t>
  </si>
  <si>
    <t>Cần Thơ 490</t>
  </si>
  <si>
    <t>ID</t>
  </si>
  <si>
    <t>CTNKX7</t>
  </si>
  <si>
    <t>CTNKX8</t>
  </si>
  <si>
    <t>CTCRX2</t>
  </si>
  <si>
    <t>CTCRX3</t>
  </si>
  <si>
    <t>Lương Minh Vũ</t>
  </si>
  <si>
    <t>IBC Hưng Việt</t>
  </si>
  <si>
    <t>Trường Lộc</t>
  </si>
  <si>
    <t>MÁY LƯU ĐỘNG</t>
  </si>
  <si>
    <t>MÁY NỔ CỐ ĐỊNH</t>
  </si>
  <si>
    <t>CHỦ SỞ HỮU</t>
  </si>
  <si>
    <t>SỞ HỮU MÁY</t>
  </si>
  <si>
    <t>THÔNG TIN TRUYỀN DẪN</t>
  </si>
  <si>
    <t>Quang Mobi</t>
  </si>
  <si>
    <t>Tpcom</t>
  </si>
  <si>
    <t>Viba</t>
  </si>
  <si>
    <t>Chạy E1 viba</t>
  </si>
  <si>
    <t>Ghi chú</t>
  </si>
  <si>
    <t>Số core</t>
  </si>
  <si>
    <t>Đầu đầu</t>
  </si>
  <si>
    <t>Đầu cuối</t>
  </si>
  <si>
    <t>Dự án</t>
  </si>
  <si>
    <t>CSG-CTBT14</t>
  </si>
  <si>
    <t>VR4</t>
  </si>
  <si>
    <t>CSG-CTBT16</t>
  </si>
  <si>
    <t>CSG-CTBT04</t>
  </si>
  <si>
    <t>CSG-CTBT01</t>
  </si>
  <si>
    <t>CSG-CTBT11</t>
  </si>
  <si>
    <t>CSG-CTBT33</t>
  </si>
  <si>
    <t>CSG-CTNK86</t>
  </si>
  <si>
    <t>CSG-CTBT24</t>
  </si>
  <si>
    <t>CSG-CTBT15</t>
  </si>
  <si>
    <t>CSG-CTBT44</t>
  </si>
  <si>
    <t>CSG-CTBT60</t>
  </si>
  <si>
    <t>CSG-CTBT31</t>
  </si>
  <si>
    <t>CSG-CTBT38</t>
  </si>
  <si>
    <t>CSG-CTBT30</t>
  </si>
  <si>
    <t>CSG-CTBT22</t>
  </si>
  <si>
    <t>CSG-CTBT17</t>
  </si>
  <si>
    <t>CSG-CTBT10</t>
  </si>
  <si>
    <t>CSG-CTBT58</t>
  </si>
  <si>
    <t>Ceragon</t>
  </si>
  <si>
    <t>CSG-CTNK83</t>
  </si>
  <si>
    <t>CSG-CTBT09</t>
  </si>
  <si>
    <t>CSG-CTNK31</t>
  </si>
  <si>
    <t>CSG-CTBT43</t>
  </si>
  <si>
    <t>CSG-CTNK26</t>
  </si>
  <si>
    <t>CSG-CTBT08</t>
  </si>
  <si>
    <t>Siae</t>
  </si>
  <si>
    <t>CSG-CTBT32</t>
  </si>
  <si>
    <t>CSG-CTBT26</t>
  </si>
  <si>
    <t>CSG-CTBT37</t>
  </si>
  <si>
    <t>CSG-CTCD13</t>
  </si>
  <si>
    <t>CSG-CTCD20</t>
  </si>
  <si>
    <t>CSG-CTTN12</t>
  </si>
  <si>
    <t>CSG-CTCD02</t>
  </si>
  <si>
    <t>CSG-CTCD19</t>
  </si>
  <si>
    <t>CSG-CTOM05</t>
  </si>
  <si>
    <t>CSG-CTCD41</t>
  </si>
  <si>
    <t>CSG-CTTL01</t>
  </si>
  <si>
    <t>CSG-CTCD23</t>
  </si>
  <si>
    <t>CSG-CTCR22</t>
  </si>
  <si>
    <t>CSG-CTCR21</t>
  </si>
  <si>
    <t>CSG-CTCR11</t>
  </si>
  <si>
    <t>CSG-CTCR29</t>
  </si>
  <si>
    <t>CSG-CTCR02</t>
  </si>
  <si>
    <t>CSG-CTCR35</t>
  </si>
  <si>
    <t>CSG-CTPD16</t>
  </si>
  <si>
    <t>CSG-CTCR09</t>
  </si>
  <si>
    <t>CSG-CTCR16</t>
  </si>
  <si>
    <t>CSG-CTCR20</t>
  </si>
  <si>
    <t>CSG-CTCR44</t>
  </si>
  <si>
    <t>CSG-CTCR24</t>
  </si>
  <si>
    <t>CSG-CTCR15</t>
  </si>
  <si>
    <t>CSG-CTNK74</t>
  </si>
  <si>
    <t>CSG-CTCR32</t>
  </si>
  <si>
    <t>CSG-CTCR08</t>
  </si>
  <si>
    <t>CSG-CTCR05</t>
  </si>
  <si>
    <t>CSG-CTNK03</t>
  </si>
  <si>
    <t>CSG-CTNK15</t>
  </si>
  <si>
    <t>CSG-CTNK18</t>
  </si>
  <si>
    <t>CSG-CTNK32</t>
  </si>
  <si>
    <t>CSG-CTNK66</t>
  </si>
  <si>
    <t>CSG-CTNK38</t>
  </si>
  <si>
    <t>CSG-CTNK89</t>
  </si>
  <si>
    <t>CSG-CTNK88</t>
  </si>
  <si>
    <t>CSG-CTNK97</t>
  </si>
  <si>
    <t>CSG-CTNK09</t>
  </si>
  <si>
    <t>CSG-CTNK69</t>
  </si>
  <si>
    <t>CSG-CTNK52</t>
  </si>
  <si>
    <t>CSG-CTNK39</t>
  </si>
  <si>
    <t>CSG-CTNK42</t>
  </si>
  <si>
    <t>CSG-CTNK65</t>
  </si>
  <si>
    <t>CSG-CTNK04</t>
  </si>
  <si>
    <t>CSG-CTNK72</t>
  </si>
  <si>
    <t>CSG-CTNK85</t>
  </si>
  <si>
    <t>CSG-CTOM28</t>
  </si>
  <si>
    <t>CSG-CTOM06</t>
  </si>
  <si>
    <t>CSG-CTTL08</t>
  </si>
  <si>
    <t>CSG-CTOM20</t>
  </si>
  <si>
    <t>CSG-CTOM32</t>
  </si>
  <si>
    <t>CSG-CTTL07</t>
  </si>
  <si>
    <t>CSG-CTOM24</t>
  </si>
  <si>
    <t>CSG-CTOM17</t>
  </si>
  <si>
    <t>CSG-CTTN14</t>
  </si>
  <si>
    <t>CSG-CTTN17</t>
  </si>
  <si>
    <t>CSG-CTBT25</t>
  </si>
  <si>
    <t>CSG-CTBT70</t>
  </si>
  <si>
    <t>CSG-CTPD18</t>
  </si>
  <si>
    <t>CSG-CTPD34</t>
  </si>
  <si>
    <t>CSG-CTPD07</t>
  </si>
  <si>
    <t>CSG-CTTL30</t>
  </si>
  <si>
    <t>CSG-CTTL22</t>
  </si>
  <si>
    <t>CSG-CTTL03</t>
  </si>
  <si>
    <t>CSG-CTTL32</t>
  </si>
  <si>
    <t>CSG-CTTL15</t>
  </si>
  <si>
    <t>CSG-CTTL16</t>
  </si>
  <si>
    <t>CSG-CTTN34</t>
  </si>
  <si>
    <t>CSG-CTVT16</t>
  </si>
  <si>
    <t>CSG-CTTN02</t>
  </si>
  <si>
    <t>CSG-CTTN32</t>
  </si>
  <si>
    <t>CSG-CTTN09</t>
  </si>
  <si>
    <t>CSG-CTTN41</t>
  </si>
  <si>
    <t>CSG-CTTN15</t>
  </si>
  <si>
    <t>CSG-CTTN58</t>
  </si>
  <si>
    <t>CSG-CTTN16</t>
  </si>
  <si>
    <t>CSG-CTTN18</t>
  </si>
  <si>
    <t>CSG-CTTN13</t>
  </si>
  <si>
    <t>CSG-CTVT31</t>
  </si>
  <si>
    <t>CSG-CTVT05</t>
  </si>
  <si>
    <t>CSG-CTVT04</t>
  </si>
  <si>
    <t>CSG-CTVT28</t>
  </si>
  <si>
    <t>CSG-CTVT12</t>
  </si>
  <si>
    <t>CSG-CTVT02</t>
  </si>
  <si>
    <t>CSG-CTCR52</t>
  </si>
  <si>
    <t>CSG-CTNK68</t>
  </si>
  <si>
    <t>CSG-CTVT11</t>
  </si>
  <si>
    <t>CSG-CTPD36</t>
  </si>
  <si>
    <t>CSG-CTVT36</t>
  </si>
  <si>
    <t>CSG-CTNK43</t>
  </si>
  <si>
    <t>Fo Mobi</t>
  </si>
  <si>
    <t>LSW</t>
  </si>
  <si>
    <t>CSG-CTBT48</t>
  </si>
  <si>
    <t>CSG-CTCR19</t>
  </si>
  <si>
    <t>CSG-CTNK01</t>
  </si>
  <si>
    <t>CSG-CTNK06</t>
  </si>
  <si>
    <t>CSG_CTNK07</t>
  </si>
  <si>
    <t>CSG_CTNK08</t>
  </si>
  <si>
    <t>CSG-CTNK12</t>
  </si>
  <si>
    <t>CSG-CTNK14</t>
  </si>
  <si>
    <t>CSG-CTNK27</t>
  </si>
  <si>
    <t>CSG-CTNK44</t>
  </si>
  <si>
    <t>CSG-CTNK55</t>
  </si>
  <si>
    <t>CSG-CTNK91</t>
  </si>
  <si>
    <t>CSG-CTTN19</t>
  </si>
  <si>
    <t>Có</t>
  </si>
  <si>
    <t>Bỏ VR4</t>
  </si>
  <si>
    <t>Bỏ Ceragon</t>
  </si>
  <si>
    <t>Bỏ MBS</t>
  </si>
  <si>
    <t xml:space="preserve"> Siae lỗi</t>
  </si>
  <si>
    <t>Bỏ Siae</t>
  </si>
  <si>
    <t>MBS</t>
  </si>
  <si>
    <t>CSG-CTTL25</t>
  </si>
  <si>
    <t>Bỏ siae</t>
  </si>
  <si>
    <t>LSW-CTCD05</t>
  </si>
  <si>
    <t>LSW-CTCD11</t>
  </si>
  <si>
    <t>LSW-CTCD15</t>
  </si>
  <si>
    <t>LSW-CTCD24</t>
  </si>
  <si>
    <t>LSW-CTVT25</t>
  </si>
  <si>
    <t>LSW-CTCD31</t>
  </si>
  <si>
    <t>Bỏ siae, ceragon</t>
  </si>
  <si>
    <t>LSW-CTCR49</t>
  </si>
  <si>
    <t>LSW-CTCR28</t>
  </si>
  <si>
    <t>CSG-CTCR14</t>
  </si>
  <si>
    <t>LSW-CTOM31</t>
  </si>
  <si>
    <t>LSWCTOM29</t>
  </si>
  <si>
    <t>CSG-CTPD17</t>
  </si>
  <si>
    <t>Bỏ Ceragon, siae</t>
  </si>
  <si>
    <t>LSW-CTPD03</t>
  </si>
  <si>
    <t>LSW-CTPD06</t>
  </si>
  <si>
    <t>LSW-CTTL18</t>
  </si>
  <si>
    <t>LSW-CTCD12</t>
  </si>
  <si>
    <t>LSW-CTTL14</t>
  </si>
  <si>
    <t>LSW-CTTL23</t>
  </si>
  <si>
    <t>Bỏ Siae, Ceragon</t>
  </si>
  <si>
    <t>LSW-CTTN29</t>
  </si>
  <si>
    <t>Bỏ Siae, mbs</t>
  </si>
  <si>
    <t>LSW-CTTN08</t>
  </si>
  <si>
    <t>LSW-CTVT01</t>
  </si>
  <si>
    <t>CSG-CTVT08</t>
  </si>
  <si>
    <t>LSW-CTVT30</t>
  </si>
  <si>
    <t>LSW-CTVT17</t>
  </si>
  <si>
    <t>LSW-CTVT24</t>
  </si>
  <si>
    <t>LSW-CTVT29</t>
  </si>
  <si>
    <t>LSW-CTVT09</t>
  </si>
  <si>
    <t>Bỏ CRG</t>
  </si>
  <si>
    <t>CRG</t>
  </si>
  <si>
    <t>CTVT58</t>
  </si>
  <si>
    <t>CTNKE9</t>
  </si>
  <si>
    <t>CTCRX4</t>
  </si>
  <si>
    <t>CTOMX0</t>
  </si>
  <si>
    <t>CTNKY3</t>
  </si>
  <si>
    <t>CTOMX1</t>
  </si>
  <si>
    <t>CTOMX2</t>
  </si>
  <si>
    <t>CTOMX3</t>
  </si>
  <si>
    <t>CTCDX0</t>
  </si>
  <si>
    <t>CTVTX1</t>
  </si>
  <si>
    <t>CTTNX0</t>
  </si>
  <si>
    <t>CTVTX0</t>
  </si>
  <si>
    <t>CTBTX0</t>
  </si>
  <si>
    <t>QLTram</t>
  </si>
  <si>
    <t>CTPDX1</t>
  </si>
  <si>
    <t>CTTLX0</t>
  </si>
  <si>
    <t>CTTNX1</t>
  </si>
  <si>
    <t>CTTNX2</t>
  </si>
  <si>
    <t>CTTNX3</t>
  </si>
  <si>
    <t>CTCRX5</t>
  </si>
  <si>
    <t>CTCD54</t>
  </si>
  <si>
    <t>CTPDX0</t>
  </si>
  <si>
    <t>CTCDX1</t>
  </si>
  <si>
    <t>CTCRX6</t>
  </si>
  <si>
    <t>CTCRX7</t>
  </si>
  <si>
    <t>CTCRX8</t>
  </si>
  <si>
    <t>CTCRX9</t>
  </si>
  <si>
    <t>CTNKX9</t>
  </si>
  <si>
    <t>CTNKY2</t>
  </si>
  <si>
    <t>Mobifone</t>
  </si>
  <si>
    <t xml:space="preserve">MAY NỔ DÂN </t>
  </si>
  <si>
    <t>Chạy máy LD</t>
  </si>
  <si>
    <t>TRẠM MAIN CRAN</t>
  </si>
  <si>
    <t>DENYO</t>
  </si>
  <si>
    <t>CHAY LD</t>
  </si>
  <si>
    <t>CTCRX1</t>
  </si>
  <si>
    <t>Loại truyền dẫn</t>
  </si>
  <si>
    <t>tắt 2G</t>
  </si>
  <si>
    <t>Trần Quang Diệu</t>
  </si>
  <si>
    <t>20CTBT004</t>
  </si>
  <si>
    <t>20CTCD001</t>
  </si>
  <si>
    <t>20CTCD002</t>
  </si>
  <si>
    <t>20CTCD003</t>
  </si>
  <si>
    <t>20CTCR207</t>
  </si>
  <si>
    <t>20CTCR202</t>
  </si>
  <si>
    <t>20CTTL004</t>
  </si>
  <si>
    <t>20CTTL201</t>
  </si>
  <si>
    <t>20CTVT004</t>
  </si>
  <si>
    <t>20CTVT005</t>
  </si>
  <si>
    <t>20CTVT201</t>
  </si>
  <si>
    <t>20CTVT202</t>
  </si>
  <si>
    <t>20CTVT203</t>
  </si>
  <si>
    <t>20CTVT204</t>
  </si>
  <si>
    <t>20CTVT205</t>
  </si>
  <si>
    <t>21CTCD001</t>
  </si>
  <si>
    <t>21CTPD003</t>
  </si>
  <si>
    <t>20CTNK201</t>
  </si>
  <si>
    <t>21CRAN_CTCR01</t>
  </si>
  <si>
    <t>21CRAN_CTNK02</t>
  </si>
  <si>
    <t>21CRAN_CTNK03</t>
  </si>
  <si>
    <t>21CRAN_CTNK04</t>
  </si>
  <si>
    <t>21CRAN_CTNK05</t>
  </si>
  <si>
    <t>21CRAN_CTNK06</t>
  </si>
  <si>
    <t>21CRAN_CTNK07</t>
  </si>
  <si>
    <t>20CTOM002</t>
  </si>
  <si>
    <t>21CTTN009</t>
  </si>
  <si>
    <t>21CTTN008</t>
  </si>
  <si>
    <t>CRAN_20CTNK211</t>
  </si>
  <si>
    <t>CRAN_20CTNK209</t>
  </si>
  <si>
    <t>CRAN_20CTCR203</t>
  </si>
  <si>
    <t>CRAN_20CTCR204</t>
  </si>
  <si>
    <t>CRAN</t>
  </si>
  <si>
    <t>CRAN_21CTCR005</t>
  </si>
  <si>
    <t>CRAN_21CTOM005</t>
  </si>
  <si>
    <t>CRAN_ BV Nhi Đồng</t>
  </si>
  <si>
    <t>CRAN_21CTNK005</t>
  </si>
  <si>
    <t>CRAN_21CTCD002</t>
  </si>
  <si>
    <t>CRAN_21CTOM004</t>
  </si>
  <si>
    <t>CRAN_21CTOM003</t>
  </si>
  <si>
    <t>CRAN_21CTOM001</t>
  </si>
  <si>
    <t>CRAN_21CTVT001</t>
  </si>
  <si>
    <t>CRAN_21CTTN003</t>
  </si>
  <si>
    <t>CRAN_21CTVT004</t>
  </si>
  <si>
    <t>CRAN_20CTBT003</t>
  </si>
  <si>
    <t>CRAN_21CTOM002</t>
  </si>
  <si>
    <t>CRAN_21CTPD005</t>
  </si>
  <si>
    <t>CRAN_21CTTL003</t>
  </si>
  <si>
    <t>CRAN_21CTTN007</t>
  </si>
  <si>
    <t>CRAN_20CTTN201</t>
  </si>
  <si>
    <t>CRAN_21CTTN001</t>
  </si>
  <si>
    <t>CRAN_20CTCR206</t>
  </si>
  <si>
    <t>CRAN_21CTCR002</t>
  </si>
  <si>
    <t>CRAN_21CTCR001</t>
  </si>
  <si>
    <t>CRAN_21CTCR004</t>
  </si>
  <si>
    <t>CRAN_21CTCR006</t>
  </si>
  <si>
    <t>CRAN_19CTNK501</t>
  </si>
  <si>
    <t>CRAN_20CTNK202</t>
  </si>
  <si>
    <t>CRAN_21CTPD002</t>
  </si>
  <si>
    <t>LOẠI TRẠM</t>
  </si>
  <si>
    <t>ver card 901</t>
  </si>
  <si>
    <t>A901-6CZ-FT-D</t>
  </si>
  <si>
    <t>A901-4C-FT-D</t>
  </si>
  <si>
    <t>Tắt 2G</t>
  </si>
  <si>
    <t>CTTLX2</t>
  </si>
  <si>
    <t>CTVTX2</t>
  </si>
  <si>
    <t>CTPD51</t>
  </si>
  <si>
    <t>CTCR67</t>
  </si>
  <si>
    <t>CTNKF0</t>
  </si>
  <si>
    <t>CTNKF1</t>
  </si>
  <si>
    <t>CRAN_20CTTL003</t>
  </si>
  <si>
    <t>CRAN_21CTTN006</t>
  </si>
  <si>
    <t>20CTPD201</t>
  </si>
  <si>
    <t>21CTCR007</t>
  </si>
  <si>
    <t>21CTNK001</t>
  </si>
  <si>
    <t>21CTNK007</t>
  </si>
  <si>
    <t>CTCR66</t>
  </si>
  <si>
    <t>CTNKD6</t>
  </si>
  <si>
    <t>Máy cố định</t>
  </si>
  <si>
    <t>Đầu Đầu MOBI</t>
  </si>
  <si>
    <t>Đầu Đầu Tpcom</t>
  </si>
  <si>
    <t>Thiết bị 2G</t>
  </si>
  <si>
    <t>Tòa nhà mobifone</t>
  </si>
  <si>
    <t>Kim Bình 12KVA</t>
  </si>
  <si>
    <t>Tên Trạm</t>
  </si>
  <si>
    <t>Mã KH</t>
  </si>
  <si>
    <t>PB11050048148</t>
  </si>
  <si>
    <t>PB11050037418</t>
  </si>
  <si>
    <t>PB11050047681</t>
  </si>
  <si>
    <t>PB11090182344</t>
  </si>
  <si>
    <t>PB11090182948</t>
  </si>
  <si>
    <t>PB11090183598</t>
  </si>
  <si>
    <t>PB11020042513</t>
  </si>
  <si>
    <t>PB11020067273</t>
  </si>
  <si>
    <t>PB11050014551</t>
  </si>
  <si>
    <t>PB11050017073</t>
  </si>
  <si>
    <t>PB11050017631</t>
  </si>
  <si>
    <t>PB11050020886</t>
  </si>
  <si>
    <t>PB11050020163</t>
  </si>
  <si>
    <t>PB11050020710</t>
  </si>
  <si>
    <t>PB11050020668</t>
  </si>
  <si>
    <t>PB11050020669</t>
  </si>
  <si>
    <t>PB11050020670</t>
  </si>
  <si>
    <t>PB11050021677</t>
  </si>
  <si>
    <t>PB11050020674</t>
  </si>
  <si>
    <t>PB11050020671</t>
  </si>
  <si>
    <t>PB11050020672</t>
  </si>
  <si>
    <t>PB11050022139</t>
  </si>
  <si>
    <t>PB11050021669</t>
  </si>
  <si>
    <t>PB11050022140</t>
  </si>
  <si>
    <t>PB11050020676</t>
  </si>
  <si>
    <t>PB11050021813</t>
  </si>
  <si>
    <t>PB11050019065</t>
  </si>
  <si>
    <t>PB11050017072</t>
  </si>
  <si>
    <t>PB11050020159</t>
  </si>
  <si>
    <t>PB11050020297</t>
  </si>
  <si>
    <t>PB11050021672</t>
  </si>
  <si>
    <t>PB11050021671</t>
  </si>
  <si>
    <t>PB11050021670</t>
  </si>
  <si>
    <t>PB11050021667</t>
  </si>
  <si>
    <t>PB11050021666</t>
  </si>
  <si>
    <t>PB11050020675</t>
  </si>
  <si>
    <t>PB11050020433</t>
  </si>
  <si>
    <t>PB11050020673</t>
  </si>
  <si>
    <t>PB11050039384</t>
  </si>
  <si>
    <t>PB11050024011</t>
  </si>
  <si>
    <t>PB11050024012</t>
  </si>
  <si>
    <t>PB11050024010</t>
  </si>
  <si>
    <t>PB11050022157</t>
  </si>
  <si>
    <t>PB11050024009</t>
  </si>
  <si>
    <t>PB11050025771</t>
  </si>
  <si>
    <t>PB11050029681</t>
  </si>
  <si>
    <t>PB11050029682</t>
  </si>
  <si>
    <t>PB11050029680</t>
  </si>
  <si>
    <t>PB11050030242</t>
  </si>
  <si>
    <t>PB11050030415</t>
  </si>
  <si>
    <t>PB11050029678</t>
  </si>
  <si>
    <t>PB11050029991</t>
  </si>
  <si>
    <t>PB11050034071</t>
  </si>
  <si>
    <t>PB11050036163</t>
  </si>
  <si>
    <t>PB11050036168</t>
  </si>
  <si>
    <t>PB11050036170</t>
  </si>
  <si>
    <t>PB11050036169</t>
  </si>
  <si>
    <t>PB11050036212</t>
  </si>
  <si>
    <t>PB11050036214</t>
  </si>
  <si>
    <t>PB11050036216</t>
  </si>
  <si>
    <t>PB11050036215</t>
  </si>
  <si>
    <t>PB11050036594</t>
  </si>
  <si>
    <t>PB11050036597</t>
  </si>
  <si>
    <t>PB11050036279</t>
  </si>
  <si>
    <t>PB11050038150</t>
  </si>
  <si>
    <t>PB11050036582</t>
  </si>
  <si>
    <t>PB11050036213</t>
  </si>
  <si>
    <t>PB11050038152</t>
  </si>
  <si>
    <t>PB11050038146</t>
  </si>
  <si>
    <t>PB11050037416</t>
  </si>
  <si>
    <t>PB11050037985</t>
  </si>
  <si>
    <t>PB11050037421</t>
  </si>
  <si>
    <t>PB11050037419</t>
  </si>
  <si>
    <t>PB11050038151</t>
  </si>
  <si>
    <t>PB11050041413</t>
  </si>
  <si>
    <t>PB11050037417</t>
  </si>
  <si>
    <t>PB11050041767</t>
  </si>
  <si>
    <t>PB11050037422</t>
  </si>
  <si>
    <t>PB11050036598</t>
  </si>
  <si>
    <t>PB11050044198</t>
  </si>
  <si>
    <t>PB11050045191</t>
  </si>
  <si>
    <t>PB11090018658</t>
  </si>
  <si>
    <t>PB11090049223</t>
  </si>
  <si>
    <t>PB11090179093</t>
  </si>
  <si>
    <t>PB11060033848</t>
  </si>
  <si>
    <t>PB11090033845</t>
  </si>
  <si>
    <t>PB11090041378</t>
  </si>
  <si>
    <t>PB11090030628</t>
  </si>
  <si>
    <t>PB11040038928</t>
  </si>
  <si>
    <t>PB11090065852</t>
  </si>
  <si>
    <t>PB11090042328</t>
  </si>
  <si>
    <t>PB11090049226</t>
  </si>
  <si>
    <t>PB11090172698</t>
  </si>
  <si>
    <t>PB11090174099</t>
  </si>
  <si>
    <t>PB11090053746</t>
  </si>
  <si>
    <t>PB11090053753</t>
  </si>
  <si>
    <t>PB11090064279</t>
  </si>
  <si>
    <t>PB11080079592</t>
  </si>
  <si>
    <t>PB11090048502</t>
  </si>
  <si>
    <t>PB11090180564</t>
  </si>
  <si>
    <t>PB11090172225</t>
  </si>
  <si>
    <t>PB11090012622</t>
  </si>
  <si>
    <t>PB11090068690</t>
  </si>
  <si>
    <t>PB11090012497</t>
  </si>
  <si>
    <t>PB11090068689</t>
  </si>
  <si>
    <t>PB11090172455</t>
  </si>
  <si>
    <t>PB11090172697</t>
  </si>
  <si>
    <t>PB11090172699</t>
  </si>
  <si>
    <t>PB11090172454</t>
  </si>
  <si>
    <t>PB11090172453</t>
  </si>
  <si>
    <t>PB11090172451</t>
  </si>
  <si>
    <t>PB11090046297</t>
  </si>
  <si>
    <t>PB11090177643</t>
  </si>
  <si>
    <t>PB11090177359</t>
  </si>
  <si>
    <t>PB11090177350</t>
  </si>
  <si>
    <t>PB11090177354</t>
  </si>
  <si>
    <t>PB11090177351</t>
  </si>
  <si>
    <t>PB11090177355</t>
  </si>
  <si>
    <t>PB11090177357</t>
  </si>
  <si>
    <t>PB11090177349</t>
  </si>
  <si>
    <t>PB11090177686</t>
  </si>
  <si>
    <t>PB11090177358</t>
  </si>
  <si>
    <t>PB11090177353</t>
  </si>
  <si>
    <t>PB11090177356</t>
  </si>
  <si>
    <t>PB11090177352</t>
  </si>
  <si>
    <t>PB11090179234</t>
  </si>
  <si>
    <t>PB11090181033</t>
  </si>
  <si>
    <t>PB11020045299</t>
  </si>
  <si>
    <t>PB11020026487</t>
  </si>
  <si>
    <t>PB11020026488</t>
  </si>
  <si>
    <t>PB11020065427</t>
  </si>
  <si>
    <t>PB11020032723</t>
  </si>
  <si>
    <t>PB11020030670</t>
  </si>
  <si>
    <t>PB11020030669</t>
  </si>
  <si>
    <t>PB11020030679</t>
  </si>
  <si>
    <t>PB11020026711</t>
  </si>
  <si>
    <t>PB11020030680</t>
  </si>
  <si>
    <t>PB20020049704</t>
  </si>
  <si>
    <t>PB11020030668</t>
  </si>
  <si>
    <t>PB11020037319</t>
  </si>
  <si>
    <t>PB11020026865</t>
  </si>
  <si>
    <t>PB11020045300</t>
  </si>
  <si>
    <t>PB11020047711</t>
  </si>
  <si>
    <t>PB11020034812</t>
  </si>
  <si>
    <t>PB11020062880</t>
  </si>
  <si>
    <t>PB11020063724</t>
  </si>
  <si>
    <t>PB11020039270</t>
  </si>
  <si>
    <t>PB11020063221</t>
  </si>
  <si>
    <t>PB11020043595</t>
  </si>
  <si>
    <t>PB11020044485</t>
  </si>
  <si>
    <t>PB11020037606</t>
  </si>
  <si>
    <t>PB11020042639</t>
  </si>
  <si>
    <t>PB11020042422</t>
  </si>
  <si>
    <t>PB11020054324</t>
  </si>
  <si>
    <t>PB11020048105</t>
  </si>
  <si>
    <t>PB11020048107</t>
  </si>
  <si>
    <t>PB11020063203</t>
  </si>
  <si>
    <t>PB11020064762</t>
  </si>
  <si>
    <t>PB11020048110</t>
  </si>
  <si>
    <t>PB11020048108</t>
  </si>
  <si>
    <t>PB11020048109</t>
  </si>
  <si>
    <t>PB11020048106</t>
  </si>
  <si>
    <t>PB11020050241</t>
  </si>
  <si>
    <t>PB11020052439</t>
  </si>
  <si>
    <t>PB11020054505</t>
  </si>
  <si>
    <t>PB11020054504</t>
  </si>
  <si>
    <t>PB11020054506</t>
  </si>
  <si>
    <t>PB11020054767</t>
  </si>
  <si>
    <t>PB11020054768</t>
  </si>
  <si>
    <t>PB11020054765</t>
  </si>
  <si>
    <t>PB11020054766</t>
  </si>
  <si>
    <t>PB11020061367</t>
  </si>
  <si>
    <t>PB11020056905</t>
  </si>
  <si>
    <t>PB11020056910</t>
  </si>
  <si>
    <t>PB11020064170</t>
  </si>
  <si>
    <t>PB11020056909</t>
  </si>
  <si>
    <t>PB11020056908</t>
  </si>
  <si>
    <t>PB11020061374</t>
  </si>
  <si>
    <t>PB11020062012</t>
  </si>
  <si>
    <t>PB11020065032</t>
  </si>
  <si>
    <t>PB11020068676</t>
  </si>
  <si>
    <t>PB11010070076</t>
  </si>
  <si>
    <t>PB11010077017</t>
  </si>
  <si>
    <t>PB11010068659</t>
  </si>
  <si>
    <t>PB11010067333</t>
  </si>
  <si>
    <t>PB11010069767</t>
  </si>
  <si>
    <t>PB11010070426</t>
  </si>
  <si>
    <t>PB11010070079</t>
  </si>
  <si>
    <t>PB11010099211</t>
  </si>
  <si>
    <t>PB11010065902</t>
  </si>
  <si>
    <t>PB11010062436</t>
  </si>
  <si>
    <t>PB11010067331</t>
  </si>
  <si>
    <t>PB11010067329</t>
  </si>
  <si>
    <t>PB11010067328</t>
  </si>
  <si>
    <t>PB11010077016</t>
  </si>
  <si>
    <t>PB11010099219</t>
  </si>
  <si>
    <t>PB11010067332</t>
  </si>
  <si>
    <t>PB11010067330</t>
  </si>
  <si>
    <t>PB11010069744</t>
  </si>
  <si>
    <t>PB11010069745</t>
  </si>
  <si>
    <t>PB11010070425</t>
  </si>
  <si>
    <t>PB11010071467</t>
  </si>
  <si>
    <t>PB11010069746</t>
  </si>
  <si>
    <t>PB11010070080</t>
  </si>
  <si>
    <t>PB11010073133</t>
  </si>
  <si>
    <t>PB11010066505</t>
  </si>
  <si>
    <t>PB11010084806</t>
  </si>
  <si>
    <t>PB11010068654</t>
  </si>
  <si>
    <t>PB11010067359</t>
  </si>
  <si>
    <t>PB11010070882</t>
  </si>
  <si>
    <t>PB11010066949</t>
  </si>
  <si>
    <t>PB11010092545</t>
  </si>
  <si>
    <t>PB11010062448</t>
  </si>
  <si>
    <t>PB11010062763</t>
  </si>
  <si>
    <t>PB11010096230</t>
  </si>
  <si>
    <t>PB11010097787</t>
  </si>
  <si>
    <t>PB11010067337</t>
  </si>
  <si>
    <t>PB11010054042</t>
  </si>
  <si>
    <t>PB11010066771</t>
  </si>
  <si>
    <t>PB11010065118</t>
  </si>
  <si>
    <t>PB11010066245</t>
  </si>
  <si>
    <t>PB11010067335</t>
  </si>
  <si>
    <t>PB11010067358</t>
  </si>
  <si>
    <t>PB11010075827</t>
  </si>
  <si>
    <t>PB11010071090</t>
  </si>
  <si>
    <t>PB11010067949</t>
  </si>
  <si>
    <t>PB11010007911</t>
  </si>
  <si>
    <t>PB11010074197</t>
  </si>
  <si>
    <t>PB11010066948</t>
  </si>
  <si>
    <t>PB11010071411</t>
  </si>
  <si>
    <t>PB11010070421</t>
  </si>
  <si>
    <t>PB11010099541</t>
  </si>
  <si>
    <t>PB11010071092</t>
  </si>
  <si>
    <t>PB11010099272</t>
  </si>
  <si>
    <t>PB11010071413</t>
  </si>
  <si>
    <t>PB11010071995</t>
  </si>
  <si>
    <t>PB11010071414</t>
  </si>
  <si>
    <t>PB11010075568</t>
  </si>
  <si>
    <t>PB11010076744</t>
  </si>
  <si>
    <t>PB11010074233</t>
  </si>
  <si>
    <t>PB11010060608</t>
  </si>
  <si>
    <t>PB11010068652</t>
  </si>
  <si>
    <t>PB11010070073</t>
  </si>
  <si>
    <t>PB11010101642</t>
  </si>
  <si>
    <t>PB11010101641</t>
  </si>
  <si>
    <t>PB11010089798</t>
  </si>
  <si>
    <t>PB11010099297</t>
  </si>
  <si>
    <t>PB11010073128</t>
  </si>
  <si>
    <t>PB11010072023</t>
  </si>
  <si>
    <t>PB11010073130</t>
  </si>
  <si>
    <t>PB11010073127</t>
  </si>
  <si>
    <t>PB11010073905</t>
  </si>
  <si>
    <t>PB11010081415</t>
  </si>
  <si>
    <t>PB11010080514</t>
  </si>
  <si>
    <t>PB11010081418</t>
  </si>
  <si>
    <t>PB11010081412</t>
  </si>
  <si>
    <t>PB11010081411</t>
  </si>
  <si>
    <t>PB11010082979</t>
  </si>
  <si>
    <t>PB11010089206</t>
  </si>
  <si>
    <t>PB11010081414</t>
  </si>
  <si>
    <t>PB11010103501</t>
  </si>
  <si>
    <t>PB11010097798</t>
  </si>
  <si>
    <t>PB11010084599</t>
  </si>
  <si>
    <t>PB11010084600</t>
  </si>
  <si>
    <t>PB11010092801</t>
  </si>
  <si>
    <t>PB11010092799</t>
  </si>
  <si>
    <t>PB11010093111</t>
  </si>
  <si>
    <t>PB11010093404</t>
  </si>
  <si>
    <t>PB11010092800</t>
  </si>
  <si>
    <t>PB11010094439</t>
  </si>
  <si>
    <t>PB11010094438</t>
  </si>
  <si>
    <t>PB11010097640</t>
  </si>
  <si>
    <t>PB11070052779</t>
  </si>
  <si>
    <t>PB11010099978</t>
  </si>
  <si>
    <t>PB11010101548</t>
  </si>
  <si>
    <t>PB11010102541</t>
  </si>
  <si>
    <t>PB11010104955</t>
  </si>
  <si>
    <t>PB11030040962</t>
  </si>
  <si>
    <t>PB11030045163</t>
  </si>
  <si>
    <t>PB11030004264</t>
  </si>
  <si>
    <t>PB11030044363</t>
  </si>
  <si>
    <t>PB11030049222</t>
  </si>
  <si>
    <t>PB11030047622</t>
  </si>
  <si>
    <t>PB11030047620</t>
  </si>
  <si>
    <t>PB11030064314</t>
  </si>
  <si>
    <t>PB11030065590</t>
  </si>
  <si>
    <t>PB11030044364</t>
  </si>
  <si>
    <t>PB11030049221</t>
  </si>
  <si>
    <t>PB11030006563</t>
  </si>
  <si>
    <t>PB11030044360</t>
  </si>
  <si>
    <t>PB11030049228</t>
  </si>
  <si>
    <t>PB11030084429</t>
  </si>
  <si>
    <t>PB11030045161</t>
  </si>
  <si>
    <t>PB11030068686</t>
  </si>
  <si>
    <t>PB11030075258</t>
  </si>
  <si>
    <t>PB11030051451</t>
  </si>
  <si>
    <t>PB11030049224</t>
  </si>
  <si>
    <t>PB11030045157</t>
  </si>
  <si>
    <t>PB11030045162</t>
  </si>
  <si>
    <t>PB11030047621</t>
  </si>
  <si>
    <t>PB11030053752</t>
  </si>
  <si>
    <t>PB11030071728</t>
  </si>
  <si>
    <t>PB11030064305</t>
  </si>
  <si>
    <t>PB11030071729</t>
  </si>
  <si>
    <t>PB11030075050</t>
  </si>
  <si>
    <t>PB11030075049</t>
  </si>
  <si>
    <t>PB11030076348</t>
  </si>
  <si>
    <t>PB11030077320</t>
  </si>
  <si>
    <t>PB11030077319</t>
  </si>
  <si>
    <t>PB11030079250</t>
  </si>
  <si>
    <t>PB11030079252</t>
  </si>
  <si>
    <t>PB11030079251</t>
  </si>
  <si>
    <t>PB11030079249</t>
  </si>
  <si>
    <t>PB11030080691</t>
  </si>
  <si>
    <t>PB11030080692</t>
  </si>
  <si>
    <t>PB11030080693</t>
  </si>
  <si>
    <t>PB11030080694</t>
  </si>
  <si>
    <t>PB11030080695</t>
  </si>
  <si>
    <t>PB11030080690</t>
  </si>
  <si>
    <t>PB11030080689</t>
  </si>
  <si>
    <t>PB11030080688</t>
  </si>
  <si>
    <t>PB11030079566</t>
  </si>
  <si>
    <t>PB11030079356</t>
  </si>
  <si>
    <t>PB11030080525</t>
  </si>
  <si>
    <t>PB11030080791</t>
  </si>
  <si>
    <t>PB11030080519</t>
  </si>
  <si>
    <t>PB11030080516</t>
  </si>
  <si>
    <t>PB11030080517</t>
  </si>
  <si>
    <t>PB11030080518</t>
  </si>
  <si>
    <t>PB11030080523</t>
  </si>
  <si>
    <t>PB11030080515</t>
  </si>
  <si>
    <t>PB11030081577</t>
  </si>
  <si>
    <t>PB11030081578</t>
  </si>
  <si>
    <t>PB11030080524</t>
  </si>
  <si>
    <t>PB11030082398</t>
  </si>
  <si>
    <t>PB11030082397</t>
  </si>
  <si>
    <t>PB11030082399</t>
  </si>
  <si>
    <t>PB11070005342</t>
  </si>
  <si>
    <t>PB11070024491</t>
  </si>
  <si>
    <t>PB11070030677</t>
  </si>
  <si>
    <t>PB11070041745</t>
  </si>
  <si>
    <t>PB11070028298</t>
  </si>
  <si>
    <t>PB11070026706</t>
  </si>
  <si>
    <t>PB11070026494</t>
  </si>
  <si>
    <t>PB11070029649</t>
  </si>
  <si>
    <t>PB11070029652</t>
  </si>
  <si>
    <t>PB11070026486</t>
  </si>
  <si>
    <t>PB11070034811</t>
  </si>
  <si>
    <t>PB11070032721</t>
  </si>
  <si>
    <t>PB11070039256</t>
  </si>
  <si>
    <t>PB11070031531</t>
  </si>
  <si>
    <t>PB11070039798</t>
  </si>
  <si>
    <t>PB11070042641</t>
  </si>
  <si>
    <t>PB11070042548</t>
  </si>
  <si>
    <t>PB11070039801</t>
  </si>
  <si>
    <t>PB11070042640</t>
  </si>
  <si>
    <t>PB11070039358</t>
  </si>
  <si>
    <t>PB11070042459</t>
  </si>
  <si>
    <t>PB11070042457</t>
  </si>
  <si>
    <t>PB11070042458</t>
  </si>
  <si>
    <t>PB11070030678</t>
  </si>
  <si>
    <t>PB11070039255</t>
  </si>
  <si>
    <t>PB11070042642</t>
  </si>
  <si>
    <t>PB11070039359</t>
  </si>
  <si>
    <t>PB11070046527</t>
  </si>
  <si>
    <t>PB11070054733</t>
  </si>
  <si>
    <t>PB20020051818</t>
  </si>
  <si>
    <t>PB11070051183</t>
  </si>
  <si>
    <t>PB11070051181</t>
  </si>
  <si>
    <t>PB11070051239</t>
  </si>
  <si>
    <t>PB11070050524</t>
  </si>
  <si>
    <t>PB11070051600</t>
  </si>
  <si>
    <t>PB11070051185</t>
  </si>
  <si>
    <t>PB11070051184</t>
  </si>
  <si>
    <t>PB11070051280</t>
  </si>
  <si>
    <t>PB11070051182</t>
  </si>
  <si>
    <t>PB11070051210</t>
  </si>
  <si>
    <t>PB11070051211</t>
  </si>
  <si>
    <t>PB11070054032</t>
  </si>
  <si>
    <t>PB11070054447</t>
  </si>
  <si>
    <t>PB11070054875</t>
  </si>
  <si>
    <t>PB11070056551</t>
  </si>
  <si>
    <t>PB11080020335</t>
  </si>
  <si>
    <t>PB11090172452</t>
  </si>
  <si>
    <t>PB11080042817</t>
  </si>
  <si>
    <t>PB11080049225</t>
  </si>
  <si>
    <t>PB11080053798</t>
  </si>
  <si>
    <t>PB11080064297</t>
  </si>
  <si>
    <t>PB11030044362</t>
  </si>
  <si>
    <t>PB11080053754</t>
  </si>
  <si>
    <t>PB11080083608</t>
  </si>
  <si>
    <t>PB11080044361</t>
  </si>
  <si>
    <t>PB11080083607</t>
  </si>
  <si>
    <t>PB11080049227</t>
  </si>
  <si>
    <t>PB11080042816</t>
  </si>
  <si>
    <t>PB11080042815</t>
  </si>
  <si>
    <t>PB11080045156</t>
  </si>
  <si>
    <t>PB11080042818</t>
  </si>
  <si>
    <t>PB11080053795</t>
  </si>
  <si>
    <t>PB11080053747</t>
  </si>
  <si>
    <t>PB11080068688</t>
  </si>
  <si>
    <t>PB11080053796</t>
  </si>
  <si>
    <t>PB11080053749</t>
  </si>
  <si>
    <t>PB11080066089</t>
  </si>
  <si>
    <t>PB11080062676</t>
  </si>
  <si>
    <t>PB11080068687</t>
  </si>
  <si>
    <t>PB11080077253</t>
  </si>
  <si>
    <t>PB11080077035</t>
  </si>
  <si>
    <t>PB11080077256</t>
  </si>
  <si>
    <t>PB11090179638</t>
  </si>
  <si>
    <t>PB11080077255</t>
  </si>
  <si>
    <t>PB11080070477</t>
  </si>
  <si>
    <t>PB11080053743</t>
  </si>
  <si>
    <t>PB11080079239</t>
  </si>
  <si>
    <t>PB11080082002</t>
  </si>
  <si>
    <t>PB11080082486</t>
  </si>
  <si>
    <t>PB11080082485</t>
  </si>
  <si>
    <t>PB11080082484</t>
  </si>
  <si>
    <t>PB11090180189</t>
  </si>
  <si>
    <t>PB11080082533</t>
  </si>
  <si>
    <t>PB11080082606</t>
  </si>
  <si>
    <t>PB11080082534</t>
  </si>
  <si>
    <t>PB11080083000</t>
  </si>
  <si>
    <t>PB11080082625</t>
  </si>
  <si>
    <t>PB11080082535</t>
  </si>
  <si>
    <t>PB11080085174</t>
  </si>
  <si>
    <t>PB11080085688</t>
  </si>
  <si>
    <t>PB11040028830</t>
  </si>
  <si>
    <t>PB11040038930</t>
  </si>
  <si>
    <t>PB11040055623</t>
  </si>
  <si>
    <t>PB11040034634</t>
  </si>
  <si>
    <t>PB11040038929</t>
  </si>
  <si>
    <t>PB11040039116</t>
  </si>
  <si>
    <t>PB11040004472</t>
  </si>
  <si>
    <t>PB11040028829</t>
  </si>
  <si>
    <t>PB11040065580</t>
  </si>
  <si>
    <t>PB11040051633</t>
  </si>
  <si>
    <t>PB11040028828</t>
  </si>
  <si>
    <t>PB11040045072</t>
  </si>
  <si>
    <t>PB11040041941</t>
  </si>
  <si>
    <t>PB11040058857</t>
  </si>
  <si>
    <t>PB11040037922</t>
  </si>
  <si>
    <t>PB11040040057</t>
  </si>
  <si>
    <t>PB11040040054</t>
  </si>
  <si>
    <t>PB11040052727</t>
  </si>
  <si>
    <t>PB11040052724</t>
  </si>
  <si>
    <t>PB11040052726</t>
  </si>
  <si>
    <t>PB11040040055</t>
  </si>
  <si>
    <t>PB11040040000</t>
  </si>
  <si>
    <t>PB11040040056</t>
  </si>
  <si>
    <t>PB11040051607</t>
  </si>
  <si>
    <t>PB11040051609</t>
  </si>
  <si>
    <t>PB11040056184</t>
  </si>
  <si>
    <t>PB11040056439</t>
  </si>
  <si>
    <t>PB11040063293</t>
  </si>
  <si>
    <t>PB11040057366</t>
  </si>
  <si>
    <t>PB11040055585</t>
  </si>
  <si>
    <t>PB11040045351</t>
  </si>
  <si>
    <t>PB11040057600</t>
  </si>
  <si>
    <t>PB11040058125</t>
  </si>
  <si>
    <t>PB11040058124</t>
  </si>
  <si>
    <t>PB11040058126</t>
  </si>
  <si>
    <t>PB11040060402</t>
  </si>
  <si>
    <t>PB11040061337</t>
  </si>
  <si>
    <t>PB11040061338</t>
  </si>
  <si>
    <t>PB11040061456</t>
  </si>
  <si>
    <t>PB11040061336</t>
  </si>
  <si>
    <t>PB11040061332</t>
  </si>
  <si>
    <t>PB11040061333</t>
  </si>
  <si>
    <t>PB11040061373</t>
  </si>
  <si>
    <t>PB11040061453</t>
  </si>
  <si>
    <t>PB11040061454</t>
  </si>
  <si>
    <t>PB11040061452</t>
  </si>
  <si>
    <t>PB11040061451</t>
  </si>
  <si>
    <t>PB11040061455</t>
  </si>
  <si>
    <t>PB11040063418</t>
  </si>
  <si>
    <t>PB11040063430</t>
  </si>
  <si>
    <t>PB11040065838</t>
  </si>
  <si>
    <t>PB11060007429</t>
  </si>
  <si>
    <t>PB11060014054</t>
  </si>
  <si>
    <t>PB11060024435</t>
  </si>
  <si>
    <t>PB11060025372</t>
  </si>
  <si>
    <t>PB11060037440</t>
  </si>
  <si>
    <t>PB11060009970</t>
  </si>
  <si>
    <t>PB11060012623</t>
  </si>
  <si>
    <t>PB11060037438</t>
  </si>
  <si>
    <t>PB11060019808</t>
  </si>
  <si>
    <t>PB11060012636</t>
  </si>
  <si>
    <t>PB11060012624</t>
  </si>
  <si>
    <t>PB11060012621</t>
  </si>
  <si>
    <t>PB11060030658</t>
  </si>
  <si>
    <t>PB11060033749</t>
  </si>
  <si>
    <t>PB11060037422</t>
  </si>
  <si>
    <t>PB11060033747</t>
  </si>
  <si>
    <t>PB11060030648</t>
  </si>
  <si>
    <t>PB11060029871</t>
  </si>
  <si>
    <t>PB11060033745</t>
  </si>
  <si>
    <t>PB11060037434</t>
  </si>
  <si>
    <t>PB11060033746</t>
  </si>
  <si>
    <t>PB11060030548</t>
  </si>
  <si>
    <t>PB11060037433</t>
  </si>
  <si>
    <t>PB11060011692</t>
  </si>
  <si>
    <t>PB11060012265</t>
  </si>
  <si>
    <t>PB11060041455</t>
  </si>
  <si>
    <t>PB11060041615</t>
  </si>
  <si>
    <t>PB11060041224</t>
  </si>
  <si>
    <t>PB11060041226</t>
  </si>
  <si>
    <t>PB11060041551</t>
  </si>
  <si>
    <t>PB11060041223</t>
  </si>
  <si>
    <t>PB11060043041</t>
  </si>
  <si>
    <t>PB11060041225</t>
  </si>
  <si>
    <t>PB11060043147</t>
  </si>
  <si>
    <t>PB11060043496</t>
  </si>
  <si>
    <t>PB11060045586</t>
  </si>
  <si>
    <t>PB11060045593</t>
  </si>
  <si>
    <t>PB11060045592</t>
  </si>
  <si>
    <t>PB11060045594</t>
  </si>
  <si>
    <t>PB11060045596</t>
  </si>
  <si>
    <t>PB11060046212</t>
  </si>
  <si>
    <t>PB11060045595</t>
  </si>
  <si>
    <t>PB11060048061</t>
  </si>
  <si>
    <t>PB11060048062</t>
  </si>
  <si>
    <t>PB11060048644</t>
  </si>
  <si>
    <t>PB11060048642</t>
  </si>
  <si>
    <t>PB11060048753</t>
  </si>
  <si>
    <t>PB11060048645</t>
  </si>
  <si>
    <t>Siae, Ceragon dự phòng</t>
  </si>
  <si>
    <t>Thu hồi</t>
  </si>
  <si>
    <t>PB11050046550</t>
  </si>
  <si>
    <t>PB11010094437</t>
  </si>
  <si>
    <t>PB11050047097</t>
  </si>
  <si>
    <t>PB11090185048</t>
  </si>
  <si>
    <t>PB11090183597</t>
  </si>
  <si>
    <t>PB11090184207</t>
  </si>
  <si>
    <t>PB11020067195</t>
  </si>
  <si>
    <t>PB11020065211</t>
  </si>
  <si>
    <t>PB11020065654</t>
  </si>
  <si>
    <t>PB11020070753</t>
  </si>
  <si>
    <t>PB11020071552</t>
  </si>
  <si>
    <t>PB11010104891</t>
  </si>
  <si>
    <t>PB11010105551</t>
  </si>
  <si>
    <t>PB11010106108</t>
  </si>
  <si>
    <t>PB11010104966</t>
  </si>
  <si>
    <t>PB11010103613</t>
  </si>
  <si>
    <t>PB11010103420</t>
  </si>
  <si>
    <t>PB11010105860</t>
  </si>
  <si>
    <t>PB11010094441</t>
  </si>
  <si>
    <t>PB11010104698</t>
  </si>
  <si>
    <t>PB11010104756</t>
  </si>
  <si>
    <t>PB11010105330</t>
  </si>
  <si>
    <t>PB11010105861</t>
  </si>
  <si>
    <t>PB11030088205</t>
  </si>
  <si>
    <t>PB11030087309</t>
  </si>
  <si>
    <t>PB11090177685</t>
  </si>
  <si>
    <t>PB11030087163</t>
  </si>
  <si>
    <t>PB11030087164</t>
  </si>
  <si>
    <t>PB11070055712</t>
  </si>
  <si>
    <t>PB11080082999</t>
  </si>
  <si>
    <t>PB11080082604</t>
  </si>
  <si>
    <t>PB11080085149</t>
  </si>
  <si>
    <t>PB11080085689</t>
  </si>
  <si>
    <t>PB11080086390</t>
  </si>
  <si>
    <t>PB11080086040</t>
  </si>
  <si>
    <t>PB11040068917</t>
  </si>
  <si>
    <t>PB11040065663</t>
  </si>
  <si>
    <t>PB11040061331</t>
  </si>
  <si>
    <t>PB11060046754</t>
  </si>
  <si>
    <t>PB11040067202</t>
  </si>
  <si>
    <t>PB11040066818</t>
  </si>
  <si>
    <t>PB11060048930</t>
  </si>
  <si>
    <t>PB11060048514</t>
  </si>
  <si>
    <t>PB11060048751</t>
  </si>
  <si>
    <t>PB11060048754</t>
  </si>
  <si>
    <t>PB11060048643</t>
  </si>
  <si>
    <t>PB11060049273</t>
  </si>
  <si>
    <t>PB11040068630</t>
  </si>
  <si>
    <t>PB11060049271</t>
  </si>
  <si>
    <t>PB11050049677</t>
  </si>
  <si>
    <t>PB11070057683</t>
  </si>
  <si>
    <t>PB11040068949</t>
  </si>
  <si>
    <t>PB11040066817</t>
  </si>
  <si>
    <t>PB11020071553</t>
  </si>
  <si>
    <t>PB11090185047</t>
  </si>
  <si>
    <t>PB11020069571</t>
  </si>
  <si>
    <t>PB11020071551</t>
  </si>
  <si>
    <t>PB11020071602</t>
  </si>
  <si>
    <t>ID trạm</t>
  </si>
  <si>
    <t>Ngô Tiến Hiển</t>
  </si>
  <si>
    <t>CTBT87</t>
  </si>
  <si>
    <t>CTCR68</t>
  </si>
  <si>
    <t>CTCD55</t>
  </si>
  <si>
    <t>CTTN66</t>
  </si>
  <si>
    <t>CTTL60</t>
  </si>
  <si>
    <t>CTTL61</t>
  </si>
  <si>
    <t>CTOM71</t>
  </si>
  <si>
    <t>CTPD52</t>
  </si>
  <si>
    <t>CTPD53</t>
  </si>
  <si>
    <t>CTTL62</t>
  </si>
  <si>
    <t>CTTLX3</t>
  </si>
  <si>
    <t>Thái Thành</t>
  </si>
  <si>
    <t>LSW/CSG</t>
  </si>
  <si>
    <t>ok</t>
  </si>
  <si>
    <t>CRAN_CT Ninh Kiều 11</t>
  </si>
  <si>
    <t>CRAN_20CTOM001</t>
  </si>
  <si>
    <t>CRAN_20CTTL202</t>
  </si>
  <si>
    <t>CRAN_21CTBT001</t>
  </si>
  <si>
    <t>CRAN_21CTCR003</t>
  </si>
  <si>
    <t>CRAN_21CTOM006</t>
  </si>
  <si>
    <t>CRAN_21CTPD001</t>
  </si>
  <si>
    <t>CRAN_21CTPD004</t>
  </si>
  <si>
    <t>CRAN_21CTTL002</t>
  </si>
  <si>
    <t>CRAN_21CTTL001</t>
  </si>
  <si>
    <t>CRAN_21CTCD004</t>
  </si>
  <si>
    <t>CRAN_21CTTN005</t>
  </si>
  <si>
    <t>CRAN_21CTCR008</t>
  </si>
  <si>
    <t>CTNKL2</t>
  </si>
  <si>
    <t>CRAN_21CTNK001</t>
  </si>
  <si>
    <t>CRAN_KS TTC</t>
  </si>
  <si>
    <t>CRAN_CTNK206</t>
  </si>
  <si>
    <t>CTOMX4</t>
  </si>
  <si>
    <t>CTTLX4</t>
  </si>
  <si>
    <t>MVV</t>
  </si>
  <si>
    <t>KS Mường Thanh</t>
  </si>
  <si>
    <t>Số core VTC</t>
  </si>
  <si>
    <t>CRAN_16CTBT026</t>
  </si>
  <si>
    <t>CSG-CTCD26</t>
  </si>
  <si>
    <t>CSG-CTCD33</t>
  </si>
  <si>
    <t>Đã rút về kho</t>
  </si>
  <si>
    <t>LSW đã rút về kho</t>
  </si>
  <si>
    <t>VTC</t>
  </si>
  <si>
    <t>1 core về CTNK38</t>
  </si>
  <si>
    <t>1 core về CTNK53</t>
  </si>
  <si>
    <t>CSG-CTPD26</t>
  </si>
  <si>
    <t>CSG-CTTL11</t>
  </si>
  <si>
    <t>CSG-CTTL13</t>
  </si>
  <si>
    <t>CSG-CTTL14</t>
  </si>
  <si>
    <t>CSG-CTVT03</t>
  </si>
  <si>
    <t>CSG-CTVT09</t>
  </si>
  <si>
    <t>CSG-CTVT30</t>
  </si>
  <si>
    <t>CSG-CTVT24</t>
  </si>
  <si>
    <t>Bỏ Siae, card IPA200 đấu gs accu</t>
  </si>
  <si>
    <t>Tách ra từ NKD5</t>
  </si>
  <si>
    <t>Tách ra từ CRX2</t>
  </si>
  <si>
    <t>Bỏ IPA 200</t>
  </si>
  <si>
    <t>PB11030089798</t>
  </si>
  <si>
    <t>KYO POWER 18KVA</t>
  </si>
  <si>
    <t>ID Trạm</t>
  </si>
  <si>
    <t>Tỉnh/Quận/
huyện</t>
  </si>
  <si>
    <t>Công suất máy (KVA)</t>
  </si>
  <si>
    <t>Nhãn hiệu máy nổ</t>
  </si>
  <si>
    <t>Nhiên liệu</t>
  </si>
  <si>
    <t>Cần Thơ</t>
  </si>
  <si>
    <t>Dầu</t>
  </si>
  <si>
    <t>12,5</t>
  </si>
  <si>
    <t>Xăng</t>
  </si>
  <si>
    <t>VIETGEN 150KVA</t>
  </si>
  <si>
    <t>VIETGEN 12KVA</t>
  </si>
  <si>
    <t>SAMDI - ISUZU 12KVA</t>
  </si>
  <si>
    <t>KYO POWER 7KVA Xăng</t>
  </si>
  <si>
    <t>Kim Bình 6KVA</t>
  </si>
  <si>
    <t>NV Quản Lí</t>
  </si>
  <si>
    <t>CTBTX1</t>
  </si>
  <si>
    <t>Lê Văn Xuân</t>
  </si>
  <si>
    <t>CTCRY2</t>
  </si>
  <si>
    <t>CTCRY3</t>
  </si>
  <si>
    <t>CTCRS0</t>
  </si>
  <si>
    <t>CTCRS1</t>
  </si>
  <si>
    <t>CTCRS2</t>
  </si>
  <si>
    <t>CTNKZ0</t>
  </si>
  <si>
    <t>CTNKY9</t>
  </si>
  <si>
    <t>CTNKZ1</t>
  </si>
  <si>
    <t>CTNKY8</t>
  </si>
  <si>
    <t>CTNKZ2</t>
  </si>
  <si>
    <t>Kho</t>
  </si>
  <si>
    <t>TRẠM MAIN</t>
  </si>
  <si>
    <t>Cran</t>
  </si>
  <si>
    <t>Main</t>
  </si>
  <si>
    <t>CTCRL2</t>
  </si>
  <si>
    <t>CTCRL4</t>
  </si>
  <si>
    <t>CTNKL7</t>
  </si>
  <si>
    <t>CTTN67</t>
  </si>
  <si>
    <t>CTVT59</t>
  </si>
  <si>
    <t>CTVTX4</t>
  </si>
  <si>
    <t>ghi chú</t>
  </si>
  <si>
    <t>VR4 chia luồng ở CTCD40, về CSG CTOM05</t>
  </si>
  <si>
    <t xml:space="preserve"> Bỏ VR4</t>
  </si>
  <si>
    <t>dự phòng</t>
  </si>
  <si>
    <t>tháo nhập kho</t>
  </si>
  <si>
    <t>Đã rút LSW về kho</t>
  </si>
  <si>
    <t xml:space="preserve"> </t>
  </si>
  <si>
    <t>Bỏ Ceragon 13G</t>
  </si>
  <si>
    <t>VR4 chia luồng ở CTCD38, về CSG CTOM05</t>
  </si>
  <si>
    <t>Bỏ CRG 7G</t>
  </si>
  <si>
    <t>Card IDU VR4 dau gs tu nguon</t>
  </si>
  <si>
    <t>LSW-CTCR04</t>
  </si>
  <si>
    <t>LSW-CTNKE8</t>
  </si>
  <si>
    <t>CV Sông Hậu</t>
  </si>
  <si>
    <t>LSW-CTBT49</t>
  </si>
  <si>
    <t>CV LHP</t>
  </si>
  <si>
    <t>CRAN_20CTCR205</t>
  </si>
  <si>
    <t>Loại máy nổ</t>
  </si>
  <si>
    <t>Năm đưa vào sử dụng</t>
  </si>
  <si>
    <t>Xuất xứ</t>
  </si>
  <si>
    <t>Tình trạng MPĐ</t>
  </si>
  <si>
    <t>ATS</t>
  </si>
  <si>
    <t>Phụ Tải  MPĐ &gt; 70%</t>
  </si>
  <si>
    <t>Định mức tiêu hao nhiên liệu</t>
  </si>
  <si>
    <t>Tỉnh</t>
  </si>
  <si>
    <t>Loại Nhiên liệu</t>
  </si>
  <si>
    <t>Dung tích bình(lít)</t>
  </si>
  <si>
    <t>Việt Nam</t>
  </si>
  <si>
    <t>50 &lt; PT ≤ 75</t>
  </si>
  <si>
    <t>Dân</t>
  </si>
  <si>
    <t>Cắt máy dân đầu năm 2025</t>
  </si>
  <si>
    <t>Cắt máy dân đầu năm 2024</t>
  </si>
  <si>
    <t>Cắt máy dân giửa năm 2024</t>
  </si>
  <si>
    <t xml:space="preserve">75 &lt; PT </t>
  </si>
  <si>
    <t>DenYo</t>
  </si>
  <si>
    <t>Vykino</t>
  </si>
  <si>
    <t>cũ</t>
  </si>
  <si>
    <t>Cắt máy dân cuối năm 2024</t>
  </si>
  <si>
    <t>CTBT88</t>
  </si>
  <si>
    <t>23CTBT002</t>
  </si>
  <si>
    <t>CTBT89</t>
  </si>
  <si>
    <t>23CTBT007</t>
  </si>
  <si>
    <t>CTCD58</t>
  </si>
  <si>
    <t>21CTCD006</t>
  </si>
  <si>
    <t>CTCR70</t>
  </si>
  <si>
    <t>24CTCR005</t>
  </si>
  <si>
    <t>CTCR71</t>
  </si>
  <si>
    <t>24CTCR006</t>
  </si>
  <si>
    <t>CTCR72</t>
  </si>
  <si>
    <t>24CTCR007</t>
  </si>
  <si>
    <t>CTCR73</t>
  </si>
  <si>
    <t>24CTCR008</t>
  </si>
  <si>
    <t>CTCR74</t>
  </si>
  <si>
    <t>24CTCR009</t>
  </si>
  <si>
    <t>CTCR75</t>
  </si>
  <si>
    <t>23CTCR008</t>
  </si>
  <si>
    <t>CTNKF3</t>
  </si>
  <si>
    <t>20CTNK205</t>
  </si>
  <si>
    <t>CTNKF4</t>
  </si>
  <si>
    <t>20CTNK210</t>
  </si>
  <si>
    <t>CTNKF5</t>
  </si>
  <si>
    <t>21CTNK003</t>
  </si>
  <si>
    <t>CTNKF6</t>
  </si>
  <si>
    <t>23CTNK006</t>
  </si>
  <si>
    <t>CTNKF7</t>
  </si>
  <si>
    <t>23CTNK007</t>
  </si>
  <si>
    <t>CTNKF8</t>
  </si>
  <si>
    <t>24CTNK004</t>
  </si>
  <si>
    <t>CTNKF9</t>
  </si>
  <si>
    <t>24CTNK006</t>
  </si>
  <si>
    <t>CTNKG0</t>
  </si>
  <si>
    <t>24CTNK007</t>
  </si>
  <si>
    <t>CTNKG1</t>
  </si>
  <si>
    <t>24CTNK008</t>
  </si>
  <si>
    <t>CTNKG3</t>
  </si>
  <si>
    <t>21CTNK004</t>
  </si>
  <si>
    <t>CTNKG4</t>
  </si>
  <si>
    <t>21CTNK006</t>
  </si>
  <si>
    <t>CTOM72</t>
  </si>
  <si>
    <t>23CTOM003</t>
  </si>
  <si>
    <t>CTOM73</t>
  </si>
  <si>
    <t>23CTOM004</t>
  </si>
  <si>
    <t>CTOM74</t>
  </si>
  <si>
    <t>23CTOM007</t>
  </si>
  <si>
    <t>CTPD54</t>
  </si>
  <si>
    <t>20CTPD202</t>
  </si>
  <si>
    <t>CTTL63</t>
  </si>
  <si>
    <t>23CTTL010</t>
  </si>
  <si>
    <t>CTVT60</t>
  </si>
  <si>
    <t>20CTVT006</t>
  </si>
  <si>
    <t>CTVT62</t>
  </si>
  <si>
    <t>23CTVT002</t>
  </si>
  <si>
    <t>Còn 2G</t>
  </si>
  <si>
    <t>Không có 2G</t>
  </si>
  <si>
    <t>Nguyễn Minh Quân</t>
  </si>
  <si>
    <t>LSW-CTCR14</t>
  </si>
  <si>
    <t>CTCD57</t>
  </si>
  <si>
    <t>CSG-CTCD40</t>
  </si>
  <si>
    <t>LSW-CTPD13</t>
  </si>
  <si>
    <t>CSG-CTCR34</t>
  </si>
  <si>
    <t>CSG-CTCR07</t>
  </si>
  <si>
    <t>mvv</t>
  </si>
  <si>
    <t>Mobi chạy LD</t>
  </si>
  <si>
    <t>Macro</t>
  </si>
  <si>
    <t>Nhân viên chạy máy</t>
  </si>
  <si>
    <t>CSG/LSW</t>
  </si>
  <si>
    <t>Thông tin máy</t>
  </si>
  <si>
    <t>CTOM75</t>
  </si>
  <si>
    <t>CTCR76</t>
  </si>
  <si>
    <t>CTNKG6</t>
  </si>
  <si>
    <t>CTNKG8</t>
  </si>
  <si>
    <t>CTNKG9</t>
  </si>
  <si>
    <t>Kế hoạch chạy máy LD ngày 23/11</t>
  </si>
  <si>
    <t>Có máy đối tác</t>
  </si>
  <si>
    <t>Có máy LD tại site</t>
  </si>
  <si>
    <t>Ưu tiên 2</t>
  </si>
  <si>
    <t>Ưu tiên 1</t>
  </si>
  <si>
    <t>Đã chuyển máy</t>
  </si>
  <si>
    <t>mượn HG</t>
  </si>
  <si>
    <t>máy 01</t>
  </si>
  <si>
    <t>máy 04</t>
  </si>
  <si>
    <t>Số Máy</t>
  </si>
  <si>
    <t>máy mượn</t>
  </si>
  <si>
    <t>máy 26</t>
  </si>
  <si>
    <t>CT'VTX2</t>
  </si>
  <si>
    <t>máy gốc</t>
  </si>
  <si>
    <t>Không số</t>
  </si>
  <si>
    <t>Thiếu máy, có 1 accu, cầm đc nửa ngày</t>
  </si>
  <si>
    <t>Nhờ a Hùng lock, nếu mll cell</t>
  </si>
  <si>
    <t>Thiếu máy, cúp mll liền, ko lắp đc vali</t>
  </si>
  <si>
    <t>CTNKG7</t>
  </si>
  <si>
    <t>Nhà dân chạy</t>
  </si>
  <si>
    <t>Lê Minh Đức</t>
  </si>
  <si>
    <t>Phạm Thế Hùng</t>
  </si>
  <si>
    <t>Mai Tấn Phú</t>
  </si>
  <si>
    <t>Trần Quốc Thuận</t>
  </si>
  <si>
    <t>Nguyễn Văn Tri</t>
  </si>
  <si>
    <t>CHUYÊN VIÊN QLT</t>
  </si>
  <si>
    <t>CTOBTY01</t>
  </si>
  <si>
    <t>PHƯỜNG BÌNH THỦY</t>
  </si>
  <si>
    <t>CTOBTY02</t>
  </si>
  <si>
    <t>CTOBTY03</t>
  </si>
  <si>
    <t>CTOBTY04</t>
  </si>
  <si>
    <t>CTOBTY05</t>
  </si>
  <si>
    <t>CTOLTN01</t>
  </si>
  <si>
    <t>PHƯỜNG LONG TUYỀN</t>
  </si>
  <si>
    <t>CTOLTN02</t>
  </si>
  <si>
    <t>CTOBTY06</t>
  </si>
  <si>
    <t>CTOBTY07</t>
  </si>
  <si>
    <t>CTOLTN03</t>
  </si>
  <si>
    <t>CTOBTY08</t>
  </si>
  <si>
    <t>CTOLTN04</t>
  </si>
  <si>
    <t>CTOLTN05</t>
  </si>
  <si>
    <t>CTOBTY09</t>
  </si>
  <si>
    <t>CTOBTY10</t>
  </si>
  <si>
    <t>CTOBTY11</t>
  </si>
  <si>
    <t>CTOBTY12</t>
  </si>
  <si>
    <t>CTOBTY13</t>
  </si>
  <si>
    <t>CTOTAD01</t>
  </si>
  <si>
    <t>PHƯỜNG THỚI AN ĐÔNG</t>
  </si>
  <si>
    <t>CTOBTY14</t>
  </si>
  <si>
    <t>CTOLTN06</t>
  </si>
  <si>
    <t>CTOLTN07</t>
  </si>
  <si>
    <t>CTOLTN08</t>
  </si>
  <si>
    <t>CTOLTN09</t>
  </si>
  <si>
    <t>CTOLTN10</t>
  </si>
  <si>
    <t>CTOLTN11</t>
  </si>
  <si>
    <t>CTOTAD02</t>
  </si>
  <si>
    <t>CTOTAD03</t>
  </si>
  <si>
    <t>CTOLTN12</t>
  </si>
  <si>
    <t>CTOTAD04</t>
  </si>
  <si>
    <t>CTOBTY15</t>
  </si>
  <si>
    <t>CTOBTY16</t>
  </si>
  <si>
    <t>CTOLTN13</t>
  </si>
  <si>
    <t>CTOBTY17</t>
  </si>
  <si>
    <t>CTOTAD05</t>
  </si>
  <si>
    <t>CTOBTY18</t>
  </si>
  <si>
    <t>CTOTAD06</t>
  </si>
  <si>
    <t>CTOTAD07</t>
  </si>
  <si>
    <t>CTOBTY19</t>
  </si>
  <si>
    <t>CTOBTY20</t>
  </si>
  <si>
    <t>CTOBTY21</t>
  </si>
  <si>
    <t>CTOBTY22</t>
  </si>
  <si>
    <t>CTOLTN14</t>
  </si>
  <si>
    <t>CTOTAD08</t>
  </si>
  <si>
    <t>CTOTAD09</t>
  </si>
  <si>
    <t>CTOLTN15</t>
  </si>
  <si>
    <t>CTOBTY23</t>
  </si>
  <si>
    <t>CTOTAD10</t>
  </si>
  <si>
    <t>CTOLTN16</t>
  </si>
  <si>
    <t>CTOTAD11</t>
  </si>
  <si>
    <t>CTOBTY24</t>
  </si>
  <si>
    <t>CTOLTN17</t>
  </si>
  <si>
    <t>CTOLTN18</t>
  </si>
  <si>
    <t>CTOLTN19</t>
  </si>
  <si>
    <t>CTOLTN20</t>
  </si>
  <si>
    <t>CTOLTN21</t>
  </si>
  <si>
    <t>CTOLTN22</t>
  </si>
  <si>
    <t>CTOLTN23</t>
  </si>
  <si>
    <t>CTOLTN24</t>
  </si>
  <si>
    <t>CTOBTY25</t>
  </si>
  <si>
    <t>CTOBTY26</t>
  </si>
  <si>
    <t>CTOBTY27</t>
  </si>
  <si>
    <t>CTOLTN25</t>
  </si>
  <si>
    <t>CTOLTN26</t>
  </si>
  <si>
    <t>CTOTAD12</t>
  </si>
  <si>
    <t>CTOTAD13</t>
  </si>
  <si>
    <t>CTOLTN27</t>
  </si>
  <si>
    <t>CTOTAD14</t>
  </si>
  <si>
    <t>CTOTAD15</t>
  </si>
  <si>
    <t>CTOLTN28</t>
  </si>
  <si>
    <t>CTOBTY28</t>
  </si>
  <si>
    <t>CTOLTN29</t>
  </si>
  <si>
    <t>CTOTAD16</t>
  </si>
  <si>
    <t>CTOTAD17</t>
  </si>
  <si>
    <t>CTOBTY29</t>
  </si>
  <si>
    <t>CTOBTY30</t>
  </si>
  <si>
    <t>CTOLTN30</t>
  </si>
  <si>
    <t>CTOBTY31</t>
  </si>
  <si>
    <t>CTOLTN31</t>
  </si>
  <si>
    <t>CTOBTY32</t>
  </si>
  <si>
    <t>CTOLTN32</t>
  </si>
  <si>
    <t>CTOTAD18</t>
  </si>
  <si>
    <t>CTOBTY34</t>
  </si>
  <si>
    <t>CTOCDO01</t>
  </si>
  <si>
    <t>XÃ CỜ ĐỎ</t>
  </si>
  <si>
    <t>CTOCDO02</t>
  </si>
  <si>
    <t>CTOTNT01</t>
  </si>
  <si>
    <t>PHƯỜNG TRUNG NHỨT</t>
  </si>
  <si>
    <t>CTOVIT01</t>
  </si>
  <si>
    <t>XÃ VĨNH THẠNH</t>
  </si>
  <si>
    <t>CTOTHU01</t>
  </si>
  <si>
    <t>XÃ TRUNG HƯNG</t>
  </si>
  <si>
    <t>CTOTHU02</t>
  </si>
  <si>
    <t>CTOTPU01</t>
  </si>
  <si>
    <t>XÃ THẠNH PHÚ</t>
  </si>
  <si>
    <t>CTOTHU03</t>
  </si>
  <si>
    <t>CTOTNT02</t>
  </si>
  <si>
    <t>CTOTIH01</t>
  </si>
  <si>
    <t>XÃ THỚI HƯNG</t>
  </si>
  <si>
    <t>CTOCDO03</t>
  </si>
  <si>
    <t>CTOCDO04</t>
  </si>
  <si>
    <t>CTOTHU04</t>
  </si>
  <si>
    <t>CTOCDO05</t>
  </si>
  <si>
    <t>CTOCDO06</t>
  </si>
  <si>
    <t>CTOCDO07</t>
  </si>
  <si>
    <t>CTODHP01</t>
  </si>
  <si>
    <t>XÃ ĐÔNG HIỆP</t>
  </si>
  <si>
    <t>CTODHP02</t>
  </si>
  <si>
    <t>CTOTNT03</t>
  </si>
  <si>
    <t>CTOTHU05</t>
  </si>
  <si>
    <t>CTOTPU02</t>
  </si>
  <si>
    <t>CTOTPU03</t>
  </si>
  <si>
    <t>CTOTPU04</t>
  </si>
  <si>
    <t>CTOTHU06</t>
  </si>
  <si>
    <t>CTOCDO08</t>
  </si>
  <si>
    <t>CTOTPU05</t>
  </si>
  <si>
    <t>CTOTHU07</t>
  </si>
  <si>
    <t>CTOTIH02</t>
  </si>
  <si>
    <t>CTOTPU06</t>
  </si>
  <si>
    <t>CTOTHU08</t>
  </si>
  <si>
    <t>CTOTHU09</t>
  </si>
  <si>
    <t>CTODHP03</t>
  </si>
  <si>
    <t>CTOTPU07</t>
  </si>
  <si>
    <t>CTOCDO09</t>
  </si>
  <si>
    <t>CTODHP04</t>
  </si>
  <si>
    <t>CTOTIH03</t>
  </si>
  <si>
    <t>CTOCDO10</t>
  </si>
  <si>
    <t>CTOTIH04</t>
  </si>
  <si>
    <t>CTOCDO11</t>
  </si>
  <si>
    <t>CTOCDO12</t>
  </si>
  <si>
    <t>CTOTPU08</t>
  </si>
  <si>
    <t>CTOCDO13</t>
  </si>
  <si>
    <t>CTOTIH05</t>
  </si>
  <si>
    <t>CTOTHU10</t>
  </si>
  <si>
    <t>CTOTIH06</t>
  </si>
  <si>
    <t>CTOTNT04</t>
  </si>
  <si>
    <t>CTOTPU09</t>
  </si>
  <si>
    <t>CTOTHU11</t>
  </si>
  <si>
    <t>CTOTIH07</t>
  </si>
  <si>
    <t>CTOTIH08</t>
  </si>
  <si>
    <t>CTOTHU12</t>
  </si>
  <si>
    <t>CTOTIH09</t>
  </si>
  <si>
    <t>CTOCDO14</t>
  </si>
  <si>
    <t>CTOTIH10</t>
  </si>
  <si>
    <t>CTOTIH11</t>
  </si>
  <si>
    <t>CTOTIH12</t>
  </si>
  <si>
    <t>CTOCRG01</t>
  </si>
  <si>
    <t>PHƯỜNG CÁI RĂNG</t>
  </si>
  <si>
    <t>CTOCRG02</t>
  </si>
  <si>
    <t>CTOCRG03</t>
  </si>
  <si>
    <t>CTOHPU01</t>
  </si>
  <si>
    <t>PHƯỜNG HƯNG PHÚ</t>
  </si>
  <si>
    <t>CTOHPU02</t>
  </si>
  <si>
    <t>CTOCRG04</t>
  </si>
  <si>
    <t>CTOCRG05</t>
  </si>
  <si>
    <t>CTOCRG06</t>
  </si>
  <si>
    <t>CTOHPU03</t>
  </si>
  <si>
    <t>CTOCRG07</t>
  </si>
  <si>
    <t>CTOCRG08</t>
  </si>
  <si>
    <t>CTOTHX01</t>
  </si>
  <si>
    <t>XÃ THẠNH XUÂN</t>
  </si>
  <si>
    <t>CTOCRG09</t>
  </si>
  <si>
    <t>CTOHPU04</t>
  </si>
  <si>
    <t>CTOCRG10</t>
  </si>
  <si>
    <t>CTOHPU05</t>
  </si>
  <si>
    <t>CTOHPU06</t>
  </si>
  <si>
    <t>CTOHPU07</t>
  </si>
  <si>
    <t>CTOHPU08</t>
  </si>
  <si>
    <t>CTOHPU09</t>
  </si>
  <si>
    <t>CTOCRG11</t>
  </si>
  <si>
    <t>CTOCRG12</t>
  </si>
  <si>
    <t>CTOCRG13</t>
  </si>
  <si>
    <t>CTOHPU10</t>
  </si>
  <si>
    <t>CTOCRG14</t>
  </si>
  <si>
    <t>CTOCRG15</t>
  </si>
  <si>
    <t>CTOHPU11</t>
  </si>
  <si>
    <t>CTOHPU12</t>
  </si>
  <si>
    <t>CTOHPU13</t>
  </si>
  <si>
    <t>CTOHPU14</t>
  </si>
  <si>
    <t>CTOHPU15</t>
  </si>
  <si>
    <t>CTOCRG16</t>
  </si>
  <si>
    <t>CTOHPU16</t>
  </si>
  <si>
    <t>CTOCRG17</t>
  </si>
  <si>
    <t>CTOCRG18</t>
  </si>
  <si>
    <t>CTOHPU17</t>
  </si>
  <si>
    <t>CTOHPU18</t>
  </si>
  <si>
    <t>CTOHPU19</t>
  </si>
  <si>
    <t>CTOCRG19</t>
  </si>
  <si>
    <t>CTOHPU20</t>
  </si>
  <si>
    <t>CTOCRG20</t>
  </si>
  <si>
    <t>CTOHPU21</t>
  </si>
  <si>
    <t>CTOHPU22</t>
  </si>
  <si>
    <t>CTOCRG21</t>
  </si>
  <si>
    <t>CTOCRG22</t>
  </si>
  <si>
    <t>CTOCRG23</t>
  </si>
  <si>
    <t>CTOHPU23</t>
  </si>
  <si>
    <t>CTOHPU24</t>
  </si>
  <si>
    <t>CTOHPU25</t>
  </si>
  <si>
    <t>CTOCRG24</t>
  </si>
  <si>
    <t>CTOCRG25</t>
  </si>
  <si>
    <t>CTOHPU26</t>
  </si>
  <si>
    <t>CTOHPU27</t>
  </si>
  <si>
    <t>CTOHPU28</t>
  </si>
  <si>
    <t>CTOCRG26</t>
  </si>
  <si>
    <t>CTOCRG27</t>
  </si>
  <si>
    <t>CTOHPU29</t>
  </si>
  <si>
    <t>CTOHPU30</t>
  </si>
  <si>
    <t>CTOCRG28</t>
  </si>
  <si>
    <t>CTOCRG29</t>
  </si>
  <si>
    <t>CTOCRG30</t>
  </si>
  <si>
    <t>CTOHPU31</t>
  </si>
  <si>
    <t>CTOCRG31</t>
  </si>
  <si>
    <t>CTOHPU32</t>
  </si>
  <si>
    <t>CTOCRG32</t>
  </si>
  <si>
    <t>CTOCRG33</t>
  </si>
  <si>
    <t>CTOHPU35</t>
  </si>
  <si>
    <t>CTOCRG38</t>
  </si>
  <si>
    <t>CTOHPU36</t>
  </si>
  <si>
    <t>CTOHPU42</t>
  </si>
  <si>
    <t>CTOHPU43</t>
  </si>
  <si>
    <t>CTOCRG39</t>
  </si>
  <si>
    <t>CTOHPU37</t>
  </si>
  <si>
    <t>CTOHPU38</t>
  </si>
  <si>
    <t>CTOCRG40</t>
  </si>
  <si>
    <t>CTOHPU39</t>
  </si>
  <si>
    <t>CTOCRG41</t>
  </si>
  <si>
    <t>CTOCRG42</t>
  </si>
  <si>
    <t>CTOHPU40</t>
  </si>
  <si>
    <t>CTOHPU41</t>
  </si>
  <si>
    <t>CTOCRG43</t>
  </si>
  <si>
    <t>CTONKU01</t>
  </si>
  <si>
    <t>PHƯỜNG NINH KIỀU</t>
  </si>
  <si>
    <t>CTONKU02</t>
  </si>
  <si>
    <t>CTONKU03</t>
  </si>
  <si>
    <t>CTONKU04</t>
  </si>
  <si>
    <t>CTONKU05</t>
  </si>
  <si>
    <t>CTOTAN01</t>
  </si>
  <si>
    <t>PHƯỜNG TÂN AN</t>
  </si>
  <si>
    <t>CTOCKE01</t>
  </si>
  <si>
    <t>PHƯỜNG CÁI KHẾ</t>
  </si>
  <si>
    <t>CTONKU06</t>
  </si>
  <si>
    <t>CTOTAN02</t>
  </si>
  <si>
    <t>CTOTAN03</t>
  </si>
  <si>
    <t>CTOTAN04</t>
  </si>
  <si>
    <t>CTONKU07</t>
  </si>
  <si>
    <t>CTONKU08</t>
  </si>
  <si>
    <t>CTONKU09</t>
  </si>
  <si>
    <t>CTONKU10</t>
  </si>
  <si>
    <t>CTONKU11</t>
  </si>
  <si>
    <t>CTONKU12</t>
  </si>
  <si>
    <t>CTOTAN05</t>
  </si>
  <si>
    <t>CTOCKE02</t>
  </si>
  <si>
    <t>CTOTAN06</t>
  </si>
  <si>
    <t>CTOCKE03</t>
  </si>
  <si>
    <t>CTONKU13</t>
  </si>
  <si>
    <t>CTONKU14</t>
  </si>
  <si>
    <t>CTONKU15</t>
  </si>
  <si>
    <t>CTOCKE04</t>
  </si>
  <si>
    <t>CTOCKE05</t>
  </si>
  <si>
    <t>CTONKU16</t>
  </si>
  <si>
    <t>CTONKU17</t>
  </si>
  <si>
    <t>CTOABH01</t>
  </si>
  <si>
    <t>PHƯỜNG AN BÌNH</t>
  </si>
  <si>
    <t>CTOABH02</t>
  </si>
  <si>
    <t>CTOCKE06</t>
  </si>
  <si>
    <t>CTONKU18</t>
  </si>
  <si>
    <t>CTOABH03</t>
  </si>
  <si>
    <t>CTOTAN07</t>
  </si>
  <si>
    <t>CTOTAN08</t>
  </si>
  <si>
    <t>CTOCKE07</t>
  </si>
  <si>
    <t>CTONKU19</t>
  </si>
  <si>
    <t>CTONKU20</t>
  </si>
  <si>
    <t>CTONKU21</t>
  </si>
  <si>
    <t>CTOCKE08</t>
  </si>
  <si>
    <t>CTOTAN09</t>
  </si>
  <si>
    <t>CTOABH04</t>
  </si>
  <si>
    <t>CTONKU22</t>
  </si>
  <si>
    <t>CTOCKE09</t>
  </si>
  <si>
    <t>CTOCKE10</t>
  </si>
  <si>
    <t>CTOCKE11</t>
  </si>
  <si>
    <t>CTOTAN10</t>
  </si>
  <si>
    <t>CTOTAN11</t>
  </si>
  <si>
    <t>CTONKU23</t>
  </si>
  <si>
    <t>CTOTAN12</t>
  </si>
  <si>
    <t>CTOABH05</t>
  </si>
  <si>
    <t>CTOTAN13</t>
  </si>
  <si>
    <t>CTONKU24</t>
  </si>
  <si>
    <t>CTOTAN14</t>
  </si>
  <si>
    <t>CTONKU25</t>
  </si>
  <si>
    <t>CTOTAN15</t>
  </si>
  <si>
    <t>CTOTAN16</t>
  </si>
  <si>
    <t>CTOABH06</t>
  </si>
  <si>
    <t>CTONKU26</t>
  </si>
  <si>
    <t>CTOABH07</t>
  </si>
  <si>
    <t>CTOTAN17</t>
  </si>
  <si>
    <t>CTOTAN18</t>
  </si>
  <si>
    <t>CTONKU27</t>
  </si>
  <si>
    <t>CTONKU28</t>
  </si>
  <si>
    <t>CTOCKE12</t>
  </si>
  <si>
    <t>CTOTAN19</t>
  </si>
  <si>
    <t>CTONKU29</t>
  </si>
  <si>
    <t>CTOTAN20</t>
  </si>
  <si>
    <t>CTOCKE13</t>
  </si>
  <si>
    <t>CTOCKE14</t>
  </si>
  <si>
    <t>CTOCKE15</t>
  </si>
  <si>
    <t>CTOCKE16</t>
  </si>
  <si>
    <t>CTOCKE17</t>
  </si>
  <si>
    <t>CTOTAN21</t>
  </si>
  <si>
    <t>CTONKU30</t>
  </si>
  <si>
    <t>CTOCKE18</t>
  </si>
  <si>
    <t>CTOTAN22</t>
  </si>
  <si>
    <t>CTOCKE19</t>
  </si>
  <si>
    <t>CTONKU31</t>
  </si>
  <si>
    <t>CTOTAN23</t>
  </si>
  <si>
    <t>CTOCKE20</t>
  </si>
  <si>
    <t>CTONKU32</t>
  </si>
  <si>
    <t>CTOABH08</t>
  </si>
  <si>
    <t>CTONKU33</t>
  </si>
  <si>
    <t>CTOTAN24</t>
  </si>
  <si>
    <t>CTOTAN25</t>
  </si>
  <si>
    <t>CTOABH09</t>
  </si>
  <si>
    <t>CTOCKE21</t>
  </si>
  <si>
    <t>CTOTAN26</t>
  </si>
  <si>
    <t>CTOABH10</t>
  </si>
  <si>
    <t>CTOTAN27</t>
  </si>
  <si>
    <t>CTOABH11</t>
  </si>
  <si>
    <t>CTOCKE22</t>
  </si>
  <si>
    <t>CTOCKE23</t>
  </si>
  <si>
    <t>CTOCKE24</t>
  </si>
  <si>
    <t>CTONKU34</t>
  </si>
  <si>
    <t>CTOABH12</t>
  </si>
  <si>
    <t>CTOABH13</t>
  </si>
  <si>
    <t>CTOCKE25</t>
  </si>
  <si>
    <t>CTONKU35</t>
  </si>
  <si>
    <t>CTOABH14</t>
  </si>
  <si>
    <t>CTONKU36</t>
  </si>
  <si>
    <t>CTONKU37</t>
  </si>
  <si>
    <t>CTONKU38</t>
  </si>
  <si>
    <t>CTOTAN28</t>
  </si>
  <si>
    <t>CTOTAN29</t>
  </si>
  <si>
    <t>CTONKU39</t>
  </si>
  <si>
    <t>CTOCKE26</t>
  </si>
  <si>
    <t>CTONKU40</t>
  </si>
  <si>
    <t>CTOABH15</t>
  </si>
  <si>
    <t>CTOCKE27</t>
  </si>
  <si>
    <t>CTOTAN30</t>
  </si>
  <si>
    <t>CTOTAN31</t>
  </si>
  <si>
    <t>CTOCKE28</t>
  </si>
  <si>
    <t>CTOABH16</t>
  </si>
  <si>
    <t>CTOTAN32</t>
  </si>
  <si>
    <t>CTOTAN33</t>
  </si>
  <si>
    <t>CTOTAN34</t>
  </si>
  <si>
    <t>CTOTAN35</t>
  </si>
  <si>
    <t>CTOCKE29</t>
  </si>
  <si>
    <t>CTOCKE30</t>
  </si>
  <si>
    <t>CTOCKE31</t>
  </si>
  <si>
    <t>CTONKU41</t>
  </si>
  <si>
    <t>CTOCKE32</t>
  </si>
  <si>
    <t>CTOABH18</t>
  </si>
  <si>
    <t>CTOCKE33</t>
  </si>
  <si>
    <t>CTONKU49</t>
  </si>
  <si>
    <t>CTOABH19</t>
  </si>
  <si>
    <t>CTOCKE39</t>
  </si>
  <si>
    <t>CTOCKE38</t>
  </si>
  <si>
    <t>CTONKU53</t>
  </si>
  <si>
    <t>CTOABH22</t>
  </si>
  <si>
    <t>CTONKU54</t>
  </si>
  <si>
    <t>CTOABH20</t>
  </si>
  <si>
    <t>CTOCKE34</t>
  </si>
  <si>
    <t>CTOCKE35</t>
  </si>
  <si>
    <t>CTOCKE36</t>
  </si>
  <si>
    <t>CTOTAN38</t>
  </si>
  <si>
    <t>CTONKU50</t>
  </si>
  <si>
    <t>CTONKU51</t>
  </si>
  <si>
    <t>CTOTAN39</t>
  </si>
  <si>
    <t>CTONKU52</t>
  </si>
  <si>
    <t>CTOCKE37</t>
  </si>
  <si>
    <t>CTOABH21</t>
  </si>
  <si>
    <t>CTOOMN01</t>
  </si>
  <si>
    <t>PHƯỜNG Ô MÔN</t>
  </si>
  <si>
    <t>CTOOMN02</t>
  </si>
  <si>
    <t>CTOOMN03</t>
  </si>
  <si>
    <t>CTOOMN04</t>
  </si>
  <si>
    <t>CTOTLG01</t>
  </si>
  <si>
    <t>PHƯỜNG THỚI LONG</t>
  </si>
  <si>
    <t>CTOOMN05</t>
  </si>
  <si>
    <t>CTOOMN06</t>
  </si>
  <si>
    <t>CTOOMN07</t>
  </si>
  <si>
    <t>CTOOMN08</t>
  </si>
  <si>
    <t>CTOTLG02</t>
  </si>
  <si>
    <t>CTOPTI01</t>
  </si>
  <si>
    <t>PHƯỜNG PHƯỚC THỚI</t>
  </si>
  <si>
    <t>CTOPTI02</t>
  </si>
  <si>
    <t>CTOPTI03</t>
  </si>
  <si>
    <t>CTOPTI04</t>
  </si>
  <si>
    <t>CTOPTI05</t>
  </si>
  <si>
    <t>CTOPTI06</t>
  </si>
  <si>
    <t>CTOPTI07</t>
  </si>
  <si>
    <t>CTOTLG03</t>
  </si>
  <si>
    <t>CTOTLG04</t>
  </si>
  <si>
    <t>CTOTLG05</t>
  </si>
  <si>
    <t>CTOPTI08</t>
  </si>
  <si>
    <t>CTOOMN09</t>
  </si>
  <si>
    <t>CTOTLG06</t>
  </si>
  <si>
    <t>CTOPTI09</t>
  </si>
  <si>
    <t>CTOPTI10</t>
  </si>
  <si>
    <t>CTOPTI11</t>
  </si>
  <si>
    <t>CTOPTI12</t>
  </si>
  <si>
    <t>CTOOMN10</t>
  </si>
  <si>
    <t>CTOOMN11</t>
  </si>
  <si>
    <t>CTOOMN12</t>
  </si>
  <si>
    <t>CTOOMN13</t>
  </si>
  <si>
    <t>CTOTLG07</t>
  </si>
  <si>
    <t>CTOOMN14</t>
  </si>
  <si>
    <t>CTOPTI13</t>
  </si>
  <si>
    <t>CTOPTI14</t>
  </si>
  <si>
    <t>CTOOMN15</t>
  </si>
  <si>
    <t>CTOPTI15</t>
  </si>
  <si>
    <t>CTOPTI16</t>
  </si>
  <si>
    <t>CTOTLG08</t>
  </si>
  <si>
    <t>CTOTLG09</t>
  </si>
  <si>
    <t>CTOPTI17</t>
  </si>
  <si>
    <t>CTOPTI18</t>
  </si>
  <si>
    <t>CTOPTI19</t>
  </si>
  <si>
    <t>CTOPTI20</t>
  </si>
  <si>
    <t>CTOPTI21</t>
  </si>
  <si>
    <t>CTOPTI22</t>
  </si>
  <si>
    <t>CTOPTI23</t>
  </si>
  <si>
    <t>CTOTLG10</t>
  </si>
  <si>
    <t>CTOOMN16</t>
  </si>
  <si>
    <t>CTOPTI24</t>
  </si>
  <si>
    <t>CTOTLG11</t>
  </si>
  <si>
    <t>CTOPTI25</t>
  </si>
  <si>
    <t>CTOTLG12</t>
  </si>
  <si>
    <t>CTOOMN17</t>
  </si>
  <si>
    <t>CTOPTI26</t>
  </si>
  <si>
    <t>CTOOMN18</t>
  </si>
  <si>
    <t>CTOPTI27</t>
  </si>
  <si>
    <t>CTOOMN19</t>
  </si>
  <si>
    <t>CTOOMN20</t>
  </si>
  <si>
    <t>CTOTLG13</t>
  </si>
  <si>
    <t>CTOTLG14</t>
  </si>
  <si>
    <t>CTOTLG15</t>
  </si>
  <si>
    <t>CTOOMN21</t>
  </si>
  <si>
    <t>CTOOMN22</t>
  </si>
  <si>
    <t>CTOPTI28</t>
  </si>
  <si>
    <t>CTOPTI29</t>
  </si>
  <si>
    <t>CTOPTI30</t>
  </si>
  <si>
    <t>CTOPTI31</t>
  </si>
  <si>
    <t>CTOPTI32</t>
  </si>
  <si>
    <t>CTOOMN27</t>
  </si>
  <si>
    <t>CTOTLG16</t>
  </si>
  <si>
    <t>CTOPTI33</t>
  </si>
  <si>
    <t>CTOPDN01</t>
  </si>
  <si>
    <t>XÃ PHONG ĐIỀN</t>
  </si>
  <si>
    <t>CTOPDN02</t>
  </si>
  <si>
    <t>CTOPDN03</t>
  </si>
  <si>
    <t>CTOPDN04</t>
  </si>
  <si>
    <t>CTOPDN05</t>
  </si>
  <si>
    <t>CTONAI01</t>
  </si>
  <si>
    <t>Xã Nhơn Ái</t>
  </si>
  <si>
    <t>CTOTRG01</t>
  </si>
  <si>
    <t>XÃ TRƯỜNG LONG</t>
  </si>
  <si>
    <t>CTOPDN06</t>
  </si>
  <si>
    <t>CTOPDN07</t>
  </si>
  <si>
    <t>CTOPDN08</t>
  </si>
  <si>
    <t>CTOABH23</t>
  </si>
  <si>
    <t>CTOABH24</t>
  </si>
  <si>
    <t>CTOABH25</t>
  </si>
  <si>
    <t>CTOPDN09</t>
  </si>
  <si>
    <t>CTONAI02</t>
  </si>
  <si>
    <t>CTOABH26</t>
  </si>
  <si>
    <t>CTOPDN10</t>
  </si>
  <si>
    <t>CTOABH27</t>
  </si>
  <si>
    <t>CTOPDN11</t>
  </si>
  <si>
    <t>CTOPDN12</t>
  </si>
  <si>
    <t>CTOTRG02</t>
  </si>
  <si>
    <t>CTONAI03</t>
  </si>
  <si>
    <t>CTOPDN13</t>
  </si>
  <si>
    <t>CTONAI04</t>
  </si>
  <si>
    <t>CTOTRG03</t>
  </si>
  <si>
    <t>CTOPDN14</t>
  </si>
  <si>
    <t>CTOPDN15</t>
  </si>
  <si>
    <t>CTOTRG04</t>
  </si>
  <si>
    <t>CTOTRG05</t>
  </si>
  <si>
    <t>CTONAI05</t>
  </si>
  <si>
    <t>CTONAI06</t>
  </si>
  <si>
    <t>CTOPDN16</t>
  </si>
  <si>
    <t>CTOTRG06</t>
  </si>
  <si>
    <t>CTOPDN17</t>
  </si>
  <si>
    <t>CTONAI07</t>
  </si>
  <si>
    <t>CTOTRG07</t>
  </si>
  <si>
    <t>CTOPDN18</t>
  </si>
  <si>
    <t>CTOPDN19</t>
  </si>
  <si>
    <t>CTOPDN20</t>
  </si>
  <si>
    <t>CTOTRG08</t>
  </si>
  <si>
    <t>CTOPDN21</t>
  </si>
  <si>
    <t>CTONAI08</t>
  </si>
  <si>
    <t>CTOABH28</t>
  </si>
  <si>
    <t>CTONAI09</t>
  </si>
  <si>
    <t>CTOTRG09</t>
  </si>
  <si>
    <t>CTONAI10</t>
  </si>
  <si>
    <t>CTOPDN22</t>
  </si>
  <si>
    <t>CTONAI11</t>
  </si>
  <si>
    <t>CTOABH29</t>
  </si>
  <si>
    <t>CTONAI12</t>
  </si>
  <si>
    <t>XÃ NHƠN ÁI</t>
  </si>
  <si>
    <t>CTOTRG10</t>
  </si>
  <si>
    <t>CTOPDN23</t>
  </si>
  <si>
    <t>CTOTLI01</t>
  </si>
  <si>
    <t>XÃ THỚI LAI</t>
  </si>
  <si>
    <t>CTODTN01</t>
  </si>
  <si>
    <t>XÃ ĐÔNG THUẬN</t>
  </si>
  <si>
    <t>CTODTN02</t>
  </si>
  <si>
    <t>CTOTTH01</t>
  </si>
  <si>
    <t>XÃ TRƯỜNG THÀNH</t>
  </si>
  <si>
    <t>CTOTLI02</t>
  </si>
  <si>
    <t>CTODHP05</t>
  </si>
  <si>
    <t>CTOOMN28</t>
  </si>
  <si>
    <t>CTOTTH02</t>
  </si>
  <si>
    <t>CTOTTH03</t>
  </si>
  <si>
    <t>CTOTTH04</t>
  </si>
  <si>
    <t>CTOTXN01</t>
  </si>
  <si>
    <t>XÃ TRƯỜNG XUÂN</t>
  </si>
  <si>
    <t>CTOTXN02</t>
  </si>
  <si>
    <t>CTOTXN03</t>
  </si>
  <si>
    <t>CTODTN03</t>
  </si>
  <si>
    <t>CTOTXN04</t>
  </si>
  <si>
    <t>CTOOMN29</t>
  </si>
  <si>
    <t>CTODHP06</t>
  </si>
  <si>
    <t>CTOTXN05</t>
  </si>
  <si>
    <t>CTOTXN06</t>
  </si>
  <si>
    <t>CTOTLI03</t>
  </si>
  <si>
    <t>CTOTLI04</t>
  </si>
  <si>
    <t>CTOTTH05</t>
  </si>
  <si>
    <t>CTOTTH06</t>
  </si>
  <si>
    <t>CTOTLI05</t>
  </si>
  <si>
    <t>CTODTN04</t>
  </si>
  <si>
    <t>CTOTTH07</t>
  </si>
  <si>
    <t>CTOTXN07</t>
  </si>
  <si>
    <t>CTOTLI06</t>
  </si>
  <si>
    <t>CTOTXN08</t>
  </si>
  <si>
    <t>CTODTN05</t>
  </si>
  <si>
    <t>CTOTTH08</t>
  </si>
  <si>
    <t>CTOTXN09</t>
  </si>
  <si>
    <t>CTOTTH09</t>
  </si>
  <si>
    <t>CTOTLI07</t>
  </si>
  <si>
    <t>CTOOMN30</t>
  </si>
  <si>
    <t>CTOTTH10</t>
  </si>
  <si>
    <t>CTODTN06</t>
  </si>
  <si>
    <t>CTOTLI08</t>
  </si>
  <si>
    <t>CTOTTH11</t>
  </si>
  <si>
    <t>CTODHP07</t>
  </si>
  <si>
    <t>CTOTLI09</t>
  </si>
  <si>
    <t>CTOTXN10</t>
  </si>
  <si>
    <t>CTOTLI10</t>
  </si>
  <si>
    <t>CTODTN07</t>
  </si>
  <si>
    <t>CTOTXN11</t>
  </si>
  <si>
    <t>CTOTXN12</t>
  </si>
  <si>
    <t>CTOTTH12</t>
  </si>
  <si>
    <t>CTOTXN13</t>
  </si>
  <si>
    <t>CTOTLI11</t>
  </si>
  <si>
    <t>CTODTN08</t>
  </si>
  <si>
    <t>CTOTTH13</t>
  </si>
  <si>
    <t>CTODTN09</t>
  </si>
  <si>
    <t>CTOTXN14</t>
  </si>
  <si>
    <t>CTOTXN15</t>
  </si>
  <si>
    <t>CTOTLI12</t>
  </si>
  <si>
    <t>CTOTLI13</t>
  </si>
  <si>
    <t>CTOTTH14</t>
  </si>
  <si>
    <t>CTOTTH15</t>
  </si>
  <si>
    <t>CTOTNO01</t>
  </si>
  <si>
    <t>PHƯỜNG THỐT NỐT</t>
  </si>
  <si>
    <t>CTOTNO02</t>
  </si>
  <si>
    <t>CTOTNO03</t>
  </si>
  <si>
    <t>CTOTNO04</t>
  </si>
  <si>
    <t>CTOTNT05</t>
  </si>
  <si>
    <t>CTOTLC01</t>
  </si>
  <si>
    <t>PHƯỜNG TÂN LỘC</t>
  </si>
  <si>
    <t>CTOTNT06</t>
  </si>
  <si>
    <t>CTOVTR01</t>
  </si>
  <si>
    <t>XÃ VĨNH TRINH</t>
  </si>
  <si>
    <t>CTOTNO05</t>
  </si>
  <si>
    <t>CTOTNO06</t>
  </si>
  <si>
    <t>CTOTHG01</t>
  </si>
  <si>
    <t>PHƯỜNG THUẬN HƯNG</t>
  </si>
  <si>
    <t>CTOTLG17</t>
  </si>
  <si>
    <t>CTOTHG02</t>
  </si>
  <si>
    <t>CTOTLG18</t>
  </si>
  <si>
    <t>CTOTHG03</t>
  </si>
  <si>
    <t>CTOTLG19</t>
  </si>
  <si>
    <t>CTOTHG04</t>
  </si>
  <si>
    <t>CTOTLC02</t>
  </si>
  <si>
    <t>CTOTLC03</t>
  </si>
  <si>
    <t>CTOTHG05</t>
  </si>
  <si>
    <t>CTOTNO07</t>
  </si>
  <si>
    <t>CTOTHG06</t>
  </si>
  <si>
    <t>CTOTNT07</t>
  </si>
  <si>
    <t>CTOTNT08</t>
  </si>
  <si>
    <t>CTOTNT09</t>
  </si>
  <si>
    <t>CTOTNO08</t>
  </si>
  <si>
    <t>CTOTHG07</t>
  </si>
  <si>
    <t>CTOTHG08</t>
  </si>
  <si>
    <t>CTOTNT10</t>
  </si>
  <si>
    <t>CTOTLC04</t>
  </si>
  <si>
    <t>CTOTNO09</t>
  </si>
  <si>
    <t>CTOTLC05</t>
  </si>
  <si>
    <t>CTOTHG09</t>
  </si>
  <si>
    <t>CTOTNO10</t>
  </si>
  <si>
    <t>CTOTLG20</t>
  </si>
  <si>
    <t>CTOTNT11</t>
  </si>
  <si>
    <t>CTOTLC06</t>
  </si>
  <si>
    <t>CTOTHG10</t>
  </si>
  <si>
    <t>CTOTLC07</t>
  </si>
  <si>
    <t>CTOTHG11</t>
  </si>
  <si>
    <t>CTOTHG12</t>
  </si>
  <si>
    <t>CTOTHG13</t>
  </si>
  <si>
    <t>CTOTHG14</t>
  </si>
  <si>
    <t>CTOTNT12</t>
  </si>
  <si>
    <t>CTOTNO11</t>
  </si>
  <si>
    <t>CTOTLC08</t>
  </si>
  <si>
    <t>CTOTLC09</t>
  </si>
  <si>
    <t>CTOTHG15</t>
  </si>
  <si>
    <t>CTOTLC10</t>
  </si>
  <si>
    <t>CTOTLC11</t>
  </si>
  <si>
    <t>CTOTHG16</t>
  </si>
  <si>
    <t>CTOTLC12</t>
  </si>
  <si>
    <t>CTOTNO12</t>
  </si>
  <si>
    <t>CTOTLC13</t>
  </si>
  <si>
    <t>CTOTNO13</t>
  </si>
  <si>
    <t>CTOTNO14</t>
  </si>
  <si>
    <t>CTOTLC14</t>
  </si>
  <si>
    <t>CTOTLG21</t>
  </si>
  <si>
    <t>CTOTLC15</t>
  </si>
  <si>
    <t>CTOTLG22</t>
  </si>
  <si>
    <t>CTOTHG17</t>
  </si>
  <si>
    <t>CTOTNO15</t>
  </si>
  <si>
    <t>CTOTHG18</t>
  </si>
  <si>
    <t>CTOVTR02</t>
  </si>
  <si>
    <t>CTOTHA01</t>
  </si>
  <si>
    <t>XÃ THẠNH AN</t>
  </si>
  <si>
    <t>CTOVIT02</t>
  </si>
  <si>
    <t>CTOTQI01</t>
  </si>
  <si>
    <t>XÃ THẠNH QUỚI</t>
  </si>
  <si>
    <t>CTOTQI02</t>
  </si>
  <si>
    <t>CTOVIT03</t>
  </si>
  <si>
    <t>CTOTQI03</t>
  </si>
  <si>
    <t>CTOTQI04</t>
  </si>
  <si>
    <t>CTOVIT04</t>
  </si>
  <si>
    <t>CTOTQI05</t>
  </si>
  <si>
    <t>CTOTQI06</t>
  </si>
  <si>
    <t>CTOVIT05</t>
  </si>
  <si>
    <t>CTOTQI07</t>
  </si>
  <si>
    <t>CTOTQI08</t>
  </si>
  <si>
    <t>CTOVTR03</t>
  </si>
  <si>
    <t>CTOVTR04</t>
  </si>
  <si>
    <t>CTOTHA02</t>
  </si>
  <si>
    <t>CTOTQI09</t>
  </si>
  <si>
    <t>CTOTHA03</t>
  </si>
  <si>
    <t>CTOTQI10</t>
  </si>
  <si>
    <t>CTOTHA04</t>
  </si>
  <si>
    <t>CTOTQI11</t>
  </si>
  <si>
    <t>CTOTHA05</t>
  </si>
  <si>
    <t>CTOTHA06</t>
  </si>
  <si>
    <t>CTOVIT06</t>
  </si>
  <si>
    <t>CTOVTR05</t>
  </si>
  <si>
    <t>CTOVIT07</t>
  </si>
  <si>
    <t>CTOTQI12</t>
  </si>
  <si>
    <t>CTOTQI13</t>
  </si>
  <si>
    <t>CTOVTR06</t>
  </si>
  <si>
    <t>CTOVIT08</t>
  </si>
  <si>
    <t>CTOVTR07</t>
  </si>
  <si>
    <t>CTOVIT09</t>
  </si>
  <si>
    <t>CTOTHA07</t>
  </si>
  <si>
    <t>CTOVIT10</t>
  </si>
  <si>
    <t>CTOVTR08</t>
  </si>
  <si>
    <t>CTOTHA08</t>
  </si>
  <si>
    <t>CTOTHA09</t>
  </si>
  <si>
    <t>CTOTQI14</t>
  </si>
  <si>
    <t>CTOTQI15</t>
  </si>
  <si>
    <t>CTOTQI16</t>
  </si>
  <si>
    <t>CTOTHA10</t>
  </si>
  <si>
    <t>CTOTQI17</t>
  </si>
  <si>
    <t>CTOTQI18</t>
  </si>
  <si>
    <t>CTOTQI19</t>
  </si>
  <si>
    <t>CTOTQI20</t>
  </si>
  <si>
    <t>CTOTQI21</t>
  </si>
  <si>
    <t>CTOTHA11</t>
  </si>
  <si>
    <t>CTOTHA12</t>
  </si>
  <si>
    <t>CTOVIT11</t>
  </si>
  <si>
    <t>CTOTHA13</t>
  </si>
  <si>
    <t>CTOTHA14</t>
  </si>
  <si>
    <t>CTOVTR09</t>
  </si>
  <si>
    <t>CTOTQI22</t>
  </si>
  <si>
    <t>CTOTQI24</t>
  </si>
  <si>
    <t>CTOTQI25</t>
  </si>
  <si>
    <t>CTOVTR10</t>
  </si>
  <si>
    <t>CTOVIT12</t>
  </si>
  <si>
    <t>CTOBTY33</t>
  </si>
  <si>
    <t>CTOLTN33</t>
  </si>
  <si>
    <t>CTOTPU10</t>
  </si>
  <si>
    <t>CTOCRG34</t>
  </si>
  <si>
    <t>CTOHPU33</t>
  </si>
  <si>
    <t>CTOCRG35</t>
  </si>
  <si>
    <t>CTOCRG36</t>
  </si>
  <si>
    <t>CTOCRG37</t>
  </si>
  <si>
    <t>CTOHPU34</t>
  </si>
  <si>
    <t>CTOTAN36</t>
  </si>
  <si>
    <t>CTOOMN26</t>
  </si>
  <si>
    <t>CTONKU42</t>
  </si>
  <si>
    <t>CTONKU43</t>
  </si>
  <si>
    <t>CTONKU44</t>
  </si>
  <si>
    <t>CTONKU45</t>
  </si>
  <si>
    <t>CTONKU46</t>
  </si>
  <si>
    <t>CTONKU47</t>
  </si>
  <si>
    <t>CTOTAN37</t>
  </si>
  <si>
    <t>CTONKU48</t>
  </si>
  <si>
    <t>CTOABH17</t>
  </si>
  <si>
    <t>CTOOMN23</t>
  </si>
  <si>
    <t>CTOOMN24</t>
  </si>
  <si>
    <t>CTOOMN25</t>
  </si>
  <si>
    <t>CTOABH30</t>
  </si>
  <si>
    <t>CTODHP08</t>
  </si>
  <si>
    <t>CTOTQI23</t>
  </si>
  <si>
    <t>ID OLD</t>
  </si>
  <si>
    <t>ID NEW</t>
  </si>
  <si>
    <t>PHUONG/XA</t>
  </si>
  <si>
    <t>VHKT</t>
  </si>
  <si>
    <t>UU TIEN</t>
  </si>
  <si>
    <t>LOAI TRAM</t>
  </si>
  <si>
    <t>1</t>
  </si>
  <si>
    <t>2</t>
  </si>
  <si>
    <t>CSG-CTBT07</t>
  </si>
  <si>
    <t>CSG-CTBT39</t>
  </si>
  <si>
    <t>CSG-CTBT47</t>
  </si>
  <si>
    <t>3</t>
  </si>
  <si>
    <t>CSG-CTBT59</t>
  </si>
  <si>
    <t>CSG-CTBT68</t>
  </si>
  <si>
    <t>Chung BBU</t>
  </si>
  <si>
    <t>CSG-CTCR13</t>
  </si>
  <si>
    <t>CSG-CTCR40</t>
  </si>
  <si>
    <t>CSG-CTCR41</t>
  </si>
  <si>
    <t>CSG-CTNK13</t>
  </si>
  <si>
    <t>CSG-CTNK19</t>
  </si>
  <si>
    <t>CSG-CTNK25</t>
  </si>
  <si>
    <t>CSG-CTNK30</t>
  </si>
  <si>
    <t>CSG-CTNK33</t>
  </si>
  <si>
    <t>CSG-CTNK37</t>
  </si>
  <si>
    <t>CSG-CTNK40</t>
  </si>
  <si>
    <t>CSG-CTNK41</t>
  </si>
  <si>
    <t>CSG-CTNK45</t>
  </si>
  <si>
    <t>CSG-CTNK46</t>
  </si>
  <si>
    <t>CSG-CTNK54</t>
  </si>
  <si>
    <t>CSG-CTNK61</t>
  </si>
  <si>
    <t>CSG-CTNK62</t>
  </si>
  <si>
    <t>CSG-CTNK71</t>
  </si>
  <si>
    <t>CSG-CTNK75</t>
  </si>
  <si>
    <t>CSG-CTNK76</t>
  </si>
  <si>
    <t>CSG-CTNK78</t>
  </si>
  <si>
    <t>CSG-CTNK99</t>
  </si>
  <si>
    <t>CSG-CTNKA5</t>
  </si>
  <si>
    <t>CSG-CTPD10</t>
  </si>
  <si>
    <t>CSG-CTTN40</t>
  </si>
  <si>
    <t>CSG-CTVT06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</si>
</sst>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37" x14ac:knownFonts="1">
    <font>
      <sz val="11"/>
      <color theme="1"/>
      <name val="Calibri"/>
      <family val="2"/>
      <scheme val="minor"/>
    </font>
    <font>
      <sz val="12"/>
      <name val="Times New Roman"/>
      <family val="1"/>
      <charset val="16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sz val="12"/>
      <name val="Times New Roman"/>
      <family val="1"/>
    </font>
    <font>
      <i/>
      <sz val="12"/>
      <name val="Times New Roman"/>
      <family val="1"/>
    </font>
    <font>
      <sz val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4"/>
      <color theme="1"/>
      <name val="Times New Roman"/>
      <family val="2"/>
    </font>
    <font>
      <sz val="13"/>
      <color theme="1"/>
      <name val="Times New Roman"/>
      <family val="1"/>
    </font>
    <font>
      <b/>
      <sz val="11"/>
      <color theme="1"/>
      <name val="Calibri"/>
      <family val="2"/>
      <charset val="163"/>
      <scheme val="minor"/>
    </font>
    <font>
      <b/>
      <sz val="12"/>
      <color rgb="FF000000"/>
      <name val="Times New Roman"/>
      <family val="1"/>
    </font>
    <font>
      <b/>
      <sz val="10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  <scheme val="minor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B0F0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sz val="15"/>
      <color rgb="FF000000"/>
      <name val="Times New Roman"/>
      <family val="1"/>
    </font>
    <font>
      <b/>
      <sz val="13"/>
      <color theme="1"/>
      <name val="Times New Roman"/>
      <family val="1"/>
    </font>
    <font>
      <sz val="13"/>
      <color rgb="FF001A33"/>
      <name val="Times New Roman"/>
      <family val="1"/>
    </font>
    <font>
      <sz val="13"/>
      <color theme="1"/>
      <name val="Arial"/>
      <family val="2"/>
    </font>
    <font>
      <b/>
      <sz val="13"/>
      <color rgb="FFFF0000"/>
      <name val="Times New Roman"/>
      <family val="1"/>
    </font>
    <font>
      <sz val="13"/>
      <color rgb="FFFF0000"/>
      <name val="Times New Roman"/>
      <family val="1"/>
    </font>
    <font>
      <sz val="12"/>
      <color rgb="FF002060"/>
      <name val="Times New Roman"/>
      <family val="1"/>
    </font>
    <font>
      <sz val="10"/>
      <color rgb="FF002060"/>
      <name val="Times New Roman"/>
      <family val="1"/>
    </font>
    <font>
      <sz val="8"/>
      <color rgb="FF081B3A"/>
      <name val="Segoe UI"/>
      <family val="2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0" fontId="1" fillId="0" borderId="0"/>
    <xf numFmtId="0" fontId="10" fillId="0" borderId="0"/>
    <xf numFmtId="9" fontId="9" fillId="0" borderId="0" applyFont="0" applyFill="0" applyBorder="0" applyAlignment="0" applyProtection="0"/>
  </cellStyleXfs>
  <cellXfs count="155">
    <xf numFmtId="0" fontId="0" fillId="0" borderId="0" xfId="0"/>
    <xf numFmtId="0" fontId="11" fillId="0" borderId="1" xfId="0" applyFont="1" applyFill="1" applyBorder="1" applyAlignment="1">
      <alignment vertical="center"/>
    </xf>
    <xf numFmtId="0" fontId="0" fillId="0" borderId="1" xfId="0" applyBorder="1"/>
    <xf numFmtId="0" fontId="12" fillId="0" borderId="1" xfId="0" applyFont="1" applyBorder="1" applyAlignment="1">
      <alignment horizontal="center"/>
    </xf>
    <xf numFmtId="0" fontId="11" fillId="0" borderId="1" xfId="0" quotePrefix="1" applyFon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quotePrefix="1" applyBorder="1"/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5" fillId="2" borderId="1" xfId="0" applyFont="1" applyFill="1" applyBorder="1" applyAlignment="1">
      <alignment horizontal="left" vertical="center" wrapText="1" indent="5"/>
    </xf>
    <xf numFmtId="0" fontId="15" fillId="2" borderId="1" xfId="0" applyFont="1" applyFill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vertical="center"/>
    </xf>
    <xf numFmtId="0" fontId="18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right" vertical="center"/>
    </xf>
    <xf numFmtId="0" fontId="19" fillId="0" borderId="1" xfId="0" applyFont="1" applyFill="1" applyBorder="1" applyAlignment="1">
      <alignment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3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right" vertical="center"/>
    </xf>
    <xf numFmtId="0" fontId="18" fillId="0" borderId="1" xfId="0" applyFont="1" applyBorder="1" applyAlignment="1">
      <alignment horizontal="right" vertical="center" wrapText="1"/>
    </xf>
    <xf numFmtId="0" fontId="18" fillId="0" borderId="1" xfId="0" applyFont="1" applyBorder="1" applyAlignment="1">
      <alignment vertical="center" wrapText="1"/>
    </xf>
    <xf numFmtId="0" fontId="17" fillId="3" borderId="0" xfId="0" applyFont="1" applyFill="1" applyBorder="1" applyAlignment="1">
      <alignment horizontal="left"/>
    </xf>
    <xf numFmtId="0" fontId="17" fillId="3" borderId="0" xfId="0" applyFont="1" applyFill="1" applyAlignment="1">
      <alignment horizontal="left"/>
    </xf>
    <xf numFmtId="0" fontId="4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top" wrapText="1"/>
    </xf>
    <xf numFmtId="3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5" fillId="0" borderId="1" xfId="0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/>
    </xf>
    <xf numFmtId="3" fontId="5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1" xfId="2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/>
    </xf>
    <xf numFmtId="3" fontId="5" fillId="0" borderId="0" xfId="0" applyNumberFormat="1" applyFont="1" applyFill="1" applyAlignment="1">
      <alignment horizontal="center"/>
    </xf>
    <xf numFmtId="0" fontId="17" fillId="2" borderId="1" xfId="0" applyFont="1" applyFill="1" applyBorder="1" applyAlignment="1">
      <alignment horizontal="left"/>
    </xf>
    <xf numFmtId="0" fontId="5" fillId="0" borderId="2" xfId="0" applyFont="1" applyFill="1" applyBorder="1" applyAlignment="1">
      <alignment horizontal="center"/>
    </xf>
    <xf numFmtId="0" fontId="17" fillId="3" borderId="0" xfId="0" applyFont="1" applyFill="1" applyBorder="1" applyAlignment="1">
      <alignment horizontal="center"/>
    </xf>
    <xf numFmtId="0" fontId="22" fillId="0" borderId="0" xfId="0" applyFont="1" applyFill="1" applyAlignment="1">
      <alignment horizontal="center"/>
    </xf>
    <xf numFmtId="0" fontId="17" fillId="0" borderId="0" xfId="0" applyFont="1" applyAlignment="1">
      <alignment horizontal="left"/>
    </xf>
    <xf numFmtId="0" fontId="23" fillId="4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left" vertical="center" wrapText="1"/>
    </xf>
    <xf numFmtId="0" fontId="24" fillId="0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9" fontId="24" fillId="0" borderId="1" xfId="3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9" fontId="24" fillId="0" borderId="1" xfId="0" applyNumberFormat="1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9" fontId="24" fillId="2" borderId="1" xfId="3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left" vertical="center" wrapText="1"/>
    </xf>
    <xf numFmtId="0" fontId="17" fillId="2" borderId="1" xfId="0" applyFont="1" applyFill="1" applyBorder="1" applyAlignment="1">
      <alignment horizontal="left" vertical="center"/>
    </xf>
    <xf numFmtId="0" fontId="26" fillId="0" borderId="7" xfId="0" applyFont="1" applyBorder="1" applyAlignment="1">
      <alignment horizontal="center" wrapText="1"/>
    </xf>
    <xf numFmtId="0" fontId="26" fillId="0" borderId="8" xfId="0" applyFont="1" applyBorder="1" applyAlignment="1">
      <alignment horizontal="center" wrapText="1"/>
    </xf>
    <xf numFmtId="0" fontId="27" fillId="0" borderId="9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27" fillId="5" borderId="9" xfId="0" applyFont="1" applyFill="1" applyBorder="1" applyAlignment="1">
      <alignment wrapText="1"/>
    </xf>
    <xf numFmtId="0" fontId="11" fillId="5" borderId="10" xfId="0" applyFont="1" applyFill="1" applyBorder="1" applyAlignment="1">
      <alignment wrapText="1"/>
    </xf>
    <xf numFmtId="0" fontId="28" fillId="0" borderId="10" xfId="0" applyFont="1" applyBorder="1" applyAlignment="1">
      <alignment wrapText="1"/>
    </xf>
    <xf numFmtId="0" fontId="26" fillId="4" borderId="1" xfId="0" applyFont="1" applyFill="1" applyBorder="1" applyAlignment="1">
      <alignment horizontal="center" vertical="center" wrapText="1" readingOrder="1"/>
    </xf>
    <xf numFmtId="0" fontId="26" fillId="4" borderId="1" xfId="0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center" vertical="center" wrapText="1" readingOrder="1"/>
    </xf>
    <xf numFmtId="0" fontId="11" fillId="0" borderId="1" xfId="0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7" fillId="6" borderId="0" xfId="0" applyFont="1" applyFill="1" applyAlignment="1">
      <alignment horizontal="left"/>
    </xf>
    <xf numFmtId="0" fontId="21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left" vertical="center" wrapText="1"/>
    </xf>
    <xf numFmtId="0" fontId="21" fillId="6" borderId="3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3" borderId="0" xfId="0" applyFont="1" applyFill="1" applyAlignment="1">
      <alignment vertical="center"/>
    </xf>
    <xf numFmtId="0" fontId="31" fillId="0" borderId="1" xfId="0" applyFont="1" applyFill="1" applyBorder="1" applyAlignment="1">
      <alignment horizontal="center"/>
    </xf>
    <xf numFmtId="3" fontId="31" fillId="0" borderId="1" xfId="0" applyNumberFormat="1" applyFont="1" applyFill="1" applyBorder="1" applyAlignment="1">
      <alignment horizontal="center"/>
    </xf>
    <xf numFmtId="0" fontId="32" fillId="0" borderId="1" xfId="0" applyFont="1" applyBorder="1" applyAlignment="1">
      <alignment horizontal="center" vertical="center"/>
    </xf>
    <xf numFmtId="0" fontId="16" fillId="3" borderId="0" xfId="0" applyFont="1" applyFill="1" applyAlignment="1">
      <alignment horizontal="center"/>
    </xf>
    <xf numFmtId="0" fontId="16" fillId="3" borderId="0" xfId="0" applyFont="1" applyFill="1"/>
    <xf numFmtId="0" fontId="16" fillId="3" borderId="1" xfId="0" applyFont="1" applyFill="1" applyBorder="1"/>
    <xf numFmtId="0" fontId="0" fillId="3" borderId="1" xfId="0" applyNumberFormat="1" applyFont="1" applyFill="1" applyBorder="1" applyAlignment="1"/>
    <xf numFmtId="0" fontId="16" fillId="3" borderId="1" xfId="0" applyFont="1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6" fillId="7" borderId="1" xfId="0" applyFont="1" applyFill="1" applyBorder="1"/>
    <xf numFmtId="0" fontId="0" fillId="7" borderId="1" xfId="0" applyNumberFormat="1" applyFont="1" applyFill="1" applyBorder="1" applyAlignment="1"/>
    <xf numFmtId="0" fontId="16" fillId="8" borderId="1" xfId="0" applyFont="1" applyFill="1" applyBorder="1"/>
    <xf numFmtId="0" fontId="0" fillId="8" borderId="1" xfId="0" applyNumberFormat="1" applyFont="1" applyFill="1" applyBorder="1" applyAlignment="1"/>
    <xf numFmtId="0" fontId="16" fillId="9" borderId="1" xfId="0" applyFont="1" applyFill="1" applyBorder="1"/>
    <xf numFmtId="0" fontId="16" fillId="9" borderId="1" xfId="0" applyFont="1" applyFill="1" applyBorder="1" applyAlignment="1">
      <alignment horizontal="center"/>
    </xf>
    <xf numFmtId="0" fontId="16" fillId="4" borderId="1" xfId="0" applyFont="1" applyFill="1" applyBorder="1"/>
    <xf numFmtId="0" fontId="0" fillId="4" borderId="1" xfId="0" applyNumberFormat="1" applyFont="1" applyFill="1" applyBorder="1" applyAlignment="1"/>
    <xf numFmtId="0" fontId="16" fillId="10" borderId="1" xfId="0" applyFont="1" applyFill="1" applyBorder="1"/>
    <xf numFmtId="0" fontId="0" fillId="10" borderId="1" xfId="0" applyNumberFormat="1" applyFont="1" applyFill="1" applyBorder="1" applyAlignment="1"/>
    <xf numFmtId="0" fontId="16" fillId="11" borderId="1" xfId="0" applyFont="1" applyFill="1" applyBorder="1"/>
    <xf numFmtId="0" fontId="0" fillId="11" borderId="1" xfId="0" applyNumberFormat="1" applyFont="1" applyFill="1" applyBorder="1" applyAlignment="1"/>
    <xf numFmtId="0" fontId="33" fillId="0" borderId="0" xfId="0" applyFont="1" applyAlignment="1">
      <alignment horizontal="center"/>
    </xf>
    <xf numFmtId="0" fontId="16" fillId="4" borderId="1" xfId="0" applyFont="1" applyFill="1" applyBorder="1" applyAlignment="1">
      <alignment horizontal="left"/>
    </xf>
    <xf numFmtId="0" fontId="16" fillId="7" borderId="1" xfId="0" applyFont="1" applyFill="1" applyBorder="1" applyAlignment="1">
      <alignment horizontal="left"/>
    </xf>
    <xf numFmtId="0" fontId="16" fillId="8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16" fillId="11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left"/>
    </xf>
    <xf numFmtId="0" fontId="16" fillId="9" borderId="1" xfId="0" applyFont="1" applyFill="1" applyBorder="1" applyAlignment="1">
      <alignment horizontal="left"/>
    </xf>
    <xf numFmtId="0" fontId="16" fillId="3" borderId="0" xfId="0" applyFont="1" applyFill="1" applyAlignment="1">
      <alignment horizontal="left"/>
    </xf>
    <xf numFmtId="0" fontId="23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left"/>
    </xf>
    <xf numFmtId="0" fontId="0" fillId="3" borderId="1" xfId="0" applyFill="1" applyBorder="1"/>
    <xf numFmtId="0" fontId="17" fillId="0" borderId="1" xfId="0" applyFont="1" applyFill="1" applyBorder="1" applyAlignment="1">
      <alignment horizontal="left" vertical="center"/>
    </xf>
    <xf numFmtId="0" fontId="17" fillId="0" borderId="1" xfId="0" applyFont="1" applyFill="1" applyBorder="1" applyAlignment="1">
      <alignment vertical="center"/>
    </xf>
    <xf numFmtId="0" fontId="17" fillId="0" borderId="1" xfId="0" applyFont="1" applyFill="1" applyBorder="1" applyAlignment="1">
      <alignment horizontal="left"/>
    </xf>
    <xf numFmtId="0" fontId="5" fillId="0" borderId="1" xfId="0" applyNumberFormat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left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0" xfId="0" applyFont="1" applyFill="1" applyAlignment="1">
      <alignment horizontal="left"/>
    </xf>
    <xf numFmtId="0" fontId="17" fillId="0" borderId="1" xfId="0" applyFont="1" applyFill="1" applyBorder="1" applyAlignment="1">
      <alignment horizontal="left" wrapText="1"/>
    </xf>
    <xf numFmtId="0" fontId="17" fillId="0" borderId="1" xfId="0" applyNumberFormat="1" applyFont="1" applyFill="1" applyBorder="1" applyAlignment="1">
      <alignment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17" fillId="0" borderId="0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17" fillId="0" borderId="1" xfId="2" applyFont="1" applyFill="1" applyBorder="1" applyAlignment="1">
      <alignment vertical="center"/>
    </xf>
    <xf numFmtId="0" fontId="17" fillId="0" borderId="1" xfId="0" applyFont="1" applyFill="1" applyBorder="1" applyAlignment="1"/>
    <xf numFmtId="0" fontId="1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17" fillId="0" borderId="1" xfId="0" applyFont="1" applyFill="1" applyBorder="1"/>
    <xf numFmtId="0" fontId="36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3" fontId="4" fillId="0" borderId="4" xfId="0" applyNumberFormat="1" applyFont="1" applyFill="1" applyBorder="1" applyAlignment="1">
      <alignment horizontal="center" vertical="center" wrapText="1"/>
    </xf>
    <xf numFmtId="3" fontId="4" fillId="0" borderId="5" xfId="0" applyNumberFormat="1" applyFont="1" applyFill="1" applyBorder="1" applyAlignment="1">
      <alignment horizontal="center" vertical="center" wrapText="1"/>
    </xf>
    <xf numFmtId="3" fontId="4" fillId="0" borderId="1" xfId="0" applyNumberFormat="1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top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/>
    </xf>
    <xf numFmtId="0" fontId="35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</cellXfs>
  <cellStyles count="4">
    <cellStyle name="Normal" xfId="0" builtinId="0"/>
    <cellStyle name="Normal 2" xfId="1" xr:uid="{3153D6B2-F704-46F2-885B-2C4CE438D61B}"/>
    <cellStyle name="Normal 3" xfId="2" xr:uid="{4A409928-AEAF-4ADF-8F39-87B794D5404C}"/>
    <cellStyle name="Percent" xfId="3" builtin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ri&#7875;n%20khai%20%20Metro\thong%20ke%20site%20chuyen%20len%20Metro%20CT%20V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_MBFS%202023\7_NHA%20DAN\2023\T12\Gio%20chay%20MFD%20NHA%20DAN%20T12_2023%20To%20VT%20Can%20Tho%20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G"/>
      <sheetName val="Các ring csg đã chuyển"/>
      <sheetName val="Lastsmile ve CSG"/>
      <sheetName val="Sheet1"/>
    </sheetNames>
    <sheetDataSet>
      <sheetData sheetId="0" refreshError="1">
        <row r="2">
          <cell r="B2" t="str">
            <v>CTTL16</v>
          </cell>
          <cell r="C2" t="str">
            <v>CSG-CTTL16</v>
          </cell>
        </row>
        <row r="3">
          <cell r="B3" t="str">
            <v>CTTN16</v>
          </cell>
          <cell r="C3" t="str">
            <v>CSG-CTTN16</v>
          </cell>
        </row>
        <row r="4">
          <cell r="B4" t="str">
            <v>CTTL22</v>
          </cell>
          <cell r="C4" t="str">
            <v>CSG-CTTL22</v>
          </cell>
        </row>
        <row r="5">
          <cell r="B5" t="str">
            <v>CTNK03</v>
          </cell>
          <cell r="C5" t="str">
            <v>CSG-CTNK03</v>
          </cell>
        </row>
        <row r="6">
          <cell r="B6" t="str">
            <v>CTTN12</v>
          </cell>
          <cell r="C6" t="str">
            <v>CSG-CTTN12</v>
          </cell>
        </row>
        <row r="7">
          <cell r="B7" t="str">
            <v>CTBT30</v>
          </cell>
          <cell r="C7" t="str">
            <v>CSG-CTBT30</v>
          </cell>
        </row>
        <row r="8">
          <cell r="B8" t="str">
            <v>CTTL01</v>
          </cell>
          <cell r="C8" t="str">
            <v>CSG-CTTL01</v>
          </cell>
        </row>
        <row r="9">
          <cell r="B9" t="str">
            <v>CTTN22</v>
          </cell>
          <cell r="C9" t="str">
            <v>CSG-CTTN22</v>
          </cell>
        </row>
        <row r="10">
          <cell r="B10" t="str">
            <v>CTBT33</v>
          </cell>
          <cell r="C10" t="str">
            <v>CSG-CTBT33</v>
          </cell>
        </row>
        <row r="11">
          <cell r="B11" t="str">
            <v>CTCD01</v>
          </cell>
          <cell r="C11" t="str">
            <v>CSG-CTCD01</v>
          </cell>
        </row>
        <row r="12">
          <cell r="B12" t="str">
            <v>CTPD01</v>
          </cell>
          <cell r="C12" t="str">
            <v>CSG-CTPD01</v>
          </cell>
        </row>
        <row r="13">
          <cell r="B13" t="str">
            <v>CTVT04</v>
          </cell>
          <cell r="C13" t="str">
            <v>CSG-CTVT04</v>
          </cell>
        </row>
        <row r="14">
          <cell r="B14" t="str">
            <v>CTOM28</v>
          </cell>
          <cell r="C14" t="str">
            <v>CSG-CTOM28</v>
          </cell>
        </row>
        <row r="15">
          <cell r="B15" t="str">
            <v>CTVT36</v>
          </cell>
          <cell r="C15" t="str">
            <v>CSG-CTVT36</v>
          </cell>
        </row>
        <row r="16">
          <cell r="B16" t="str">
            <v>CTTL30</v>
          </cell>
          <cell r="C16" t="str">
            <v>CSG-CTTL30</v>
          </cell>
        </row>
        <row r="17">
          <cell r="B17" t="str">
            <v>CTTL07</v>
          </cell>
          <cell r="C17" t="str">
            <v>CSG-CTTL07</v>
          </cell>
        </row>
        <row r="18">
          <cell r="B18" t="str">
            <v>CTCD02</v>
          </cell>
          <cell r="C18" t="str">
            <v>CSG-CTCD02</v>
          </cell>
        </row>
        <row r="19">
          <cell r="B19" t="str">
            <v>CTTN02</v>
          </cell>
          <cell r="C19" t="str">
            <v>CSG-CTTN02</v>
          </cell>
        </row>
        <row r="20">
          <cell r="B20" t="str">
            <v>CTOM06</v>
          </cell>
          <cell r="C20" t="str">
            <v>CSG-CTOM06</v>
          </cell>
        </row>
        <row r="21">
          <cell r="B21" t="str">
            <v>CTCR24</v>
          </cell>
          <cell r="C21" t="str">
            <v>CSG-CTCR24</v>
          </cell>
        </row>
        <row r="22">
          <cell r="B22" t="str">
            <v>CTTN09</v>
          </cell>
          <cell r="C22" t="str">
            <v>CSG-CTTN09</v>
          </cell>
        </row>
        <row r="23">
          <cell r="B23" t="str">
            <v>CTNK53</v>
          </cell>
          <cell r="C23" t="str">
            <v>CSG-CTNK53</v>
          </cell>
        </row>
        <row r="24">
          <cell r="B24" t="str">
            <v>CTNK31</v>
          </cell>
          <cell r="C24" t="str">
            <v>CSG-CTNK31</v>
          </cell>
        </row>
        <row r="25">
          <cell r="B25" t="str">
            <v>CTTN13</v>
          </cell>
          <cell r="C25" t="str">
            <v>CSG-CTTN13</v>
          </cell>
        </row>
        <row r="26">
          <cell r="B26" t="str">
            <v>CTCR08</v>
          </cell>
          <cell r="C26" t="str">
            <v>CSG-CTCR08</v>
          </cell>
        </row>
        <row r="27">
          <cell r="B27" t="str">
            <v>CTBT37</v>
          </cell>
          <cell r="C27" t="str">
            <v>CSG-CTBT37</v>
          </cell>
        </row>
        <row r="28">
          <cell r="B28" t="str">
            <v>CTCR11</v>
          </cell>
          <cell r="C28" t="str">
            <v>CSG-CTCR11</v>
          </cell>
        </row>
        <row r="29">
          <cell r="B29" t="str">
            <v>CTVT06</v>
          </cell>
          <cell r="C29" t="str">
            <v>CSG-CTVT06</v>
          </cell>
        </row>
        <row r="30">
          <cell r="B30" t="str">
            <v>CTCR22</v>
          </cell>
          <cell r="C30" t="str">
            <v>CSG-CTCR22</v>
          </cell>
        </row>
        <row r="31">
          <cell r="B31" t="str">
            <v>CTVT16</v>
          </cell>
          <cell r="C31" t="str">
            <v>CSG-CTVT16</v>
          </cell>
        </row>
        <row r="32">
          <cell r="B32" t="str">
            <v>CTNK39</v>
          </cell>
          <cell r="C32" t="str">
            <v>CSG-CTNK39</v>
          </cell>
        </row>
        <row r="33">
          <cell r="B33" t="str">
            <v>CTNK25</v>
          </cell>
          <cell r="C33" t="str">
            <v>CSG-CTNK25</v>
          </cell>
        </row>
        <row r="34">
          <cell r="B34" t="str">
            <v>CTNK46</v>
          </cell>
          <cell r="C34" t="str">
            <v>CSG-CTNK46</v>
          </cell>
        </row>
        <row r="35">
          <cell r="B35" t="str">
            <v>CTNK45</v>
          </cell>
          <cell r="C35" t="str">
            <v>CSG-CTNK45</v>
          </cell>
        </row>
        <row r="36">
          <cell r="B36" t="str">
            <v>CTNK17</v>
          </cell>
          <cell r="C36" t="str">
            <v>CSG-CTNK17</v>
          </cell>
        </row>
        <row r="37">
          <cell r="B37" t="str">
            <v>CTNK12</v>
          </cell>
          <cell r="C37" t="str">
            <v>CSG-CTNK12</v>
          </cell>
        </row>
        <row r="38">
          <cell r="B38" t="str">
            <v>CTNK33</v>
          </cell>
          <cell r="C38" t="str">
            <v>CSG-CTNK33</v>
          </cell>
        </row>
        <row r="39">
          <cell r="B39" t="str">
            <v>CTTN14</v>
          </cell>
          <cell r="C39" t="str">
            <v>CSG-CTTN14</v>
          </cell>
        </row>
        <row r="40">
          <cell r="B40" t="str">
            <v>CTNK37</v>
          </cell>
          <cell r="C40" t="str">
            <v>CSG-CTNK37</v>
          </cell>
        </row>
        <row r="41">
          <cell r="B41" t="str">
            <v>CTNK52</v>
          </cell>
          <cell r="C41" t="str">
            <v>CSG-CTNK52</v>
          </cell>
        </row>
        <row r="42">
          <cell r="B42" t="str">
            <v>CTNK01</v>
          </cell>
          <cell r="C42" t="str">
            <v>CSG-CTNK01</v>
          </cell>
        </row>
        <row r="43">
          <cell r="B43" t="str">
            <v>CTNK18</v>
          </cell>
          <cell r="C43" t="str">
            <v>CSG-CTNK18</v>
          </cell>
        </row>
        <row r="44">
          <cell r="B44" t="str">
            <v>CTNK27</v>
          </cell>
          <cell r="C44" t="str">
            <v>CSG-CTNK27</v>
          </cell>
        </row>
        <row r="45">
          <cell r="B45" t="str">
            <v>CTNK19</v>
          </cell>
          <cell r="C45" t="str">
            <v>CSG-CTNK19</v>
          </cell>
        </row>
        <row r="46">
          <cell r="B46" t="str">
            <v>CTNK40</v>
          </cell>
          <cell r="C46" t="str">
            <v>CSG-CTNK40</v>
          </cell>
        </row>
        <row r="47">
          <cell r="B47" t="str">
            <v>CTOM14</v>
          </cell>
          <cell r="C47" t="str">
            <v>CSG-CTOM14</v>
          </cell>
        </row>
        <row r="48">
          <cell r="B48" t="str">
            <v>CTCD19</v>
          </cell>
          <cell r="C48" t="str">
            <v>CSG-CTCD19</v>
          </cell>
        </row>
        <row r="49">
          <cell r="B49" t="str">
            <v>CTBT68</v>
          </cell>
          <cell r="C49" t="str">
            <v>CSG-CTBT68</v>
          </cell>
        </row>
        <row r="50">
          <cell r="B50" t="str">
            <v>CTPD36</v>
          </cell>
          <cell r="C50" t="str">
            <v>CSG-CTPD36</v>
          </cell>
        </row>
        <row r="51">
          <cell r="B51" t="str">
            <v>CTBT59</v>
          </cell>
          <cell r="C51" t="str">
            <v>CSG-CTBT59</v>
          </cell>
        </row>
        <row r="52">
          <cell r="B52" t="str">
            <v>CTPD10</v>
          </cell>
          <cell r="C52" t="str">
            <v>CSG-CTPD10</v>
          </cell>
        </row>
        <row r="53">
          <cell r="B53" t="str">
            <v>CTBT60</v>
          </cell>
          <cell r="C53" t="str">
            <v>CSG-CTBT60</v>
          </cell>
        </row>
        <row r="54">
          <cell r="B54" t="str">
            <v>CTBT38</v>
          </cell>
          <cell r="C54" t="str">
            <v>CSG-CTBT38</v>
          </cell>
        </row>
        <row r="55">
          <cell r="B55" t="str">
            <v>CTBT39</v>
          </cell>
          <cell r="C55" t="str">
            <v>CSG-CTBT39</v>
          </cell>
        </row>
        <row r="56">
          <cell r="B56" t="str">
            <v>CTBT44</v>
          </cell>
          <cell r="C56" t="str">
            <v>CSG-CTBT44</v>
          </cell>
        </row>
        <row r="57">
          <cell r="B57" t="str">
            <v>CTBT26</v>
          </cell>
          <cell r="C57" t="str">
            <v>CSG-CTBT26</v>
          </cell>
        </row>
        <row r="58">
          <cell r="B58" t="str">
            <v>CTBT04</v>
          </cell>
          <cell r="C58" t="str">
            <v>CSG-CTBT04</v>
          </cell>
        </row>
        <row r="59">
          <cell r="B59" t="str">
            <v>CTBT28</v>
          </cell>
          <cell r="C59" t="str">
            <v>CSG-CTBT28</v>
          </cell>
        </row>
        <row r="60">
          <cell r="B60" t="str">
            <v>CTBT48</v>
          </cell>
          <cell r="C60" t="str">
            <v>CSG-CTBT48</v>
          </cell>
        </row>
        <row r="61">
          <cell r="B61" t="str">
            <v>CTBT11</v>
          </cell>
          <cell r="C61" t="str">
            <v>CSG-CTBT11</v>
          </cell>
        </row>
        <row r="62">
          <cell r="B62" t="str">
            <v>CTBT01</v>
          </cell>
          <cell r="C62" t="str">
            <v>CSG-CTBT01</v>
          </cell>
        </row>
        <row r="63">
          <cell r="B63" t="str">
            <v>CTBT10</v>
          </cell>
          <cell r="C63" t="str">
            <v>CSG-CTBT10</v>
          </cell>
        </row>
        <row r="64">
          <cell r="B64" t="str">
            <v>CTCR21</v>
          </cell>
          <cell r="C64" t="str">
            <v>CSG-CTCR21</v>
          </cell>
        </row>
        <row r="65">
          <cell r="B65" t="str">
            <v>CTCR09</v>
          </cell>
          <cell r="C65" t="str">
            <v>CSG-CTCR09</v>
          </cell>
        </row>
        <row r="66">
          <cell r="B66" t="str">
            <v>CTCR52</v>
          </cell>
          <cell r="C66" t="str">
            <v>CSG-CTCR52</v>
          </cell>
        </row>
        <row r="67">
          <cell r="B67" t="str">
            <v>CTCD41</v>
          </cell>
          <cell r="C67" t="str">
            <v>CSG-CTCD41</v>
          </cell>
        </row>
        <row r="68">
          <cell r="B68" t="str">
            <v>CTCR19</v>
          </cell>
          <cell r="C68" t="str">
            <v>CSG-CTCR19</v>
          </cell>
        </row>
        <row r="69">
          <cell r="B69" t="str">
            <v>CTNK04</v>
          </cell>
          <cell r="C69" t="str">
            <v>CSG-CTNK04</v>
          </cell>
        </row>
        <row r="70">
          <cell r="B70" t="str">
            <v>CTNK06</v>
          </cell>
          <cell r="C70" t="str">
            <v>CSG-CTNK06</v>
          </cell>
        </row>
        <row r="71">
          <cell r="B71" t="str">
            <v>CTNK13</v>
          </cell>
          <cell r="C71" t="str">
            <v>CSG-CTNK13</v>
          </cell>
        </row>
        <row r="72">
          <cell r="B72" t="str">
            <v>CTNK14</v>
          </cell>
          <cell r="C72" t="str">
            <v>CSG-CTNK14</v>
          </cell>
        </row>
        <row r="73">
          <cell r="B73" t="str">
            <v>CTNK15</v>
          </cell>
          <cell r="C73" t="str">
            <v>CSG-CTNK15</v>
          </cell>
        </row>
        <row r="74">
          <cell r="B74" t="str">
            <v>CTNK26</v>
          </cell>
          <cell r="C74" t="str">
            <v>CSG-CTNK26</v>
          </cell>
        </row>
        <row r="75">
          <cell r="B75" t="str">
            <v>CTNK32</v>
          </cell>
          <cell r="C75" t="str">
            <v>CSG-CTNK32</v>
          </cell>
        </row>
        <row r="76">
          <cell r="B76" t="str">
            <v>CTNK35</v>
          </cell>
          <cell r="C76" t="str">
            <v>CSG-CTNK35</v>
          </cell>
        </row>
        <row r="77">
          <cell r="B77" t="str">
            <v>CTNK38</v>
          </cell>
          <cell r="C77" t="str">
            <v>CSG-CTNK38</v>
          </cell>
        </row>
        <row r="78">
          <cell r="B78" t="str">
            <v>CTNK41</v>
          </cell>
          <cell r="C78" t="str">
            <v>CSG-CTNK41</v>
          </cell>
        </row>
        <row r="79">
          <cell r="B79" t="str">
            <v>CTNK42</v>
          </cell>
          <cell r="C79" t="str">
            <v>CSG-CTNK42</v>
          </cell>
        </row>
        <row r="80">
          <cell r="B80" t="str">
            <v>CTNK97</v>
          </cell>
          <cell r="C80" t="str">
            <v>CSG-CTNK97</v>
          </cell>
        </row>
        <row r="81">
          <cell r="B81" t="str">
            <v>CTOM25</v>
          </cell>
          <cell r="C81" t="str">
            <v>CSG-CTOM25</v>
          </cell>
        </row>
        <row r="82">
          <cell r="B82" t="str">
            <v>CTOM17</v>
          </cell>
          <cell r="C82" t="str">
            <v>CSG-CTOM17</v>
          </cell>
        </row>
        <row r="83">
          <cell r="B83" t="str">
            <v>CTPD34</v>
          </cell>
          <cell r="C83" t="str">
            <v>CSG-CTPD34</v>
          </cell>
        </row>
        <row r="84">
          <cell r="B84" t="str">
            <v>CTOM24</v>
          </cell>
          <cell r="C84" t="str">
            <v>CSG-CTOM24</v>
          </cell>
        </row>
        <row r="85">
          <cell r="B85" t="str">
            <v>CTTN40</v>
          </cell>
          <cell r="C85" t="str">
            <v>CSG-CTTN40</v>
          </cell>
        </row>
        <row r="86">
          <cell r="B86" t="str">
            <v>CTCD23</v>
          </cell>
          <cell r="C86" t="str">
            <v>CSG-CTCD23</v>
          </cell>
        </row>
        <row r="87">
          <cell r="B87" t="str">
            <v>CTTN17</v>
          </cell>
          <cell r="C87" t="str">
            <v>CSG-CTTN17</v>
          </cell>
        </row>
        <row r="88">
          <cell r="B88" t="str">
            <v>CTVT31</v>
          </cell>
          <cell r="C88" t="str">
            <v>CSG-CTVT31</v>
          </cell>
        </row>
        <row r="89">
          <cell r="B89" t="str">
            <v>CTNK91</v>
          </cell>
          <cell r="C89" t="str">
            <v>CSG-CTNK91</v>
          </cell>
        </row>
        <row r="90">
          <cell r="B90" t="str">
            <v>CTNK88</v>
          </cell>
          <cell r="C90" t="str">
            <v>CSG-CTNK88</v>
          </cell>
        </row>
        <row r="91">
          <cell r="B91" t="str">
            <v>CTNK69</v>
          </cell>
          <cell r="C91" t="str">
            <v>CSG-CTNK69</v>
          </cell>
        </row>
        <row r="92">
          <cell r="B92" t="str">
            <v>CTNK66</v>
          </cell>
          <cell r="C92" t="str">
            <v>CSG-CTNK66</v>
          </cell>
        </row>
        <row r="93">
          <cell r="B93" t="str">
            <v>CTNK93</v>
          </cell>
          <cell r="C93" t="str">
            <v>CSG-CTNK93</v>
          </cell>
        </row>
        <row r="94">
          <cell r="B94" t="str">
            <v>CTNK78</v>
          </cell>
          <cell r="C94" t="str">
            <v>CSG-CTNK78</v>
          </cell>
        </row>
        <row r="95">
          <cell r="B95" t="str">
            <v>CTNK61</v>
          </cell>
          <cell r="C95" t="str">
            <v>CSG-CTNK61</v>
          </cell>
        </row>
        <row r="96">
          <cell r="B96" t="str">
            <v>CTNK76</v>
          </cell>
          <cell r="C96" t="str">
            <v>CSG-CTNK76</v>
          </cell>
        </row>
        <row r="97">
          <cell r="B97" t="str">
            <v>CTNK57</v>
          </cell>
          <cell r="C97" t="str">
            <v>CSG-CTNK57</v>
          </cell>
        </row>
        <row r="98">
          <cell r="B98" t="str">
            <v>CTNK85</v>
          </cell>
          <cell r="C98" t="str">
            <v>CSG-CTNK85</v>
          </cell>
        </row>
        <row r="99">
          <cell r="B99" t="str">
            <v>CTNK83</v>
          </cell>
          <cell r="C99" t="str">
            <v>CSG-CTNK83</v>
          </cell>
        </row>
        <row r="100">
          <cell r="B100" t="str">
            <v>CTNK74</v>
          </cell>
          <cell r="C100" t="str">
            <v>CSG-CTNK74</v>
          </cell>
        </row>
        <row r="101">
          <cell r="B101" t="str">
            <v>CTNK89</v>
          </cell>
          <cell r="C101" t="str">
            <v>CSG-CTNK89</v>
          </cell>
        </row>
        <row r="102">
          <cell r="B102" t="str">
            <v>CTNK72</v>
          </cell>
          <cell r="C102" t="str">
            <v>CSG-CTNK72</v>
          </cell>
        </row>
        <row r="103">
          <cell r="B103" t="str">
            <v>CTNK65</v>
          </cell>
          <cell r="C103" t="str">
            <v>CSG-CTNK65</v>
          </cell>
        </row>
        <row r="104">
          <cell r="B104" t="str">
            <v>CTNK54</v>
          </cell>
          <cell r="C104" t="str">
            <v>CSG-CTNK54</v>
          </cell>
        </row>
        <row r="105">
          <cell r="B105" t="str">
            <v>CTNK71</v>
          </cell>
          <cell r="C105" t="str">
            <v>CSG-CTNK71</v>
          </cell>
        </row>
        <row r="106">
          <cell r="B106" t="str">
            <v>CTNK75</v>
          </cell>
          <cell r="C106" t="str">
            <v>CSG-CTNK75</v>
          </cell>
        </row>
        <row r="107">
          <cell r="B107" t="str">
            <v>CTNKA5</v>
          </cell>
          <cell r="C107" t="str">
            <v>CSG-CTNKA5</v>
          </cell>
        </row>
        <row r="108">
          <cell r="B108" t="str">
            <v>CTNK55</v>
          </cell>
          <cell r="C108" t="str">
            <v>CSG-CTNK55</v>
          </cell>
        </row>
        <row r="109">
          <cell r="B109" t="str">
            <v>CTNK86</v>
          </cell>
          <cell r="C109" t="str">
            <v>CSG-CTNK86</v>
          </cell>
        </row>
        <row r="110">
          <cell r="B110" t="str">
            <v>CTNK43</v>
          </cell>
          <cell r="C110" t="str">
            <v>CSG-CTNK43</v>
          </cell>
        </row>
        <row r="111">
          <cell r="B111" t="str">
            <v>CTTL08</v>
          </cell>
          <cell r="C111" t="str">
            <v>CSG-CTTL08</v>
          </cell>
        </row>
        <row r="112">
          <cell r="B112" t="str">
            <v>CTCD13</v>
          </cell>
          <cell r="C112" t="str">
            <v>CSG-CTCD13</v>
          </cell>
        </row>
        <row r="113">
          <cell r="B113" t="str">
            <v>CTCD20</v>
          </cell>
          <cell r="C113" t="str">
            <v>CSG-CTCD20</v>
          </cell>
        </row>
        <row r="114">
          <cell r="B114" t="str">
            <v>CTPD07</v>
          </cell>
          <cell r="C114" t="str">
            <v>CSG-CTPD07</v>
          </cell>
        </row>
        <row r="115">
          <cell r="B115" t="str">
            <v>CTPD24</v>
          </cell>
          <cell r="C115" t="str">
            <v>CSG-CTPD24</v>
          </cell>
        </row>
        <row r="116">
          <cell r="B116" t="str">
            <v>CTPD18</v>
          </cell>
          <cell r="C116" t="str">
            <v>CSG-CTPD18</v>
          </cell>
        </row>
        <row r="117">
          <cell r="B117" t="str">
            <v>CTVT02</v>
          </cell>
          <cell r="C117" t="str">
            <v>CSG-CTVT02</v>
          </cell>
        </row>
        <row r="118">
          <cell r="B118" t="str">
            <v>CTVT12</v>
          </cell>
          <cell r="C118" t="str">
            <v>CSG-CTVT12</v>
          </cell>
        </row>
        <row r="119">
          <cell r="B119" t="str">
            <v>CTBT15</v>
          </cell>
          <cell r="C119" t="str">
            <v>CSG-CTBT15</v>
          </cell>
        </row>
        <row r="120">
          <cell r="B120" t="str">
            <v>CTBT25</v>
          </cell>
          <cell r="C120" t="str">
            <v>CSG-CTBT25</v>
          </cell>
        </row>
        <row r="121">
          <cell r="B121" t="str">
            <v>CTBT32</v>
          </cell>
          <cell r="C121" t="str">
            <v>CSG-CTBT32</v>
          </cell>
        </row>
        <row r="122">
          <cell r="B122" t="str">
            <v>CTBT24</v>
          </cell>
          <cell r="C122" t="str">
            <v>CSG-CTBT24</v>
          </cell>
        </row>
        <row r="123">
          <cell r="B123" t="str">
            <v>CTNK30</v>
          </cell>
          <cell r="C123" t="str">
            <v>CSG-CTNK30</v>
          </cell>
        </row>
        <row r="124">
          <cell r="B124" t="str">
            <v>CTBT14</v>
          </cell>
          <cell r="C124" t="str">
            <v>CSG-CTBT14</v>
          </cell>
        </row>
        <row r="125">
          <cell r="B125" t="str">
            <v>CTBT43</v>
          </cell>
          <cell r="C125" t="str">
            <v>CSG-CTBT43</v>
          </cell>
        </row>
        <row r="126">
          <cell r="B126" t="str">
            <v>CTBT07</v>
          </cell>
          <cell r="C126" t="str">
            <v>CSG-CTBT07</v>
          </cell>
        </row>
        <row r="127">
          <cell r="B127" t="str">
            <v>CTBT08</v>
          </cell>
          <cell r="C127" t="str">
            <v>CSG-CTBT08</v>
          </cell>
        </row>
        <row r="128">
          <cell r="B128" t="str">
            <v>CTBT31</v>
          </cell>
          <cell r="C128" t="str">
            <v>CSG-CTBT31</v>
          </cell>
        </row>
        <row r="129">
          <cell r="B129" t="str">
            <v>CTNK62</v>
          </cell>
          <cell r="C129" t="str">
            <v>CSG-CTNK62</v>
          </cell>
        </row>
        <row r="130">
          <cell r="B130" t="str">
            <v>CTBT58</v>
          </cell>
          <cell r="C130" t="str">
            <v>CSG-CTBT58</v>
          </cell>
        </row>
        <row r="131">
          <cell r="B131" t="str">
            <v>CTCR13</v>
          </cell>
          <cell r="C131" t="str">
            <v>CSG-CTCR13</v>
          </cell>
        </row>
        <row r="132">
          <cell r="B132" t="str">
            <v>CTCR40</v>
          </cell>
          <cell r="C132" t="str">
            <v>CSG-CTCR40</v>
          </cell>
        </row>
        <row r="133">
          <cell r="B133" t="str">
            <v>CTCR15</v>
          </cell>
          <cell r="C133" t="str">
            <v>CSG-CTCR15</v>
          </cell>
        </row>
        <row r="134">
          <cell r="B134" t="str">
            <v>CTCR07</v>
          </cell>
          <cell r="C134" t="str">
            <v>CSG-CTCR07</v>
          </cell>
        </row>
        <row r="135">
          <cell r="B135" t="str">
            <v>CTCR32</v>
          </cell>
          <cell r="C135" t="str">
            <v>CSG-CTCR32</v>
          </cell>
        </row>
        <row r="136">
          <cell r="B136" t="str">
            <v>CTCR05</v>
          </cell>
          <cell r="C136" t="str">
            <v>CSG-CTCR05</v>
          </cell>
        </row>
        <row r="137">
          <cell r="B137" t="str">
            <v>CTCR02</v>
          </cell>
          <cell r="C137" t="str">
            <v>CSG-CTCR02</v>
          </cell>
        </row>
        <row r="138">
          <cell r="B138" t="str">
            <v>CTCR20</v>
          </cell>
          <cell r="C138" t="str">
            <v>CSG-CTCR20</v>
          </cell>
        </row>
        <row r="139">
          <cell r="B139" t="str">
            <v>CTNK09</v>
          </cell>
          <cell r="C139" t="str">
            <v>CSG-CTNK09</v>
          </cell>
        </row>
        <row r="140">
          <cell r="B140" t="str">
            <v>CTCR35</v>
          </cell>
          <cell r="C140" t="str">
            <v>CSG-CTCR35</v>
          </cell>
        </row>
        <row r="141">
          <cell r="B141" t="str">
            <v>CTOM05</v>
          </cell>
          <cell r="C141" t="str">
            <v>CSG-CTOM05</v>
          </cell>
        </row>
        <row r="142">
          <cell r="B142" t="str">
            <v>CTTN15</v>
          </cell>
          <cell r="C142" t="str">
            <v>CSG-CTTN15</v>
          </cell>
        </row>
        <row r="143">
          <cell r="B143" t="str">
            <v>CTOM07</v>
          </cell>
          <cell r="C143" t="str">
            <v>CSG-CTOM07</v>
          </cell>
        </row>
        <row r="144">
          <cell r="B144" t="str">
            <v>CTOM12</v>
          </cell>
          <cell r="C144" t="str">
            <v>CSG-CTOM12</v>
          </cell>
        </row>
        <row r="145">
          <cell r="B145" t="str">
            <v>CTBT70</v>
          </cell>
          <cell r="C145" t="str">
            <v>CSG-CTBT70</v>
          </cell>
        </row>
        <row r="146">
          <cell r="B146" t="str">
            <v>CTOM20</v>
          </cell>
          <cell r="C146" t="str">
            <v>CSG-CTOM20</v>
          </cell>
        </row>
        <row r="147">
          <cell r="B147" t="str">
            <v>CTOM32</v>
          </cell>
          <cell r="C147" t="str">
            <v>CSG-CTOM32</v>
          </cell>
        </row>
        <row r="148">
          <cell r="B148" t="str">
            <v>CTOM02</v>
          </cell>
          <cell r="C148" t="str">
            <v>CSG-CTOM02</v>
          </cell>
        </row>
        <row r="149">
          <cell r="B149" t="str">
            <v>CTOM11</v>
          </cell>
          <cell r="C149" t="str">
            <v>CSG-CTOM11</v>
          </cell>
        </row>
        <row r="150">
          <cell r="B150" t="str">
            <v>CTTL15</v>
          </cell>
          <cell r="C150" t="str">
            <v>CSG-CTTL15</v>
          </cell>
        </row>
        <row r="151">
          <cell r="B151" t="str">
            <v>CTPD08</v>
          </cell>
          <cell r="C151" t="str">
            <v>CSG-CTPD08</v>
          </cell>
        </row>
        <row r="152">
          <cell r="B152" t="str">
            <v>CTTL32</v>
          </cell>
          <cell r="C152" t="str">
            <v>CSG-CTTL32</v>
          </cell>
        </row>
        <row r="153">
          <cell r="B153" t="str">
            <v>CTTL03</v>
          </cell>
          <cell r="C153" t="str">
            <v>CSG-CTTL03</v>
          </cell>
        </row>
        <row r="154">
          <cell r="B154" t="str">
            <v>CTBT17</v>
          </cell>
          <cell r="C154" t="str">
            <v>CSG-CTBT17</v>
          </cell>
        </row>
        <row r="155">
          <cell r="B155" t="str">
            <v>CTBT09</v>
          </cell>
          <cell r="C155" t="str">
            <v>CSG-CTBT09</v>
          </cell>
        </row>
        <row r="156">
          <cell r="B156" t="str">
            <v>CTBT16</v>
          </cell>
          <cell r="C156" t="str">
            <v>CSG-CTBT16</v>
          </cell>
        </row>
        <row r="157">
          <cell r="B157" t="str">
            <v>CTBT22</v>
          </cell>
          <cell r="C157" t="str">
            <v>CSG-CTBT22</v>
          </cell>
        </row>
        <row r="158">
          <cell r="B158" t="str">
            <v>CTBT47</v>
          </cell>
          <cell r="C158" t="str">
            <v>CSG-CTBT47</v>
          </cell>
        </row>
        <row r="159">
          <cell r="B159" t="str">
            <v>CTCR29</v>
          </cell>
          <cell r="C159" t="str">
            <v>CSG-CTCR29</v>
          </cell>
        </row>
        <row r="160">
          <cell r="B160" t="str">
            <v>CTCR41</v>
          </cell>
          <cell r="C160" t="str">
            <v>CSG-CTCR41</v>
          </cell>
        </row>
        <row r="161">
          <cell r="B161" t="str">
            <v>CTNK99</v>
          </cell>
          <cell r="C161" t="str">
            <v>CSG-CTNK99</v>
          </cell>
        </row>
        <row r="162">
          <cell r="B162" t="str">
            <v>CTCR34</v>
          </cell>
          <cell r="C162" t="str">
            <v>CSG-CTCR34</v>
          </cell>
        </row>
        <row r="163">
          <cell r="B163" t="str">
            <v>CTCR16</v>
          </cell>
          <cell r="C163" t="str">
            <v>CSG-CTCR16</v>
          </cell>
        </row>
        <row r="164">
          <cell r="B164" t="str">
            <v>CTNK68</v>
          </cell>
          <cell r="C164" t="str">
            <v>CSG-CTNK68</v>
          </cell>
        </row>
        <row r="165">
          <cell r="B165" t="str">
            <v>CTNK44</v>
          </cell>
          <cell r="C165" t="str">
            <v>CSG-CTNK44</v>
          </cell>
        </row>
        <row r="166">
          <cell r="B166" t="str">
            <v>CTTN41</v>
          </cell>
          <cell r="C166" t="str">
            <v>CSG-CTTN41</v>
          </cell>
        </row>
        <row r="167">
          <cell r="B167" t="str">
            <v>CTVT28</v>
          </cell>
          <cell r="C167" t="str">
            <v>CSG-CTVT28</v>
          </cell>
        </row>
        <row r="168">
          <cell r="B168" t="str">
            <v>CTVT11</v>
          </cell>
          <cell r="C168" t="str">
            <v>CSG-CTVT11</v>
          </cell>
        </row>
        <row r="169">
          <cell r="B169" t="str">
            <v>CTVT05</v>
          </cell>
          <cell r="C169" t="str">
            <v>CSG-CTVT05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 CHI TIET MAU"/>
      <sheetName val="Tong hop Co dinh"/>
      <sheetName val="Bang ke Thanh toan"/>
      <sheetName val="BAN KE HOA DON"/>
      <sheetName val="TCHD"/>
      <sheetName val="GIAI TRINH"/>
      <sheetName val="Data 2023"/>
    </sheetNames>
    <sheetDataSet>
      <sheetData sheetId="0"/>
      <sheetData sheetId="1">
        <row r="8">
          <cell r="C8" t="str">
            <v>CTBT06</v>
          </cell>
          <cell r="D8">
            <v>12</v>
          </cell>
          <cell r="E8" t="str">
            <v>Vikyno</v>
          </cell>
        </row>
        <row r="9">
          <cell r="C9" t="str">
            <v>CTBT18</v>
          </cell>
          <cell r="D9">
            <v>12</v>
          </cell>
          <cell r="E9" t="str">
            <v>Vikyno</v>
          </cell>
        </row>
        <row r="10">
          <cell r="C10" t="str">
            <v>CTBT39</v>
          </cell>
          <cell r="D10">
            <v>12</v>
          </cell>
          <cell r="E10" t="str">
            <v>Vikyno</v>
          </cell>
        </row>
        <row r="11">
          <cell r="C11" t="str">
            <v>CTBT41</v>
          </cell>
          <cell r="D11">
            <v>12</v>
          </cell>
          <cell r="E11" t="str">
            <v>Vikyno</v>
          </cell>
        </row>
        <row r="12">
          <cell r="C12" t="str">
            <v>CTBT43</v>
          </cell>
          <cell r="D12">
            <v>12</v>
          </cell>
          <cell r="E12" t="str">
            <v>Vikyno</v>
          </cell>
        </row>
        <row r="13">
          <cell r="C13" t="str">
            <v>CTBT44</v>
          </cell>
          <cell r="D13">
            <v>12</v>
          </cell>
          <cell r="E13" t="str">
            <v>Vikyno</v>
          </cell>
        </row>
        <row r="14">
          <cell r="C14" t="str">
            <v>CTBT49</v>
          </cell>
          <cell r="D14">
            <v>12</v>
          </cell>
          <cell r="E14" t="str">
            <v>Vikyno</v>
          </cell>
        </row>
        <row r="15">
          <cell r="C15" t="str">
            <v>CTCD03</v>
          </cell>
          <cell r="D15">
            <v>12</v>
          </cell>
          <cell r="E15" t="str">
            <v>DenYo</v>
          </cell>
        </row>
        <row r="16">
          <cell r="C16" t="str">
            <v>CTCD21</v>
          </cell>
          <cell r="D16">
            <v>12</v>
          </cell>
          <cell r="E16" t="str">
            <v>Vikyno</v>
          </cell>
        </row>
        <row r="17">
          <cell r="C17" t="str">
            <v>CTCD26</v>
          </cell>
          <cell r="D17">
            <v>12</v>
          </cell>
          <cell r="E17" t="str">
            <v>Vikyno</v>
          </cell>
        </row>
        <row r="18">
          <cell r="C18" t="str">
            <v>CTCD28</v>
          </cell>
          <cell r="D18">
            <v>12</v>
          </cell>
          <cell r="E18" t="str">
            <v>Vikyno</v>
          </cell>
        </row>
        <row r="19">
          <cell r="C19" t="str">
            <v>CTCR01</v>
          </cell>
          <cell r="D19">
            <v>12</v>
          </cell>
          <cell r="E19" t="str">
            <v>Vikyno</v>
          </cell>
        </row>
        <row r="20">
          <cell r="C20" t="str">
            <v>CTCR04</v>
          </cell>
          <cell r="D20">
            <v>10</v>
          </cell>
          <cell r="E20" t="str">
            <v>Vykino</v>
          </cell>
        </row>
        <row r="21">
          <cell r="C21" t="str">
            <v>CTCR15</v>
          </cell>
          <cell r="D21">
            <v>12</v>
          </cell>
          <cell r="E21" t="str">
            <v>Vikyno</v>
          </cell>
        </row>
        <row r="22">
          <cell r="C22" t="str">
            <v>CTCR30</v>
          </cell>
          <cell r="D22">
            <v>12</v>
          </cell>
          <cell r="E22" t="str">
            <v>Vikyno</v>
          </cell>
        </row>
        <row r="23">
          <cell r="C23" t="str">
            <v>CTCR32</v>
          </cell>
          <cell r="D23">
            <v>12</v>
          </cell>
          <cell r="E23" t="str">
            <v>Vikyno</v>
          </cell>
        </row>
        <row r="24">
          <cell r="C24" t="str">
            <v>CTCR33</v>
          </cell>
          <cell r="D24">
            <v>10</v>
          </cell>
          <cell r="E24" t="str">
            <v>Vikyno</v>
          </cell>
        </row>
        <row r="25">
          <cell r="C25" t="str">
            <v>CTCR34</v>
          </cell>
          <cell r="D25">
            <v>12</v>
          </cell>
          <cell r="E25" t="str">
            <v>Vikyno</v>
          </cell>
        </row>
        <row r="26">
          <cell r="C26" t="str">
            <v>CTCR36</v>
          </cell>
          <cell r="D26">
            <v>12</v>
          </cell>
          <cell r="E26" t="str">
            <v>Vikyno</v>
          </cell>
        </row>
        <row r="27">
          <cell r="C27" t="str">
            <v>CTCR38</v>
          </cell>
          <cell r="D27">
            <v>12</v>
          </cell>
          <cell r="E27" t="str">
            <v>Vikyno</v>
          </cell>
        </row>
        <row r="28">
          <cell r="C28" t="str">
            <v>CTCR40</v>
          </cell>
          <cell r="D28">
            <v>12</v>
          </cell>
          <cell r="E28" t="str">
            <v>Vikyno</v>
          </cell>
        </row>
        <row r="29">
          <cell r="C29" t="str">
            <v>CTNK10</v>
          </cell>
          <cell r="D29">
            <v>12</v>
          </cell>
          <cell r="E29" t="str">
            <v>Vikyno</v>
          </cell>
        </row>
        <row r="30">
          <cell r="C30" t="str">
            <v>CTNK31</v>
          </cell>
          <cell r="D30">
            <v>12</v>
          </cell>
          <cell r="E30" t="str">
            <v>Vikyno</v>
          </cell>
        </row>
        <row r="31">
          <cell r="C31" t="str">
            <v>CTNK34</v>
          </cell>
          <cell r="D31">
            <v>12</v>
          </cell>
          <cell r="E31" t="str">
            <v>Vikyno</v>
          </cell>
        </row>
        <row r="32">
          <cell r="C32" t="str">
            <v>CTNK35</v>
          </cell>
          <cell r="D32">
            <v>12</v>
          </cell>
          <cell r="E32" t="str">
            <v>Vikyno</v>
          </cell>
        </row>
        <row r="33">
          <cell r="C33" t="str">
            <v>CTNK47</v>
          </cell>
          <cell r="D33">
            <v>8</v>
          </cell>
          <cell r="E33" t="str">
            <v>Vikyno</v>
          </cell>
        </row>
        <row r="34">
          <cell r="C34" t="str">
            <v>CTNK48</v>
          </cell>
          <cell r="D34">
            <v>12</v>
          </cell>
          <cell r="E34" t="str">
            <v>TATO</v>
          </cell>
        </row>
        <row r="35">
          <cell r="C35" t="str">
            <v>CTNK51</v>
          </cell>
          <cell r="D35">
            <v>12</v>
          </cell>
          <cell r="E35" t="str">
            <v>Vikyno</v>
          </cell>
        </row>
        <row r="36">
          <cell r="C36" t="str">
            <v>CTNK58</v>
          </cell>
          <cell r="D36">
            <v>12</v>
          </cell>
          <cell r="E36" t="str">
            <v>Vikyno</v>
          </cell>
        </row>
        <row r="37">
          <cell r="C37" t="str">
            <v>CTNK83</v>
          </cell>
          <cell r="D37">
            <v>12</v>
          </cell>
          <cell r="E37" t="str">
            <v>Vikyno</v>
          </cell>
        </row>
        <row r="38">
          <cell r="C38" t="str">
            <v>CTNK85</v>
          </cell>
          <cell r="D38">
            <v>12</v>
          </cell>
          <cell r="E38" t="str">
            <v>Vikyno</v>
          </cell>
        </row>
        <row r="39">
          <cell r="C39" t="str">
            <v>CTNK86</v>
          </cell>
          <cell r="D39">
            <v>12</v>
          </cell>
          <cell r="E39" t="str">
            <v>Vikyno</v>
          </cell>
        </row>
        <row r="40">
          <cell r="C40" t="str">
            <v>CTNK87</v>
          </cell>
          <cell r="D40">
            <v>12</v>
          </cell>
          <cell r="E40" t="str">
            <v>Vikyno</v>
          </cell>
        </row>
        <row r="41">
          <cell r="C41" t="str">
            <v>CTNK90</v>
          </cell>
          <cell r="D41">
            <v>12</v>
          </cell>
          <cell r="E41" t="str">
            <v>Vikyno</v>
          </cell>
        </row>
        <row r="42">
          <cell r="C42" t="str">
            <v>CTNK92</v>
          </cell>
          <cell r="D42">
            <v>12</v>
          </cell>
          <cell r="E42" t="str">
            <v>Vikyno</v>
          </cell>
        </row>
        <row r="43">
          <cell r="C43" t="str">
            <v>CTNK94</v>
          </cell>
          <cell r="D43">
            <v>12</v>
          </cell>
          <cell r="E43" t="str">
            <v>DENYO</v>
          </cell>
        </row>
        <row r="44">
          <cell r="C44" t="str">
            <v>CTNK98</v>
          </cell>
          <cell r="D44">
            <v>12</v>
          </cell>
          <cell r="E44" t="str">
            <v>Vikyno</v>
          </cell>
        </row>
        <row r="45">
          <cell r="C45" t="str">
            <v>CTOM02</v>
          </cell>
          <cell r="D45">
            <v>12</v>
          </cell>
          <cell r="E45" t="str">
            <v>Vikyno</v>
          </cell>
        </row>
        <row r="46">
          <cell r="C46" t="str">
            <v>CTOM18</v>
          </cell>
          <cell r="D46">
            <v>10</v>
          </cell>
          <cell r="E46" t="str">
            <v>Vykino</v>
          </cell>
        </row>
        <row r="47">
          <cell r="C47" t="str">
            <v>CTOM36</v>
          </cell>
          <cell r="D47">
            <v>12</v>
          </cell>
          <cell r="E47" t="str">
            <v>Vikyno</v>
          </cell>
        </row>
        <row r="48">
          <cell r="C48" t="str">
            <v>CTPD03</v>
          </cell>
          <cell r="D48">
            <v>12</v>
          </cell>
          <cell r="E48" t="str">
            <v>Vikyno</v>
          </cell>
        </row>
        <row r="49">
          <cell r="C49" t="str">
            <v>CTPD30</v>
          </cell>
          <cell r="D49">
            <v>10</v>
          </cell>
          <cell r="E49" t="str">
            <v>Vykino</v>
          </cell>
        </row>
        <row r="50">
          <cell r="C50" t="str">
            <v>CTPD31</v>
          </cell>
          <cell r="D50">
            <v>12</v>
          </cell>
          <cell r="E50" t="str">
            <v>Vikyno</v>
          </cell>
        </row>
        <row r="51">
          <cell r="C51" t="str">
            <v>CTTL09</v>
          </cell>
          <cell r="D51">
            <v>12</v>
          </cell>
          <cell r="E51" t="str">
            <v>Vikyno</v>
          </cell>
        </row>
        <row r="52">
          <cell r="C52" t="str">
            <v>CTTL11</v>
          </cell>
          <cell r="D52">
            <v>12</v>
          </cell>
          <cell r="E52" t="str">
            <v>Vikyno</v>
          </cell>
        </row>
        <row r="53">
          <cell r="C53" t="str">
            <v>CTTL26</v>
          </cell>
          <cell r="D53">
            <v>12</v>
          </cell>
          <cell r="E53" t="str">
            <v>Vikyno</v>
          </cell>
        </row>
        <row r="54">
          <cell r="C54" t="str">
            <v>CTTL32</v>
          </cell>
          <cell r="D54">
            <v>12</v>
          </cell>
          <cell r="E54" t="str">
            <v>Vikyno</v>
          </cell>
        </row>
        <row r="55">
          <cell r="C55" t="str">
            <v>CTTN06</v>
          </cell>
          <cell r="D55">
            <v>12</v>
          </cell>
          <cell r="E55" t="str">
            <v>Vikyno</v>
          </cell>
        </row>
        <row r="56">
          <cell r="C56" t="str">
            <v>CTTN11</v>
          </cell>
          <cell r="D56">
            <v>10</v>
          </cell>
          <cell r="E56" t="str">
            <v>Vykino</v>
          </cell>
        </row>
        <row r="57">
          <cell r="C57" t="str">
            <v>CTTN35</v>
          </cell>
          <cell r="D57">
            <v>12</v>
          </cell>
          <cell r="E57" t="str">
            <v>Vikyno</v>
          </cell>
        </row>
        <row r="58">
          <cell r="C58" t="str">
            <v>CTTN36</v>
          </cell>
          <cell r="D58">
            <v>12</v>
          </cell>
          <cell r="E58" t="str">
            <v>Vikyno</v>
          </cell>
        </row>
        <row r="59">
          <cell r="C59" t="str">
            <v>CTVT24</v>
          </cell>
          <cell r="D59">
            <v>10</v>
          </cell>
          <cell r="E59" t="str">
            <v>Vikyno</v>
          </cell>
        </row>
        <row r="60">
          <cell r="C60" t="str">
            <v>CTVT35</v>
          </cell>
          <cell r="D60">
            <v>12</v>
          </cell>
          <cell r="E60" t="str">
            <v>Vikyno</v>
          </cell>
        </row>
        <row r="61">
          <cell r="C61" t="str">
            <v>CTVT36</v>
          </cell>
          <cell r="D61">
            <v>12</v>
          </cell>
          <cell r="E61" t="str">
            <v>Vikyno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644FF-3CEB-4522-9AF6-66699FE6C900}">
  <dimension ref="A1:AG696"/>
  <sheetViews>
    <sheetView tabSelected="1" zoomScale="70" zoomScaleNormal="70" workbookViewId="0">
      <pane xSplit="2" ySplit="1" topLeftCell="C2" activePane="bottomRight" state="frozen"/>
      <selection pane="topRight" activeCell="D1" sqref="D1"/>
      <selection pane="bottomLeft" activeCell="A3" sqref="A3"/>
      <selection pane="bottomRight" activeCell="G1" sqref="G1"/>
    </sheetView>
  </sheetViews>
  <sheetFormatPr defaultRowHeight="18" customHeight="1" x14ac:dyDescent="0.25"/>
  <cols>
    <col min="1" max="1" width="6" style="33" customWidth="1"/>
    <col min="2" max="2" width="23.42578125" style="91" customWidth="1"/>
    <col min="3" max="3" width="20" style="91" bestFit="1" customWidth="1"/>
    <col min="4" max="4" width="28.7109375" style="91" bestFit="1" customWidth="1"/>
    <col min="5" max="5" width="25.85546875" style="33" customWidth="1"/>
    <col min="6" max="6" width="14.42578125" style="33" customWidth="1"/>
    <col min="7" max="7" width="10.140625" style="33" customWidth="1"/>
    <col min="8" max="8" width="20.42578125" style="33" customWidth="1"/>
    <col min="9" max="9" width="15" style="33" customWidth="1"/>
    <col min="10" max="10" width="18.85546875" style="32" customWidth="1"/>
    <col min="11" max="11" width="19.140625" style="51" customWidth="1"/>
    <col min="12" max="12" width="22.85546875" style="51" customWidth="1"/>
    <col min="13" max="13" width="17.140625" style="33" customWidth="1"/>
    <col min="14" max="14" width="24.140625" style="33" customWidth="1"/>
    <col min="15" max="16" width="23.7109375" style="33" customWidth="1"/>
    <col min="17" max="17" width="9.140625" style="33" customWidth="1"/>
    <col min="18" max="18" width="18.85546875" style="33" customWidth="1"/>
    <col min="19" max="19" width="15.5703125" style="33" customWidth="1"/>
    <col min="20" max="20" width="10.28515625" style="33" customWidth="1"/>
    <col min="21" max="22" width="16.5703125" style="33" customWidth="1"/>
    <col min="23" max="23" width="16.42578125" style="33" customWidth="1"/>
    <col min="24" max="24" width="15.5703125" style="33" customWidth="1"/>
    <col min="25" max="25" width="19.28515625" style="33" customWidth="1"/>
    <col min="26" max="26" width="9.7109375" style="33" customWidth="1"/>
    <col min="27" max="27" width="13.85546875" style="33" customWidth="1"/>
    <col min="28" max="28" width="26.140625" style="33" customWidth="1"/>
    <col min="29" max="29" width="26.85546875" style="33" customWidth="1"/>
    <col min="30" max="30" width="20.7109375" style="33" hidden="1" customWidth="1"/>
    <col min="31" max="31" width="35.85546875" style="33" hidden="1" customWidth="1"/>
    <col min="32" max="32" width="7.42578125" style="33" hidden="1" customWidth="1"/>
    <col min="33" max="33" width="20.42578125" style="33" hidden="1" customWidth="1"/>
    <col min="34" max="16384" width="9.140625" style="33"/>
  </cols>
  <sheetData>
    <row r="1" spans="1:33" ht="80.45" customHeight="1" x14ac:dyDescent="0.25">
      <c r="A1" s="86" t="s">
        <v>0</v>
      </c>
      <c r="B1" s="89" t="s">
        <v>3283</v>
      </c>
      <c r="C1" s="89" t="s">
        <v>3284</v>
      </c>
      <c r="D1" s="89" t="s">
        <v>3285</v>
      </c>
      <c r="E1" s="87" t="s">
        <v>3286</v>
      </c>
      <c r="F1" s="87" t="s">
        <v>3288</v>
      </c>
      <c r="G1" s="88" t="s">
        <v>3287</v>
      </c>
      <c r="H1" s="88" t="s">
        <v>1422</v>
      </c>
      <c r="I1" s="88" t="s">
        <v>1640</v>
      </c>
      <c r="J1" s="86" t="s">
        <v>1421</v>
      </c>
      <c r="K1" s="88" t="s">
        <v>2409</v>
      </c>
      <c r="L1" s="88" t="s">
        <v>2555</v>
      </c>
      <c r="M1" s="88" t="s">
        <v>1423</v>
      </c>
      <c r="N1" s="88" t="s">
        <v>1424</v>
      </c>
      <c r="O1" s="88" t="s">
        <v>1425</v>
      </c>
      <c r="P1" s="88" t="s">
        <v>2335</v>
      </c>
      <c r="Q1" s="80" t="s">
        <v>1431</v>
      </c>
      <c r="R1" s="81" t="s">
        <v>1432</v>
      </c>
      <c r="S1" s="81" t="s">
        <v>1433</v>
      </c>
      <c r="T1" s="80" t="s">
        <v>1431</v>
      </c>
      <c r="U1" s="81" t="s">
        <v>1432</v>
      </c>
      <c r="V1" s="81" t="s">
        <v>1433</v>
      </c>
      <c r="W1" s="81" t="s">
        <v>1432</v>
      </c>
      <c r="X1" s="80" t="s">
        <v>1433</v>
      </c>
      <c r="Y1" s="81" t="s">
        <v>1434</v>
      </c>
      <c r="Z1" s="82"/>
      <c r="AA1" s="83"/>
      <c r="AB1" s="84" t="s">
        <v>1733</v>
      </c>
      <c r="AC1" s="81" t="s">
        <v>1734</v>
      </c>
      <c r="AD1" s="85"/>
    </row>
    <row r="2" spans="1:33" s="131" customFormat="1" ht="18" customHeight="1" x14ac:dyDescent="0.25">
      <c r="A2" s="125">
        <v>1</v>
      </c>
      <c r="B2" s="126" t="s">
        <v>37</v>
      </c>
      <c r="C2" s="126" t="s">
        <v>2556</v>
      </c>
      <c r="D2" s="126" t="s">
        <v>2557</v>
      </c>
      <c r="E2" s="127" t="s">
        <v>3</v>
      </c>
      <c r="F2" s="128" t="s">
        <v>2411</v>
      </c>
      <c r="G2" s="128" t="s">
        <v>3289</v>
      </c>
      <c r="H2" s="125" t="s">
        <v>925</v>
      </c>
      <c r="I2" s="125"/>
      <c r="J2" s="129"/>
      <c r="K2" s="130"/>
      <c r="L2" s="129"/>
      <c r="M2" s="127" t="s">
        <v>761</v>
      </c>
      <c r="N2" s="127" t="s">
        <v>1639</v>
      </c>
      <c r="O2" s="127" t="s">
        <v>1439</v>
      </c>
      <c r="P2" s="127" t="s">
        <v>812</v>
      </c>
      <c r="Q2" s="127">
        <v>0</v>
      </c>
      <c r="R2" s="127">
        <v>0</v>
      </c>
      <c r="S2" s="127">
        <v>0</v>
      </c>
      <c r="T2" s="127">
        <v>0</v>
      </c>
      <c r="U2" s="127">
        <v>0</v>
      </c>
      <c r="V2" s="127">
        <v>0</v>
      </c>
      <c r="W2" s="127">
        <v>0</v>
      </c>
      <c r="X2" s="127">
        <v>0</v>
      </c>
      <c r="Y2" s="127">
        <v>0</v>
      </c>
      <c r="Z2" s="127">
        <v>0</v>
      </c>
      <c r="AA2" s="127" t="s">
        <v>2511</v>
      </c>
      <c r="AB2" s="131" t="s">
        <v>924</v>
      </c>
      <c r="AC2" s="127" t="s">
        <v>1743</v>
      </c>
      <c r="AD2" s="131" t="s">
        <v>3</v>
      </c>
      <c r="AE2" s="131" t="e">
        <v>#N/A</v>
      </c>
      <c r="AF2" s="131" t="e">
        <v>#N/A</v>
      </c>
      <c r="AG2" s="131" t="e">
        <v>#REF!</v>
      </c>
    </row>
    <row r="3" spans="1:33" s="131" customFormat="1" ht="18" customHeight="1" x14ac:dyDescent="0.25">
      <c r="A3" s="125">
        <v>2</v>
      </c>
      <c r="B3" s="126" t="s">
        <v>38</v>
      </c>
      <c r="C3" s="126" t="s">
        <v>2558</v>
      </c>
      <c r="D3" s="126" t="s">
        <v>2557</v>
      </c>
      <c r="E3" s="127" t="s">
        <v>3</v>
      </c>
      <c r="F3" s="128" t="s">
        <v>2410</v>
      </c>
      <c r="G3" s="128" t="s">
        <v>3290</v>
      </c>
      <c r="H3" s="125" t="s">
        <v>927</v>
      </c>
      <c r="I3" s="125"/>
      <c r="J3" s="129"/>
      <c r="K3" s="130" t="s">
        <v>45</v>
      </c>
      <c r="L3" s="129"/>
      <c r="M3" s="127" t="s">
        <v>759</v>
      </c>
      <c r="N3" s="127" t="s">
        <v>1639</v>
      </c>
      <c r="O3" s="127" t="s">
        <v>1553</v>
      </c>
      <c r="P3" s="127">
        <v>0</v>
      </c>
      <c r="Q3" s="127">
        <v>2</v>
      </c>
      <c r="R3" s="127" t="s">
        <v>1435</v>
      </c>
      <c r="S3" s="127" t="s">
        <v>38</v>
      </c>
      <c r="T3" s="127">
        <v>0</v>
      </c>
      <c r="U3" s="127">
        <v>0</v>
      </c>
      <c r="V3" s="127">
        <v>0</v>
      </c>
      <c r="W3" s="127">
        <v>0</v>
      </c>
      <c r="X3" s="127">
        <v>0</v>
      </c>
      <c r="Y3" s="127">
        <v>0</v>
      </c>
      <c r="Z3" s="127">
        <v>0</v>
      </c>
      <c r="AA3" s="127" t="s">
        <v>2511</v>
      </c>
      <c r="AB3" s="131" t="s">
        <v>926</v>
      </c>
      <c r="AC3" s="127" t="s">
        <v>1744</v>
      </c>
      <c r="AD3" s="131" t="s">
        <v>3</v>
      </c>
      <c r="AE3" s="131" t="s">
        <v>45</v>
      </c>
      <c r="AF3" s="131" t="b">
        <v>1</v>
      </c>
      <c r="AG3" s="131" t="e">
        <v>#REF!</v>
      </c>
    </row>
    <row r="4" spans="1:33" s="131" customFormat="1" ht="18" customHeight="1" x14ac:dyDescent="0.25">
      <c r="A4" s="125">
        <v>3</v>
      </c>
      <c r="B4" s="126" t="s">
        <v>39</v>
      </c>
      <c r="C4" s="126" t="s">
        <v>2559</v>
      </c>
      <c r="D4" s="126" t="s">
        <v>2557</v>
      </c>
      <c r="E4" s="127" t="s">
        <v>3</v>
      </c>
      <c r="F4" s="128" t="s">
        <v>2410</v>
      </c>
      <c r="G4" s="128" t="s">
        <v>3290</v>
      </c>
      <c r="H4" s="125"/>
      <c r="I4" s="125"/>
      <c r="J4" s="132" t="s">
        <v>760</v>
      </c>
      <c r="K4" s="130" t="s">
        <v>46</v>
      </c>
      <c r="L4" s="129" t="s">
        <v>2550</v>
      </c>
      <c r="M4" s="127" t="s">
        <v>760</v>
      </c>
      <c r="N4" s="127" t="s">
        <v>760</v>
      </c>
      <c r="O4" s="127" t="s">
        <v>1553</v>
      </c>
      <c r="P4" s="127">
        <v>0</v>
      </c>
      <c r="Q4" s="127">
        <v>2</v>
      </c>
      <c r="R4" s="127" t="s">
        <v>1437</v>
      </c>
      <c r="S4" s="127" t="s">
        <v>39</v>
      </c>
      <c r="T4" s="127">
        <v>0</v>
      </c>
      <c r="U4" s="127">
        <v>0</v>
      </c>
      <c r="V4" s="127">
        <v>0</v>
      </c>
      <c r="W4" s="127">
        <v>0</v>
      </c>
      <c r="X4" s="127">
        <v>0</v>
      </c>
      <c r="Y4" s="127">
        <v>0</v>
      </c>
      <c r="Z4" s="127">
        <v>0</v>
      </c>
      <c r="AA4" s="127" t="s">
        <v>2511</v>
      </c>
      <c r="AB4" s="131" t="s">
        <v>928</v>
      </c>
      <c r="AC4" s="127" t="e">
        <v>#N/A</v>
      </c>
      <c r="AD4" s="131" t="s">
        <v>3</v>
      </c>
      <c r="AE4" s="131" t="e">
        <v>#N/A</v>
      </c>
      <c r="AF4" s="131" t="e">
        <v>#N/A</v>
      </c>
      <c r="AG4" s="131" t="e">
        <v>#REF!</v>
      </c>
    </row>
    <row r="5" spans="1:33" s="131" customFormat="1" ht="18" customHeight="1" x14ac:dyDescent="0.25">
      <c r="A5" s="125">
        <v>4</v>
      </c>
      <c r="B5" s="126" t="s">
        <v>40</v>
      </c>
      <c r="C5" s="126" t="s">
        <v>2560</v>
      </c>
      <c r="D5" s="126" t="s">
        <v>2557</v>
      </c>
      <c r="E5" s="127" t="s">
        <v>3</v>
      </c>
      <c r="F5" s="128" t="s">
        <v>2411</v>
      </c>
      <c r="G5" s="128" t="s">
        <v>3289</v>
      </c>
      <c r="H5" s="125" t="s">
        <v>931</v>
      </c>
      <c r="I5" s="125"/>
      <c r="J5" s="129"/>
      <c r="K5" s="130"/>
      <c r="L5" s="129"/>
      <c r="M5" s="127" t="s">
        <v>759</v>
      </c>
      <c r="N5" s="127" t="s">
        <v>1639</v>
      </c>
      <c r="O5" s="127" t="s">
        <v>1438</v>
      </c>
      <c r="P5" s="127" t="s">
        <v>812</v>
      </c>
      <c r="Q5" s="127">
        <v>0</v>
      </c>
      <c r="R5" s="127">
        <v>0</v>
      </c>
      <c r="S5" s="127">
        <v>0</v>
      </c>
      <c r="T5" s="127">
        <v>0</v>
      </c>
      <c r="U5" s="127">
        <v>0</v>
      </c>
      <c r="V5" s="127">
        <v>0</v>
      </c>
      <c r="W5" s="127">
        <v>0</v>
      </c>
      <c r="X5" s="127">
        <v>0</v>
      </c>
      <c r="Y5" s="127">
        <v>0</v>
      </c>
      <c r="Z5" s="127">
        <v>0</v>
      </c>
      <c r="AA5" s="127" t="s">
        <v>2511</v>
      </c>
      <c r="AB5" s="131" t="s">
        <v>930</v>
      </c>
      <c r="AC5" s="127" t="s">
        <v>1745</v>
      </c>
      <c r="AD5" s="131" t="s">
        <v>3</v>
      </c>
      <c r="AE5" s="131" t="e">
        <v>#N/A</v>
      </c>
      <c r="AF5" s="131" t="e">
        <v>#N/A</v>
      </c>
      <c r="AG5" s="131" t="e">
        <v>#REF!</v>
      </c>
    </row>
    <row r="6" spans="1:33" s="131" customFormat="1" ht="18" customHeight="1" x14ac:dyDescent="0.25">
      <c r="A6" s="125">
        <v>5</v>
      </c>
      <c r="B6" s="126" t="s">
        <v>41</v>
      </c>
      <c r="C6" s="126" t="s">
        <v>2561</v>
      </c>
      <c r="D6" s="126" t="s">
        <v>2557</v>
      </c>
      <c r="E6" s="127" t="s">
        <v>3</v>
      </c>
      <c r="F6" s="128" t="s">
        <v>2410</v>
      </c>
      <c r="G6" s="128" t="s">
        <v>3290</v>
      </c>
      <c r="H6" s="125"/>
      <c r="I6" s="125"/>
      <c r="J6" s="132" t="s">
        <v>1641</v>
      </c>
      <c r="K6" s="130" t="s">
        <v>37</v>
      </c>
      <c r="L6" s="129"/>
      <c r="M6" s="127" t="s">
        <v>758</v>
      </c>
      <c r="N6" s="127" t="s">
        <v>2520</v>
      </c>
      <c r="O6" s="127" t="s">
        <v>1553</v>
      </c>
      <c r="P6" s="127">
        <v>0</v>
      </c>
      <c r="Q6" s="127">
        <v>2</v>
      </c>
      <c r="R6" s="127" t="s">
        <v>1439</v>
      </c>
      <c r="S6" s="127" t="s">
        <v>41</v>
      </c>
      <c r="T6" s="127">
        <v>0</v>
      </c>
      <c r="U6" s="127">
        <v>0</v>
      </c>
      <c r="V6" s="127">
        <v>0</v>
      </c>
      <c r="W6" s="127">
        <v>0</v>
      </c>
      <c r="X6" s="127">
        <v>0</v>
      </c>
      <c r="Y6" s="127">
        <v>0</v>
      </c>
      <c r="Z6" s="127">
        <v>0</v>
      </c>
      <c r="AA6" s="127" t="s">
        <v>2511</v>
      </c>
      <c r="AB6" s="131" t="s">
        <v>932</v>
      </c>
      <c r="AC6" s="127" t="s">
        <v>1746</v>
      </c>
      <c r="AD6" s="131" t="s">
        <v>3</v>
      </c>
      <c r="AE6" s="131" t="e">
        <v>#N/A</v>
      </c>
      <c r="AF6" s="131" t="e">
        <v>#N/A</v>
      </c>
      <c r="AG6" s="131" t="e">
        <v>#REF!</v>
      </c>
    </row>
    <row r="7" spans="1:33" s="131" customFormat="1" ht="18" customHeight="1" x14ac:dyDescent="0.25">
      <c r="A7" s="125">
        <v>6</v>
      </c>
      <c r="B7" s="126" t="s">
        <v>141</v>
      </c>
      <c r="C7" s="126" t="s">
        <v>2562</v>
      </c>
      <c r="D7" s="126" t="s">
        <v>2563</v>
      </c>
      <c r="E7" s="127" t="s">
        <v>3</v>
      </c>
      <c r="F7" s="128" t="s">
        <v>2411</v>
      </c>
      <c r="G7" s="128" t="s">
        <v>3290</v>
      </c>
      <c r="H7" s="125"/>
      <c r="I7" s="125" t="s">
        <v>934</v>
      </c>
      <c r="J7" s="132"/>
      <c r="K7" s="130"/>
      <c r="L7" s="129"/>
      <c r="M7" s="127" t="s">
        <v>759</v>
      </c>
      <c r="N7" s="127" t="s">
        <v>770</v>
      </c>
      <c r="O7" s="127" t="s">
        <v>1427</v>
      </c>
      <c r="P7" s="127" t="s">
        <v>1554</v>
      </c>
      <c r="Q7" s="127">
        <v>0</v>
      </c>
      <c r="R7" s="127">
        <v>0</v>
      </c>
      <c r="S7" s="127">
        <v>0</v>
      </c>
      <c r="T7" s="127">
        <v>2</v>
      </c>
      <c r="U7" s="127" t="s">
        <v>1441</v>
      </c>
      <c r="V7" s="127" t="s">
        <v>141</v>
      </c>
      <c r="W7" s="127">
        <v>0</v>
      </c>
      <c r="X7" s="127">
        <v>0</v>
      </c>
      <c r="Y7" s="127">
        <v>0</v>
      </c>
      <c r="Z7" s="127" t="s">
        <v>1568</v>
      </c>
      <c r="AA7" s="127" t="s">
        <v>2510</v>
      </c>
      <c r="AB7" s="131" t="s">
        <v>935</v>
      </c>
      <c r="AC7" s="127" t="s">
        <v>1747</v>
      </c>
      <c r="AD7" s="131" t="s">
        <v>3</v>
      </c>
      <c r="AE7" s="131" t="e">
        <v>#N/A</v>
      </c>
      <c r="AF7" s="131" t="e">
        <v>#N/A</v>
      </c>
      <c r="AG7" s="131" t="e">
        <v>#REF!</v>
      </c>
    </row>
    <row r="8" spans="1:33" s="131" customFormat="1" ht="18" customHeight="1" x14ac:dyDescent="0.25">
      <c r="A8" s="125">
        <v>7</v>
      </c>
      <c r="B8" s="126" t="s">
        <v>142</v>
      </c>
      <c r="C8" s="126" t="s">
        <v>2564</v>
      </c>
      <c r="D8" s="126" t="s">
        <v>2563</v>
      </c>
      <c r="E8" s="127" t="s">
        <v>3</v>
      </c>
      <c r="F8" s="128" t="s">
        <v>2411</v>
      </c>
      <c r="G8" s="128" t="s">
        <v>3289</v>
      </c>
      <c r="H8" s="125"/>
      <c r="I8" s="125"/>
      <c r="J8" s="132"/>
      <c r="K8" s="130"/>
      <c r="L8" s="129"/>
      <c r="M8" s="127" t="s">
        <v>758</v>
      </c>
      <c r="N8" s="127" t="s">
        <v>765</v>
      </c>
      <c r="O8" s="127" t="s">
        <v>3291</v>
      </c>
      <c r="P8" s="127" t="s">
        <v>812</v>
      </c>
      <c r="Q8" s="127">
        <v>0</v>
      </c>
      <c r="R8" s="127">
        <v>0</v>
      </c>
      <c r="S8" s="127">
        <v>0</v>
      </c>
      <c r="T8" s="127">
        <v>0</v>
      </c>
      <c r="U8" s="127">
        <v>0</v>
      </c>
      <c r="V8" s="127">
        <v>0</v>
      </c>
      <c r="W8" s="127">
        <v>0</v>
      </c>
      <c r="X8" s="127">
        <v>0</v>
      </c>
      <c r="Y8" s="127">
        <v>0</v>
      </c>
      <c r="Z8" s="127">
        <v>0</v>
      </c>
      <c r="AA8" s="127" t="s">
        <v>2510</v>
      </c>
      <c r="AB8" s="131" t="s">
        <v>938</v>
      </c>
      <c r="AC8" s="127" t="s">
        <v>1748</v>
      </c>
      <c r="AD8" s="131" t="s">
        <v>3</v>
      </c>
      <c r="AE8" s="131" t="e">
        <v>#N/A</v>
      </c>
      <c r="AF8" s="131" t="e">
        <v>#N/A</v>
      </c>
      <c r="AG8" s="131" t="e">
        <v>#REF!</v>
      </c>
    </row>
    <row r="9" spans="1:33" s="131" customFormat="1" ht="18" customHeight="1" x14ac:dyDescent="0.25">
      <c r="A9" s="125">
        <v>8</v>
      </c>
      <c r="B9" s="126" t="s">
        <v>42</v>
      </c>
      <c r="C9" s="126" t="s">
        <v>2565</v>
      </c>
      <c r="D9" s="126" t="s">
        <v>2557</v>
      </c>
      <c r="E9" s="127" t="s">
        <v>3</v>
      </c>
      <c r="F9" s="128" t="s">
        <v>2411</v>
      </c>
      <c r="G9" s="128" t="s">
        <v>3289</v>
      </c>
      <c r="H9" s="125"/>
      <c r="I9" s="125"/>
      <c r="J9" s="132"/>
      <c r="K9" s="130"/>
      <c r="L9" s="129"/>
      <c r="M9" s="127" t="s">
        <v>758</v>
      </c>
      <c r="N9" s="127" t="s">
        <v>765</v>
      </c>
      <c r="O9" s="127" t="s">
        <v>1460</v>
      </c>
      <c r="P9" s="127" t="s">
        <v>812</v>
      </c>
      <c r="Q9" s="127">
        <v>0</v>
      </c>
      <c r="R9" s="127">
        <v>0</v>
      </c>
      <c r="S9" s="127">
        <v>0</v>
      </c>
      <c r="T9" s="127">
        <v>0</v>
      </c>
      <c r="U9" s="127">
        <v>0</v>
      </c>
      <c r="V9" s="127">
        <v>0</v>
      </c>
      <c r="W9" s="127">
        <v>0</v>
      </c>
      <c r="X9" s="127">
        <v>0</v>
      </c>
      <c r="Y9" s="127">
        <v>0</v>
      </c>
      <c r="Z9" s="127">
        <v>0</v>
      </c>
      <c r="AA9" s="127" t="s">
        <v>2511</v>
      </c>
      <c r="AB9" s="131" t="s">
        <v>939</v>
      </c>
      <c r="AC9" s="127" t="s">
        <v>1749</v>
      </c>
      <c r="AD9" s="131" t="s">
        <v>3</v>
      </c>
      <c r="AE9" s="131" t="e">
        <v>#N/A</v>
      </c>
      <c r="AF9" s="131" t="e">
        <v>#N/A</v>
      </c>
      <c r="AG9" s="131" t="e">
        <v>#REF!</v>
      </c>
    </row>
    <row r="10" spans="1:33" s="131" customFormat="1" ht="18" customHeight="1" x14ac:dyDescent="0.25">
      <c r="A10" s="125">
        <v>9</v>
      </c>
      <c r="B10" s="126" t="s">
        <v>43</v>
      </c>
      <c r="C10" s="126" t="s">
        <v>2566</v>
      </c>
      <c r="D10" s="126" t="s">
        <v>2557</v>
      </c>
      <c r="E10" s="127" t="s">
        <v>3</v>
      </c>
      <c r="F10" s="128" t="s">
        <v>2411</v>
      </c>
      <c r="G10" s="128" t="s">
        <v>3289</v>
      </c>
      <c r="H10" s="125"/>
      <c r="I10" s="125"/>
      <c r="J10" s="132"/>
      <c r="K10" s="130"/>
      <c r="L10" s="129"/>
      <c r="M10" s="127" t="s">
        <v>758</v>
      </c>
      <c r="N10" s="127" t="s">
        <v>765</v>
      </c>
      <c r="O10" s="127" t="s">
        <v>1456</v>
      </c>
      <c r="P10" s="127" t="s">
        <v>812</v>
      </c>
      <c r="Q10" s="127">
        <v>0</v>
      </c>
      <c r="R10" s="127">
        <v>0</v>
      </c>
      <c r="S10" s="127">
        <v>0</v>
      </c>
      <c r="T10" s="127">
        <v>0</v>
      </c>
      <c r="U10" s="127">
        <v>0</v>
      </c>
      <c r="V10" s="127">
        <v>0</v>
      </c>
      <c r="W10" s="127">
        <v>0</v>
      </c>
      <c r="X10" s="127">
        <v>0</v>
      </c>
      <c r="Y10" s="127">
        <v>0</v>
      </c>
      <c r="Z10" s="127">
        <v>0</v>
      </c>
      <c r="AA10" s="127" t="s">
        <v>2510</v>
      </c>
      <c r="AB10" s="131" t="s">
        <v>940</v>
      </c>
      <c r="AC10" s="127" t="s">
        <v>1750</v>
      </c>
      <c r="AD10" s="131" t="s">
        <v>3</v>
      </c>
      <c r="AE10" s="131" t="e">
        <v>#N/A</v>
      </c>
      <c r="AF10" s="131" t="e">
        <v>#N/A</v>
      </c>
      <c r="AG10" s="131" t="e">
        <v>#REF!</v>
      </c>
    </row>
    <row r="11" spans="1:33" s="131" customFormat="1" ht="18" customHeight="1" x14ac:dyDescent="0.25">
      <c r="A11" s="125">
        <v>10</v>
      </c>
      <c r="B11" s="126" t="s">
        <v>44</v>
      </c>
      <c r="C11" s="126" t="s">
        <v>2567</v>
      </c>
      <c r="D11" s="126" t="s">
        <v>2563</v>
      </c>
      <c r="E11" s="127" t="s">
        <v>3</v>
      </c>
      <c r="F11" s="128" t="s">
        <v>2411</v>
      </c>
      <c r="G11" s="128" t="s">
        <v>3289</v>
      </c>
      <c r="H11" s="125" t="s">
        <v>1732</v>
      </c>
      <c r="I11" s="125"/>
      <c r="J11" s="129"/>
      <c r="K11" s="130"/>
      <c r="L11" s="129"/>
      <c r="M11" s="127" t="s">
        <v>759</v>
      </c>
      <c r="N11" s="127" t="s">
        <v>1639</v>
      </c>
      <c r="O11" s="127" t="s">
        <v>1452</v>
      </c>
      <c r="P11" s="127" t="s">
        <v>812</v>
      </c>
      <c r="Q11" s="127">
        <v>0</v>
      </c>
      <c r="R11" s="127">
        <v>0</v>
      </c>
      <c r="S11" s="127">
        <v>0</v>
      </c>
      <c r="T11" s="127">
        <v>0</v>
      </c>
      <c r="U11" s="127">
        <v>0</v>
      </c>
      <c r="V11" s="127">
        <v>0</v>
      </c>
      <c r="W11" s="127">
        <v>0</v>
      </c>
      <c r="X11" s="127">
        <v>0</v>
      </c>
      <c r="Y11" s="127">
        <v>0</v>
      </c>
      <c r="Z11" s="127">
        <v>0</v>
      </c>
      <c r="AA11" s="127" t="s">
        <v>2511</v>
      </c>
      <c r="AB11" s="131" t="s">
        <v>941</v>
      </c>
      <c r="AC11" s="127" t="s">
        <v>1751</v>
      </c>
      <c r="AD11" s="131" t="s">
        <v>3</v>
      </c>
      <c r="AE11" s="131" t="e">
        <v>#N/A</v>
      </c>
      <c r="AF11" s="131" t="e">
        <v>#N/A</v>
      </c>
      <c r="AG11" s="131" t="e">
        <v>#REF!</v>
      </c>
    </row>
    <row r="12" spans="1:33" s="131" customFormat="1" ht="18" customHeight="1" x14ac:dyDescent="0.25">
      <c r="A12" s="125">
        <v>11</v>
      </c>
      <c r="B12" s="126" t="s">
        <v>28</v>
      </c>
      <c r="C12" s="126" t="s">
        <v>2568</v>
      </c>
      <c r="D12" s="126" t="s">
        <v>2557</v>
      </c>
      <c r="E12" s="127" t="s">
        <v>1418</v>
      </c>
      <c r="F12" s="128" t="s">
        <v>2411</v>
      </c>
      <c r="G12" s="128" t="s">
        <v>3289</v>
      </c>
      <c r="H12" s="125" t="s">
        <v>1732</v>
      </c>
      <c r="I12" s="125"/>
      <c r="J12" s="129"/>
      <c r="K12" s="130"/>
      <c r="L12" s="129"/>
      <c r="M12" s="127" t="s">
        <v>759</v>
      </c>
      <c r="N12" s="127" t="s">
        <v>1639</v>
      </c>
      <c r="O12" s="127" t="s">
        <v>1440</v>
      </c>
      <c r="P12" s="127" t="s">
        <v>812</v>
      </c>
      <c r="Q12" s="127">
        <v>0</v>
      </c>
      <c r="R12" s="127">
        <v>0</v>
      </c>
      <c r="S12" s="127">
        <v>0</v>
      </c>
      <c r="T12" s="127">
        <v>0</v>
      </c>
      <c r="U12" s="127">
        <v>0</v>
      </c>
      <c r="V12" s="127">
        <v>0</v>
      </c>
      <c r="W12" s="127">
        <v>0</v>
      </c>
      <c r="X12" s="127">
        <v>0</v>
      </c>
      <c r="Y12" s="127">
        <v>0</v>
      </c>
      <c r="Z12" s="127">
        <v>0</v>
      </c>
      <c r="AA12" s="127" t="s">
        <v>2510</v>
      </c>
      <c r="AB12" s="131" t="s">
        <v>943</v>
      </c>
      <c r="AC12" s="127" t="s">
        <v>1752</v>
      </c>
      <c r="AD12" s="131" t="s">
        <v>1418</v>
      </c>
      <c r="AE12" s="131" t="e">
        <v>#N/A</v>
      </c>
      <c r="AF12" s="131" t="e">
        <v>#N/A</v>
      </c>
      <c r="AG12" s="131" t="e">
        <v>#REF!</v>
      </c>
    </row>
    <row r="13" spans="1:33" s="131" customFormat="1" ht="18" customHeight="1" x14ac:dyDescent="0.25">
      <c r="A13" s="125">
        <v>12</v>
      </c>
      <c r="B13" s="126" t="s">
        <v>143</v>
      </c>
      <c r="C13" s="126" t="s">
        <v>2569</v>
      </c>
      <c r="D13" s="126" t="s">
        <v>2563</v>
      </c>
      <c r="E13" s="127" t="s">
        <v>3</v>
      </c>
      <c r="F13" s="128" t="s">
        <v>2411</v>
      </c>
      <c r="G13" s="128" t="s">
        <v>3290</v>
      </c>
      <c r="H13" s="125"/>
      <c r="I13" s="125"/>
      <c r="J13" s="132" t="s">
        <v>1641</v>
      </c>
      <c r="K13" s="130"/>
      <c r="L13" s="129"/>
      <c r="M13" s="127" t="s">
        <v>758</v>
      </c>
      <c r="N13" s="127" t="s">
        <v>2520</v>
      </c>
      <c r="O13" s="127" t="s">
        <v>1553</v>
      </c>
      <c r="P13" s="127" t="s">
        <v>1554</v>
      </c>
      <c r="Q13" s="127">
        <v>2</v>
      </c>
      <c r="R13" s="127" t="s">
        <v>1442</v>
      </c>
      <c r="S13" s="127" t="s">
        <v>143</v>
      </c>
      <c r="T13" s="127">
        <v>0</v>
      </c>
      <c r="U13" s="127">
        <v>0</v>
      </c>
      <c r="V13" s="127">
        <v>0</v>
      </c>
      <c r="W13" s="127" t="s">
        <v>1441</v>
      </c>
      <c r="X13" s="127" t="s">
        <v>143</v>
      </c>
      <c r="Y13" s="127" t="s">
        <v>1573</v>
      </c>
      <c r="Z13" s="127">
        <v>0</v>
      </c>
      <c r="AA13" s="127" t="s">
        <v>2511</v>
      </c>
      <c r="AB13" s="131" t="s">
        <v>944</v>
      </c>
      <c r="AC13" s="127" t="s">
        <v>1753</v>
      </c>
      <c r="AD13" s="131" t="s">
        <v>3</v>
      </c>
      <c r="AE13" s="131" t="e">
        <v>#N/A</v>
      </c>
      <c r="AF13" s="131" t="e">
        <v>#N/A</v>
      </c>
      <c r="AG13" s="131" t="e">
        <v>#REF!</v>
      </c>
    </row>
    <row r="14" spans="1:33" s="131" customFormat="1" ht="18" customHeight="1" x14ac:dyDescent="0.25">
      <c r="A14" s="125">
        <v>13</v>
      </c>
      <c r="B14" s="126" t="s">
        <v>144</v>
      </c>
      <c r="C14" s="126" t="s">
        <v>2570</v>
      </c>
      <c r="D14" s="126" t="s">
        <v>2563</v>
      </c>
      <c r="E14" s="127" t="s">
        <v>3</v>
      </c>
      <c r="F14" s="128" t="s">
        <v>2411</v>
      </c>
      <c r="G14" s="128" t="s">
        <v>3290</v>
      </c>
      <c r="H14" s="125"/>
      <c r="I14" s="125"/>
      <c r="J14" s="132"/>
      <c r="K14" s="130"/>
      <c r="L14" s="129"/>
      <c r="M14" s="127" t="s">
        <v>758</v>
      </c>
      <c r="N14" s="127" t="s">
        <v>2520</v>
      </c>
      <c r="O14" s="127" t="s">
        <v>1553</v>
      </c>
      <c r="P14" s="127" t="s">
        <v>1554</v>
      </c>
      <c r="Q14" s="127">
        <v>2</v>
      </c>
      <c r="R14" s="127" t="s">
        <v>1443</v>
      </c>
      <c r="S14" s="127" t="s">
        <v>144</v>
      </c>
      <c r="T14" s="127">
        <v>0</v>
      </c>
      <c r="U14" s="127">
        <v>0</v>
      </c>
      <c r="V14" s="127">
        <v>0</v>
      </c>
      <c r="W14" s="127">
        <v>0</v>
      </c>
      <c r="X14" s="127">
        <v>0</v>
      </c>
      <c r="Y14" s="127">
        <v>0</v>
      </c>
      <c r="Z14" s="127" t="s">
        <v>1568</v>
      </c>
      <c r="AA14" s="127" t="s">
        <v>2510</v>
      </c>
      <c r="AB14" s="131" t="s">
        <v>945</v>
      </c>
      <c r="AC14" s="127" t="s">
        <v>1754</v>
      </c>
      <c r="AD14" s="131" t="s">
        <v>3</v>
      </c>
      <c r="AE14" s="131" t="e">
        <v>#N/A</v>
      </c>
      <c r="AF14" s="131" t="e">
        <v>#N/A</v>
      </c>
      <c r="AG14" s="131" t="e">
        <v>#REF!</v>
      </c>
    </row>
    <row r="15" spans="1:33" s="131" customFormat="1" ht="18" customHeight="1" x14ac:dyDescent="0.25">
      <c r="A15" s="125">
        <v>14</v>
      </c>
      <c r="B15" s="126" t="s">
        <v>45</v>
      </c>
      <c r="C15" s="126" t="s">
        <v>2571</v>
      </c>
      <c r="D15" s="126" t="s">
        <v>2557</v>
      </c>
      <c r="E15" s="127" t="s">
        <v>3</v>
      </c>
      <c r="F15" s="128" t="s">
        <v>2411</v>
      </c>
      <c r="G15" s="128" t="s">
        <v>3289</v>
      </c>
      <c r="H15" s="125"/>
      <c r="I15" s="125"/>
      <c r="J15" s="132"/>
      <c r="K15" s="130"/>
      <c r="L15" s="129"/>
      <c r="M15" s="127" t="s">
        <v>758</v>
      </c>
      <c r="N15" s="127" t="s">
        <v>765</v>
      </c>
      <c r="O15" s="127" t="s">
        <v>1435</v>
      </c>
      <c r="P15" s="127" t="s">
        <v>812</v>
      </c>
      <c r="Q15" s="127">
        <v>0</v>
      </c>
      <c r="R15" s="127">
        <v>0</v>
      </c>
      <c r="S15" s="127">
        <v>0</v>
      </c>
      <c r="T15" s="127">
        <v>0</v>
      </c>
      <c r="U15" s="127">
        <v>0</v>
      </c>
      <c r="V15" s="127">
        <v>0</v>
      </c>
      <c r="W15" s="127">
        <v>0</v>
      </c>
      <c r="X15" s="127">
        <v>0</v>
      </c>
      <c r="Y15" s="127">
        <v>0</v>
      </c>
      <c r="Z15" s="127">
        <v>0</v>
      </c>
      <c r="AA15" s="127" t="s">
        <v>2511</v>
      </c>
      <c r="AB15" s="131" t="s">
        <v>946</v>
      </c>
      <c r="AC15" s="127" t="s">
        <v>1755</v>
      </c>
      <c r="AD15" s="131" t="s">
        <v>3</v>
      </c>
      <c r="AE15" s="131" t="e">
        <v>#N/A</v>
      </c>
      <c r="AF15" s="131" t="e">
        <v>#N/A</v>
      </c>
      <c r="AG15" s="131" t="e">
        <v>#REF!</v>
      </c>
    </row>
    <row r="16" spans="1:33" s="131" customFormat="1" ht="18" customHeight="1" x14ac:dyDescent="0.25">
      <c r="A16" s="125">
        <v>15</v>
      </c>
      <c r="B16" s="126" t="s">
        <v>29</v>
      </c>
      <c r="C16" s="126" t="s">
        <v>2572</v>
      </c>
      <c r="D16" s="126" t="s">
        <v>2557</v>
      </c>
      <c r="E16" s="127" t="s">
        <v>1418</v>
      </c>
      <c r="F16" s="128" t="s">
        <v>2411</v>
      </c>
      <c r="G16" s="128" t="s">
        <v>3289</v>
      </c>
      <c r="H16" s="125"/>
      <c r="I16" s="125"/>
      <c r="J16" s="132"/>
      <c r="K16" s="130"/>
      <c r="L16" s="129"/>
      <c r="M16" s="127" t="s">
        <v>772</v>
      </c>
      <c r="N16" s="127" t="s">
        <v>765</v>
      </c>
      <c r="O16" s="127" t="s">
        <v>1444</v>
      </c>
      <c r="P16" s="127" t="s">
        <v>812</v>
      </c>
      <c r="Q16" s="127">
        <v>0</v>
      </c>
      <c r="R16" s="127">
        <v>0</v>
      </c>
      <c r="S16" s="127">
        <v>0</v>
      </c>
      <c r="T16" s="127">
        <v>0</v>
      </c>
      <c r="U16" s="127">
        <v>0</v>
      </c>
      <c r="V16" s="127">
        <v>0</v>
      </c>
      <c r="W16" s="127">
        <v>0</v>
      </c>
      <c r="X16" s="127">
        <v>0</v>
      </c>
      <c r="Y16" s="127">
        <v>0</v>
      </c>
      <c r="Z16" s="127">
        <v>0</v>
      </c>
      <c r="AA16" s="127" t="s">
        <v>2511</v>
      </c>
      <c r="AB16" s="131" t="s">
        <v>947</v>
      </c>
      <c r="AC16" s="127" t="s">
        <v>1756</v>
      </c>
      <c r="AD16" s="131" t="s">
        <v>1418</v>
      </c>
      <c r="AE16" s="131" t="e">
        <v>#N/A</v>
      </c>
      <c r="AF16" s="131" t="e">
        <v>#N/A</v>
      </c>
      <c r="AG16" s="131" t="e">
        <v>#REF!</v>
      </c>
    </row>
    <row r="17" spans="1:33" s="131" customFormat="1" ht="18" customHeight="1" x14ac:dyDescent="0.25">
      <c r="A17" s="125">
        <v>16</v>
      </c>
      <c r="B17" s="126" t="s">
        <v>46</v>
      </c>
      <c r="C17" s="126" t="s">
        <v>2573</v>
      </c>
      <c r="D17" s="126" t="s">
        <v>2557</v>
      </c>
      <c r="E17" s="127" t="s">
        <v>3</v>
      </c>
      <c r="F17" s="128" t="s">
        <v>2411</v>
      </c>
      <c r="G17" s="128" t="s">
        <v>3289</v>
      </c>
      <c r="H17" s="125"/>
      <c r="I17" s="125"/>
      <c r="J17" s="132"/>
      <c r="K17" s="130"/>
      <c r="L17" s="129"/>
      <c r="M17" s="127" t="s">
        <v>772</v>
      </c>
      <c r="N17" s="127" t="s">
        <v>765</v>
      </c>
      <c r="O17" s="127" t="s">
        <v>1437</v>
      </c>
      <c r="P17" s="127" t="s">
        <v>812</v>
      </c>
      <c r="Q17" s="127">
        <v>0</v>
      </c>
      <c r="R17" s="127">
        <v>0</v>
      </c>
      <c r="S17" s="127">
        <v>0</v>
      </c>
      <c r="T17" s="127">
        <v>0</v>
      </c>
      <c r="U17" s="127">
        <v>0</v>
      </c>
      <c r="V17" s="127">
        <v>0</v>
      </c>
      <c r="W17" s="127">
        <v>0</v>
      </c>
      <c r="X17" s="127">
        <v>0</v>
      </c>
      <c r="Y17" s="127">
        <v>0</v>
      </c>
      <c r="Z17" s="127">
        <v>0</v>
      </c>
      <c r="AA17" s="127" t="s">
        <v>2510</v>
      </c>
      <c r="AB17" s="131" t="s">
        <v>948</v>
      </c>
      <c r="AC17" s="127" t="s">
        <v>1757</v>
      </c>
      <c r="AD17" s="131" t="s">
        <v>3</v>
      </c>
      <c r="AE17" s="131" t="e">
        <v>#N/A</v>
      </c>
      <c r="AF17" s="131" t="e">
        <v>#N/A</v>
      </c>
      <c r="AG17" s="131" t="e">
        <v>#REF!</v>
      </c>
    </row>
    <row r="18" spans="1:33" s="131" customFormat="1" ht="18" customHeight="1" x14ac:dyDescent="0.25">
      <c r="A18" s="125">
        <v>17</v>
      </c>
      <c r="B18" s="126" t="s">
        <v>47</v>
      </c>
      <c r="C18" s="126" t="s">
        <v>2574</v>
      </c>
      <c r="D18" s="126" t="s">
        <v>2557</v>
      </c>
      <c r="E18" s="127" t="s">
        <v>3</v>
      </c>
      <c r="F18" s="128" t="s">
        <v>2411</v>
      </c>
      <c r="G18" s="128" t="s">
        <v>3289</v>
      </c>
      <c r="H18" s="125"/>
      <c r="I18" s="125"/>
      <c r="J18" s="132"/>
      <c r="K18" s="130"/>
      <c r="L18" s="129"/>
      <c r="M18" s="127" t="s">
        <v>772</v>
      </c>
      <c r="N18" s="127" t="s">
        <v>765</v>
      </c>
      <c r="O18" s="127" t="s">
        <v>1451</v>
      </c>
      <c r="P18" s="127" t="s">
        <v>812</v>
      </c>
      <c r="Q18" s="127">
        <v>0</v>
      </c>
      <c r="R18" s="127">
        <v>0</v>
      </c>
      <c r="S18" s="127">
        <v>0</v>
      </c>
      <c r="T18" s="127">
        <v>0</v>
      </c>
      <c r="U18" s="127">
        <v>0</v>
      </c>
      <c r="V18" s="127">
        <v>0</v>
      </c>
      <c r="W18" s="127">
        <v>0</v>
      </c>
      <c r="X18" s="127">
        <v>0</v>
      </c>
      <c r="Y18" s="127">
        <v>0</v>
      </c>
      <c r="Z18" s="127">
        <v>0</v>
      </c>
      <c r="AA18" s="127" t="s">
        <v>2511</v>
      </c>
      <c r="AB18" s="131" t="s">
        <v>949</v>
      </c>
      <c r="AC18" s="127" t="s">
        <v>1758</v>
      </c>
      <c r="AD18" s="131" t="s">
        <v>3</v>
      </c>
      <c r="AE18" s="131" t="e">
        <v>#N/A</v>
      </c>
      <c r="AF18" s="131" t="e">
        <v>#N/A</v>
      </c>
      <c r="AG18" s="131" t="e">
        <v>#REF!</v>
      </c>
    </row>
    <row r="19" spans="1:33" s="131" customFormat="1" ht="18" customHeight="1" x14ac:dyDescent="0.25">
      <c r="A19" s="125">
        <v>18</v>
      </c>
      <c r="B19" s="126" t="s">
        <v>30</v>
      </c>
      <c r="C19" s="126" t="s">
        <v>2575</v>
      </c>
      <c r="D19" s="126" t="s">
        <v>2557</v>
      </c>
      <c r="E19" s="127" t="s">
        <v>1418</v>
      </c>
      <c r="F19" s="128" t="s">
        <v>2410</v>
      </c>
      <c r="G19" s="128" t="s">
        <v>3290</v>
      </c>
      <c r="H19" s="125"/>
      <c r="I19" s="125" t="s">
        <v>934</v>
      </c>
      <c r="J19" s="132"/>
      <c r="K19" s="130" t="s">
        <v>29</v>
      </c>
      <c r="L19" s="129"/>
      <c r="M19" s="127" t="s">
        <v>759</v>
      </c>
      <c r="N19" s="127" t="s">
        <v>770</v>
      </c>
      <c r="O19" s="127" t="s">
        <v>1553</v>
      </c>
      <c r="P19" s="127">
        <v>0</v>
      </c>
      <c r="Q19" s="127">
        <v>2</v>
      </c>
      <c r="R19" s="127" t="s">
        <v>1444</v>
      </c>
      <c r="S19" s="127" t="s">
        <v>30</v>
      </c>
      <c r="T19" s="127">
        <v>0</v>
      </c>
      <c r="U19" s="127">
        <v>0</v>
      </c>
      <c r="V19" s="127">
        <v>0</v>
      </c>
      <c r="W19" s="127">
        <v>0</v>
      </c>
      <c r="X19" s="127">
        <v>0</v>
      </c>
      <c r="Y19" s="127">
        <v>0</v>
      </c>
      <c r="Z19" s="127">
        <v>0</v>
      </c>
      <c r="AA19" s="127" t="s">
        <v>2511</v>
      </c>
      <c r="AB19" s="131" t="s">
        <v>1648</v>
      </c>
      <c r="AC19" s="127" t="s">
        <v>1759</v>
      </c>
      <c r="AD19" s="131" t="s">
        <v>1418</v>
      </c>
      <c r="AE19" s="131" t="e">
        <v>#N/A</v>
      </c>
      <c r="AF19" s="131" t="e">
        <v>#N/A</v>
      </c>
      <c r="AG19" s="131" t="e">
        <v>#REF!</v>
      </c>
    </row>
    <row r="20" spans="1:33" s="131" customFormat="1" ht="18" customHeight="1" x14ac:dyDescent="0.25">
      <c r="A20" s="125">
        <v>19</v>
      </c>
      <c r="B20" s="126" t="s">
        <v>48</v>
      </c>
      <c r="C20" s="126" t="s">
        <v>2576</v>
      </c>
      <c r="D20" s="126" t="s">
        <v>2577</v>
      </c>
      <c r="E20" s="127" t="s">
        <v>3</v>
      </c>
      <c r="F20" s="128" t="s">
        <v>2411</v>
      </c>
      <c r="G20" s="128" t="s">
        <v>3290</v>
      </c>
      <c r="H20" s="125" t="s">
        <v>952</v>
      </c>
      <c r="I20" s="125"/>
      <c r="J20" s="129"/>
      <c r="K20" s="130"/>
      <c r="L20" s="129"/>
      <c r="M20" s="127" t="s">
        <v>759</v>
      </c>
      <c r="N20" s="127" t="s">
        <v>1639</v>
      </c>
      <c r="O20" s="127" t="s">
        <v>1427</v>
      </c>
      <c r="P20" s="127" t="s">
        <v>1554</v>
      </c>
      <c r="Q20" s="127">
        <v>0</v>
      </c>
      <c r="R20" s="127">
        <v>0</v>
      </c>
      <c r="S20" s="127">
        <v>0</v>
      </c>
      <c r="T20" s="127">
        <v>2</v>
      </c>
      <c r="U20" s="127" t="s">
        <v>1445</v>
      </c>
      <c r="V20" s="127" t="s">
        <v>48</v>
      </c>
      <c r="W20" s="127">
        <v>0</v>
      </c>
      <c r="X20" s="127">
        <v>0</v>
      </c>
      <c r="Y20" s="127">
        <v>0</v>
      </c>
      <c r="Z20" s="127" t="s">
        <v>1568</v>
      </c>
      <c r="AA20" s="127" t="s">
        <v>2511</v>
      </c>
      <c r="AB20" s="131" t="s">
        <v>951</v>
      </c>
      <c r="AC20" s="127" t="s">
        <v>1760</v>
      </c>
      <c r="AD20" s="131" t="s">
        <v>3</v>
      </c>
      <c r="AE20" s="131" t="e">
        <v>#N/A</v>
      </c>
      <c r="AF20" s="131" t="e">
        <v>#N/A</v>
      </c>
      <c r="AG20" s="131" t="e">
        <v>#REF!</v>
      </c>
    </row>
    <row r="21" spans="1:33" s="131" customFormat="1" ht="18" customHeight="1" x14ac:dyDescent="0.25">
      <c r="A21" s="125">
        <v>20</v>
      </c>
      <c r="B21" s="126" t="s">
        <v>31</v>
      </c>
      <c r="C21" s="126" t="s">
        <v>2578</v>
      </c>
      <c r="D21" s="126" t="s">
        <v>2557</v>
      </c>
      <c r="E21" s="127" t="s">
        <v>1418</v>
      </c>
      <c r="F21" s="128" t="s">
        <v>2411</v>
      </c>
      <c r="G21" s="128" t="s">
        <v>3290</v>
      </c>
      <c r="H21" s="125"/>
      <c r="I21" s="125"/>
      <c r="J21" s="132" t="s">
        <v>1641</v>
      </c>
      <c r="K21" s="130"/>
      <c r="L21" s="129"/>
      <c r="M21" s="127" t="s">
        <v>759</v>
      </c>
      <c r="N21" s="127" t="s">
        <v>1641</v>
      </c>
      <c r="O21" s="127" t="s">
        <v>1427</v>
      </c>
      <c r="P21" s="127" t="s">
        <v>1554</v>
      </c>
      <c r="Q21" s="127">
        <v>0</v>
      </c>
      <c r="R21" s="127">
        <v>0</v>
      </c>
      <c r="S21" s="127">
        <v>0</v>
      </c>
      <c r="T21" s="127">
        <v>4</v>
      </c>
      <c r="U21" s="127" t="s">
        <v>1439</v>
      </c>
      <c r="V21" s="127" t="s">
        <v>31</v>
      </c>
      <c r="W21" s="127">
        <v>0</v>
      </c>
      <c r="X21" s="127">
        <v>0</v>
      </c>
      <c r="Y21" s="127">
        <v>0</v>
      </c>
      <c r="Z21" s="127" t="s">
        <v>1568</v>
      </c>
      <c r="AA21" s="127" t="s">
        <v>2510</v>
      </c>
      <c r="AB21" s="131" t="s">
        <v>953</v>
      </c>
      <c r="AC21" s="127" t="s">
        <v>1761</v>
      </c>
      <c r="AD21" s="131" t="s">
        <v>1418</v>
      </c>
      <c r="AE21" s="131" t="e">
        <v>#N/A</v>
      </c>
      <c r="AF21" s="131" t="e">
        <v>#N/A</v>
      </c>
      <c r="AG21" s="131" t="e">
        <v>#REF!</v>
      </c>
    </row>
    <row r="22" spans="1:33" s="131" customFormat="1" ht="18" customHeight="1" x14ac:dyDescent="0.25">
      <c r="A22" s="125">
        <v>21</v>
      </c>
      <c r="B22" s="126" t="s">
        <v>145</v>
      </c>
      <c r="C22" s="126" t="s">
        <v>2579</v>
      </c>
      <c r="D22" s="126" t="s">
        <v>2563</v>
      </c>
      <c r="E22" s="127" t="s">
        <v>3</v>
      </c>
      <c r="F22" s="128" t="s">
        <v>2411</v>
      </c>
      <c r="G22" s="128" t="s">
        <v>3290</v>
      </c>
      <c r="H22" s="125" t="s">
        <v>952</v>
      </c>
      <c r="I22" s="125"/>
      <c r="J22" s="129"/>
      <c r="K22" s="130"/>
      <c r="L22" s="129"/>
      <c r="M22" s="127" t="s">
        <v>761</v>
      </c>
      <c r="N22" s="127" t="s">
        <v>1639</v>
      </c>
      <c r="O22" s="127" t="s">
        <v>1427</v>
      </c>
      <c r="P22" s="127" t="s">
        <v>1554</v>
      </c>
      <c r="Q22" s="127">
        <v>0</v>
      </c>
      <c r="R22" s="127">
        <v>0</v>
      </c>
      <c r="S22" s="127">
        <v>0</v>
      </c>
      <c r="T22" s="127">
        <v>2</v>
      </c>
      <c r="U22" s="127" t="s">
        <v>1446</v>
      </c>
      <c r="V22" s="127" t="s">
        <v>145</v>
      </c>
      <c r="W22" s="127">
        <v>0</v>
      </c>
      <c r="X22" s="127">
        <v>0</v>
      </c>
      <c r="Y22" s="127">
        <v>0</v>
      </c>
      <c r="Z22" s="127" t="s">
        <v>1568</v>
      </c>
      <c r="AA22" s="127" t="s">
        <v>2511</v>
      </c>
      <c r="AB22" s="131" t="s">
        <v>954</v>
      </c>
      <c r="AC22" s="127" t="s">
        <v>1762</v>
      </c>
      <c r="AD22" s="131" t="s">
        <v>3</v>
      </c>
      <c r="AE22" s="131" t="e">
        <v>#N/A</v>
      </c>
      <c r="AF22" s="131" t="e">
        <v>#N/A</v>
      </c>
      <c r="AG22" s="131" t="e">
        <v>#REF!</v>
      </c>
    </row>
    <row r="23" spans="1:33" s="131" customFormat="1" ht="18" customHeight="1" x14ac:dyDescent="0.25">
      <c r="A23" s="125">
        <v>22</v>
      </c>
      <c r="B23" s="126" t="s">
        <v>149</v>
      </c>
      <c r="C23" s="126" t="s">
        <v>2580</v>
      </c>
      <c r="D23" s="126" t="s">
        <v>2563</v>
      </c>
      <c r="E23" s="127" t="s">
        <v>3</v>
      </c>
      <c r="F23" s="128" t="s">
        <v>2411</v>
      </c>
      <c r="G23" s="128" t="s">
        <v>3289</v>
      </c>
      <c r="H23" s="125" t="s">
        <v>925</v>
      </c>
      <c r="I23" s="125"/>
      <c r="J23" s="129"/>
      <c r="K23" s="130"/>
      <c r="L23" s="129"/>
      <c r="M23" s="127" t="s">
        <v>759</v>
      </c>
      <c r="N23" s="127" t="s">
        <v>1639</v>
      </c>
      <c r="O23" s="127" t="s">
        <v>1450</v>
      </c>
      <c r="P23" s="127" t="s">
        <v>812</v>
      </c>
      <c r="Q23" s="127">
        <v>0</v>
      </c>
      <c r="R23" s="127">
        <v>0</v>
      </c>
      <c r="S23" s="127">
        <v>0</v>
      </c>
      <c r="T23" s="127">
        <v>0</v>
      </c>
      <c r="U23" s="127">
        <v>0</v>
      </c>
      <c r="V23" s="127">
        <v>0</v>
      </c>
      <c r="W23" s="127">
        <v>0</v>
      </c>
      <c r="X23" s="127">
        <v>0</v>
      </c>
      <c r="Y23" s="127">
        <v>0</v>
      </c>
      <c r="Z23" s="127">
        <v>0</v>
      </c>
      <c r="AA23" s="127" t="s">
        <v>2511</v>
      </c>
      <c r="AB23" s="131" t="s">
        <v>956</v>
      </c>
      <c r="AC23" s="127" t="s">
        <v>1763</v>
      </c>
      <c r="AD23" s="131" t="s">
        <v>3</v>
      </c>
      <c r="AE23" s="131" t="e">
        <v>#N/A</v>
      </c>
      <c r="AF23" s="131" t="e">
        <v>#N/A</v>
      </c>
      <c r="AG23" s="131" t="e">
        <v>#REF!</v>
      </c>
    </row>
    <row r="24" spans="1:33" s="131" customFormat="1" ht="18" customHeight="1" x14ac:dyDescent="0.25">
      <c r="A24" s="125">
        <v>23</v>
      </c>
      <c r="B24" s="126" t="s">
        <v>146</v>
      </c>
      <c r="C24" s="126" t="s">
        <v>2581</v>
      </c>
      <c r="D24" s="126" t="s">
        <v>2563</v>
      </c>
      <c r="E24" s="127" t="s">
        <v>3</v>
      </c>
      <c r="F24" s="128" t="s">
        <v>2411</v>
      </c>
      <c r="G24" s="128" t="s">
        <v>3290</v>
      </c>
      <c r="H24" s="125"/>
      <c r="I24" s="125"/>
      <c r="J24" s="132" t="s">
        <v>1641</v>
      </c>
      <c r="K24" s="130"/>
      <c r="L24" s="129"/>
      <c r="M24" s="127" t="s">
        <v>759</v>
      </c>
      <c r="N24" s="127" t="s">
        <v>1641</v>
      </c>
      <c r="O24" s="127" t="s">
        <v>1553</v>
      </c>
      <c r="P24" s="127" t="s">
        <v>1554</v>
      </c>
      <c r="Q24" s="127">
        <v>2</v>
      </c>
      <c r="R24" s="127" t="s">
        <v>1447</v>
      </c>
      <c r="S24" s="127" t="s">
        <v>146</v>
      </c>
      <c r="T24" s="127">
        <v>0</v>
      </c>
      <c r="U24" s="127">
        <v>0</v>
      </c>
      <c r="V24" s="127">
        <v>0</v>
      </c>
      <c r="W24" s="127">
        <v>0</v>
      </c>
      <c r="X24" s="127">
        <v>0</v>
      </c>
      <c r="Y24" s="127">
        <v>0</v>
      </c>
      <c r="Z24" s="127" t="s">
        <v>1568</v>
      </c>
      <c r="AA24" s="127" t="s">
        <v>2510</v>
      </c>
      <c r="AB24" s="131" t="s">
        <v>957</v>
      </c>
      <c r="AC24" s="127" t="s">
        <v>1764</v>
      </c>
      <c r="AD24" s="131" t="s">
        <v>3</v>
      </c>
      <c r="AE24" s="131" t="e">
        <v>#N/A</v>
      </c>
      <c r="AF24" s="131" t="e">
        <v>#N/A</v>
      </c>
      <c r="AG24" s="131" t="e">
        <v>#REF!</v>
      </c>
    </row>
    <row r="25" spans="1:33" s="131" customFormat="1" ht="18" customHeight="1" x14ac:dyDescent="0.25">
      <c r="A25" s="125">
        <v>24</v>
      </c>
      <c r="B25" s="126" t="s">
        <v>147</v>
      </c>
      <c r="C25" s="126" t="s">
        <v>2582</v>
      </c>
      <c r="D25" s="126" t="s">
        <v>2563</v>
      </c>
      <c r="E25" s="127" t="s">
        <v>3</v>
      </c>
      <c r="F25" s="128" t="s">
        <v>2411</v>
      </c>
      <c r="G25" s="128" t="s">
        <v>3289</v>
      </c>
      <c r="H25" s="125"/>
      <c r="I25" s="125"/>
      <c r="J25" s="132"/>
      <c r="K25" s="130"/>
      <c r="L25" s="129"/>
      <c r="M25" s="127" t="s">
        <v>772</v>
      </c>
      <c r="N25" s="127" t="s">
        <v>765</v>
      </c>
      <c r="O25" s="127" t="s">
        <v>1443</v>
      </c>
      <c r="P25" s="127" t="s">
        <v>812</v>
      </c>
      <c r="Q25" s="127">
        <v>0</v>
      </c>
      <c r="R25" s="127">
        <v>0</v>
      </c>
      <c r="S25" s="127">
        <v>0</v>
      </c>
      <c r="T25" s="127">
        <v>0</v>
      </c>
      <c r="U25" s="127">
        <v>0</v>
      </c>
      <c r="V25" s="127">
        <v>0</v>
      </c>
      <c r="W25" s="127">
        <v>0</v>
      </c>
      <c r="X25" s="127">
        <v>0</v>
      </c>
      <c r="Y25" s="127">
        <v>0</v>
      </c>
      <c r="Z25" s="127">
        <v>0</v>
      </c>
      <c r="AA25" s="127" t="s">
        <v>2511</v>
      </c>
      <c r="AB25" s="131" t="s">
        <v>958</v>
      </c>
      <c r="AC25" s="127" t="s">
        <v>1765</v>
      </c>
      <c r="AD25" s="131" t="s">
        <v>3</v>
      </c>
      <c r="AE25" s="131" t="e">
        <v>#N/A</v>
      </c>
      <c r="AF25" s="131" t="e">
        <v>#N/A</v>
      </c>
      <c r="AG25" s="131" t="e">
        <v>#REF!</v>
      </c>
    </row>
    <row r="26" spans="1:33" s="131" customFormat="1" ht="18" customHeight="1" x14ac:dyDescent="0.25">
      <c r="A26" s="125">
        <v>25</v>
      </c>
      <c r="B26" s="126" t="s">
        <v>150</v>
      </c>
      <c r="C26" s="126" t="s">
        <v>2583</v>
      </c>
      <c r="D26" s="126" t="s">
        <v>2563</v>
      </c>
      <c r="E26" s="127" t="s">
        <v>3</v>
      </c>
      <c r="F26" s="128" t="s">
        <v>2411</v>
      </c>
      <c r="G26" s="128" t="s">
        <v>3289</v>
      </c>
      <c r="H26" s="125"/>
      <c r="I26" s="125"/>
      <c r="J26" s="132"/>
      <c r="K26" s="130"/>
      <c r="L26" s="129"/>
      <c r="M26" s="127" t="s">
        <v>772</v>
      </c>
      <c r="N26" s="127" t="s">
        <v>765</v>
      </c>
      <c r="O26" s="127" t="s">
        <v>1519</v>
      </c>
      <c r="P26" s="127" t="s">
        <v>812</v>
      </c>
      <c r="Q26" s="127">
        <v>0</v>
      </c>
      <c r="R26" s="127">
        <v>0</v>
      </c>
      <c r="S26" s="127">
        <v>0</v>
      </c>
      <c r="T26" s="127">
        <v>0</v>
      </c>
      <c r="U26" s="127">
        <v>0</v>
      </c>
      <c r="V26" s="127">
        <v>0</v>
      </c>
      <c r="W26" s="127">
        <v>0</v>
      </c>
      <c r="X26" s="127">
        <v>0</v>
      </c>
      <c r="Y26" s="127">
        <v>0</v>
      </c>
      <c r="Z26" s="127">
        <v>0</v>
      </c>
      <c r="AA26" s="127" t="s">
        <v>2510</v>
      </c>
      <c r="AB26" s="131" t="s">
        <v>959</v>
      </c>
      <c r="AC26" s="127" t="s">
        <v>1766</v>
      </c>
      <c r="AD26" s="131" t="s">
        <v>3</v>
      </c>
      <c r="AE26" s="131" t="e">
        <v>#N/A</v>
      </c>
      <c r="AF26" s="131" t="e">
        <v>#N/A</v>
      </c>
      <c r="AG26" s="131" t="e">
        <v>#REF!</v>
      </c>
    </row>
    <row r="27" spans="1:33" s="131" customFormat="1" ht="18" customHeight="1" x14ac:dyDescent="0.25">
      <c r="A27" s="125">
        <v>26</v>
      </c>
      <c r="B27" s="126" t="s">
        <v>148</v>
      </c>
      <c r="C27" s="126" t="s">
        <v>2584</v>
      </c>
      <c r="D27" s="126" t="s">
        <v>2563</v>
      </c>
      <c r="E27" s="127" t="s">
        <v>3</v>
      </c>
      <c r="F27" s="128" t="s">
        <v>2411</v>
      </c>
      <c r="G27" s="128" t="s">
        <v>3289</v>
      </c>
      <c r="H27" s="125"/>
      <c r="I27" s="125"/>
      <c r="J27" s="132"/>
      <c r="K27" s="130"/>
      <c r="L27" s="129"/>
      <c r="M27" s="127" t="s">
        <v>772</v>
      </c>
      <c r="N27" s="127" t="s">
        <v>765</v>
      </c>
      <c r="O27" s="127" t="s">
        <v>1463</v>
      </c>
      <c r="P27" s="127" t="s">
        <v>812</v>
      </c>
      <c r="Q27" s="127">
        <v>0</v>
      </c>
      <c r="R27" s="127">
        <v>0</v>
      </c>
      <c r="S27" s="127">
        <v>0</v>
      </c>
      <c r="T27" s="127">
        <v>0</v>
      </c>
      <c r="U27" s="127">
        <v>0</v>
      </c>
      <c r="V27" s="127">
        <v>0</v>
      </c>
      <c r="W27" s="127">
        <v>0</v>
      </c>
      <c r="X27" s="127">
        <v>0</v>
      </c>
      <c r="Y27" s="127">
        <v>0</v>
      </c>
      <c r="Z27" s="127">
        <v>0</v>
      </c>
      <c r="AA27" s="127" t="s">
        <v>2510</v>
      </c>
      <c r="AB27" s="131" t="s">
        <v>960</v>
      </c>
      <c r="AC27" s="127" t="s">
        <v>1767</v>
      </c>
      <c r="AD27" s="131" t="s">
        <v>3</v>
      </c>
      <c r="AE27" s="131" t="e">
        <v>#N/A</v>
      </c>
      <c r="AF27" s="131" t="e">
        <v>#N/A</v>
      </c>
      <c r="AG27" s="131" t="e">
        <v>#REF!</v>
      </c>
    </row>
    <row r="28" spans="1:33" s="131" customFormat="1" ht="18" customHeight="1" x14ac:dyDescent="0.25">
      <c r="A28" s="125">
        <v>27</v>
      </c>
      <c r="B28" s="126" t="s">
        <v>49</v>
      </c>
      <c r="C28" s="126" t="s">
        <v>2585</v>
      </c>
      <c r="D28" s="126" t="s">
        <v>2577</v>
      </c>
      <c r="E28" s="127" t="s">
        <v>841</v>
      </c>
      <c r="F28" s="128" t="s">
        <v>2411</v>
      </c>
      <c r="G28" s="128" t="s">
        <v>3290</v>
      </c>
      <c r="H28" s="125"/>
      <c r="I28" s="125"/>
      <c r="J28" s="132"/>
      <c r="K28" s="130"/>
      <c r="L28" s="129" t="s">
        <v>2550</v>
      </c>
      <c r="M28" s="127" t="s">
        <v>760</v>
      </c>
      <c r="N28" s="127" t="s">
        <v>760</v>
      </c>
      <c r="O28" s="127" t="s">
        <v>1553</v>
      </c>
      <c r="P28" s="127" t="s">
        <v>1554</v>
      </c>
      <c r="Q28" s="127">
        <v>2</v>
      </c>
      <c r="R28" s="127" t="s">
        <v>1448</v>
      </c>
      <c r="S28" s="127" t="s">
        <v>49</v>
      </c>
      <c r="T28" s="127">
        <v>0</v>
      </c>
      <c r="U28" s="127">
        <v>0</v>
      </c>
      <c r="V28" s="127">
        <v>0</v>
      </c>
      <c r="W28" s="127" t="s">
        <v>1449</v>
      </c>
      <c r="X28" s="127" t="s">
        <v>49</v>
      </c>
      <c r="Y28" s="127" t="s">
        <v>1571</v>
      </c>
      <c r="Z28" s="127" t="s">
        <v>1568</v>
      </c>
      <c r="AA28" s="127" t="s">
        <v>2511</v>
      </c>
      <c r="AB28" s="131" t="s">
        <v>961</v>
      </c>
      <c r="AC28" s="127" t="e">
        <v>#N/A</v>
      </c>
      <c r="AD28" s="131" t="s">
        <v>841</v>
      </c>
      <c r="AE28" s="131" t="e">
        <v>#N/A</v>
      </c>
      <c r="AF28" s="131" t="e">
        <v>#N/A</v>
      </c>
      <c r="AG28" s="131" t="e">
        <v>#REF!</v>
      </c>
    </row>
    <row r="29" spans="1:33" s="131" customFormat="1" ht="18" customHeight="1" x14ac:dyDescent="0.25">
      <c r="A29" s="125">
        <v>28</v>
      </c>
      <c r="B29" s="126" t="s">
        <v>50</v>
      </c>
      <c r="C29" s="126" t="s">
        <v>2586</v>
      </c>
      <c r="D29" s="126" t="s">
        <v>2577</v>
      </c>
      <c r="E29" s="127" t="s">
        <v>841</v>
      </c>
      <c r="F29" s="128" t="s">
        <v>2411</v>
      </c>
      <c r="G29" s="128" t="s">
        <v>3289</v>
      </c>
      <c r="H29" s="125"/>
      <c r="I29" s="125"/>
      <c r="J29" s="132"/>
      <c r="K29" s="130"/>
      <c r="L29" s="129"/>
      <c r="M29" s="127" t="s">
        <v>758</v>
      </c>
      <c r="N29" s="127" t="s">
        <v>765</v>
      </c>
      <c r="O29" s="127" t="s">
        <v>797</v>
      </c>
      <c r="P29" s="127" t="s">
        <v>812</v>
      </c>
      <c r="Q29" s="127">
        <v>0</v>
      </c>
      <c r="R29" s="127">
        <v>0</v>
      </c>
      <c r="S29" s="127">
        <v>0</v>
      </c>
      <c r="T29" s="127">
        <v>0</v>
      </c>
      <c r="U29" s="127">
        <v>0</v>
      </c>
      <c r="V29" s="127">
        <v>0</v>
      </c>
      <c r="W29" s="127">
        <v>0</v>
      </c>
      <c r="X29" s="127">
        <v>0</v>
      </c>
      <c r="Y29" s="127">
        <v>0</v>
      </c>
      <c r="Z29" s="127">
        <v>0</v>
      </c>
      <c r="AA29" s="127" t="s">
        <v>2510</v>
      </c>
      <c r="AB29" s="131" t="s">
        <v>962</v>
      </c>
      <c r="AC29" s="127" t="s">
        <v>1768</v>
      </c>
      <c r="AD29" s="131" t="s">
        <v>841</v>
      </c>
      <c r="AE29" s="131" t="e">
        <v>#N/A</v>
      </c>
      <c r="AF29" s="131" t="e">
        <v>#N/A</v>
      </c>
      <c r="AG29" s="131" t="e">
        <v>#REF!</v>
      </c>
    </row>
    <row r="30" spans="1:33" s="131" customFormat="1" ht="18" customHeight="1" x14ac:dyDescent="0.25">
      <c r="A30" s="125">
        <v>29</v>
      </c>
      <c r="B30" s="126" t="s">
        <v>122</v>
      </c>
      <c r="C30" s="126" t="s">
        <v>2587</v>
      </c>
      <c r="D30" s="126" t="s">
        <v>2563</v>
      </c>
      <c r="E30" s="127" t="s">
        <v>3</v>
      </c>
      <c r="F30" s="128"/>
      <c r="G30" s="128" t="s">
        <v>3290</v>
      </c>
      <c r="H30" s="125"/>
      <c r="I30" s="125"/>
      <c r="J30" s="132" t="s">
        <v>1641</v>
      </c>
      <c r="K30" s="130"/>
      <c r="L30" s="129"/>
      <c r="M30" s="127" t="s">
        <v>758</v>
      </c>
      <c r="N30" s="127" t="s">
        <v>2520</v>
      </c>
      <c r="O30" s="127" t="s">
        <v>1553</v>
      </c>
      <c r="P30" s="127">
        <v>0</v>
      </c>
      <c r="Q30" s="127">
        <v>2</v>
      </c>
      <c r="R30" s="127" t="s">
        <v>1450</v>
      </c>
      <c r="S30" s="127" t="s">
        <v>122</v>
      </c>
      <c r="T30" s="127">
        <v>0</v>
      </c>
      <c r="U30" s="127">
        <v>0</v>
      </c>
      <c r="V30" s="127">
        <v>0</v>
      </c>
      <c r="W30" s="127" t="s">
        <v>1441</v>
      </c>
      <c r="X30" s="127" t="s">
        <v>122</v>
      </c>
      <c r="Y30" s="127" t="s">
        <v>1436</v>
      </c>
      <c r="Z30" s="127" t="s">
        <v>1568</v>
      </c>
      <c r="AA30" s="127" t="s">
        <v>2511</v>
      </c>
      <c r="AB30" s="131" t="s">
        <v>963</v>
      </c>
      <c r="AC30" s="127" t="s">
        <v>1769</v>
      </c>
      <c r="AD30" s="131" t="s">
        <v>3</v>
      </c>
      <c r="AE30" s="131" t="e">
        <v>#N/A</v>
      </c>
      <c r="AF30" s="131" t="e">
        <v>#N/A</v>
      </c>
      <c r="AG30" s="131" t="e">
        <v>#REF!</v>
      </c>
    </row>
    <row r="31" spans="1:33" s="131" customFormat="1" ht="15.75" x14ac:dyDescent="0.25">
      <c r="A31" s="125">
        <v>30</v>
      </c>
      <c r="B31" s="126" t="s">
        <v>51</v>
      </c>
      <c r="C31" s="126" t="s">
        <v>2588</v>
      </c>
      <c r="D31" s="126" t="s">
        <v>2577</v>
      </c>
      <c r="E31" s="127" t="s">
        <v>841</v>
      </c>
      <c r="F31" s="128" t="s">
        <v>2411</v>
      </c>
      <c r="G31" s="128" t="s">
        <v>3289</v>
      </c>
      <c r="H31" s="125" t="s">
        <v>965</v>
      </c>
      <c r="I31" s="125"/>
      <c r="J31" s="129"/>
      <c r="K31" s="130"/>
      <c r="L31" s="129"/>
      <c r="M31" s="127" t="s">
        <v>761</v>
      </c>
      <c r="N31" s="127" t="s">
        <v>1639</v>
      </c>
      <c r="O31" s="127" t="s">
        <v>1449</v>
      </c>
      <c r="P31" s="127" t="s">
        <v>812</v>
      </c>
      <c r="Q31" s="127">
        <v>0</v>
      </c>
      <c r="R31" s="127">
        <v>0</v>
      </c>
      <c r="S31" s="127">
        <v>0</v>
      </c>
      <c r="T31" s="127">
        <v>0</v>
      </c>
      <c r="U31" s="127">
        <v>0</v>
      </c>
      <c r="V31" s="127">
        <v>0</v>
      </c>
      <c r="W31" s="127">
        <v>0</v>
      </c>
      <c r="X31" s="127">
        <v>0</v>
      </c>
      <c r="Y31" s="127">
        <v>0</v>
      </c>
      <c r="Z31" s="127">
        <v>0</v>
      </c>
      <c r="AA31" s="127" t="s">
        <v>2510</v>
      </c>
      <c r="AB31" s="131" t="s">
        <v>964</v>
      </c>
      <c r="AC31" s="127" t="s">
        <v>1770</v>
      </c>
      <c r="AD31" s="131" t="s">
        <v>841</v>
      </c>
      <c r="AE31" s="131" t="e">
        <v>#N/A</v>
      </c>
      <c r="AF31" s="131" t="e">
        <v>#N/A</v>
      </c>
      <c r="AG31" s="131" t="e">
        <v>#REF!</v>
      </c>
    </row>
    <row r="32" spans="1:33" s="131" customFormat="1" ht="18" customHeight="1" x14ac:dyDescent="0.25">
      <c r="A32" s="125">
        <v>31</v>
      </c>
      <c r="B32" s="126" t="s">
        <v>52</v>
      </c>
      <c r="C32" s="126" t="s">
        <v>2589</v>
      </c>
      <c r="D32" s="126" t="s">
        <v>2557</v>
      </c>
      <c r="E32" s="127" t="s">
        <v>3</v>
      </c>
      <c r="F32" s="128" t="s">
        <v>2411</v>
      </c>
      <c r="G32" s="128" t="s">
        <v>3289</v>
      </c>
      <c r="H32" s="125"/>
      <c r="I32" s="125"/>
      <c r="J32" s="132"/>
      <c r="K32" s="130"/>
      <c r="L32" s="129"/>
      <c r="M32" s="127" t="s">
        <v>758</v>
      </c>
      <c r="N32" s="127" t="s">
        <v>765</v>
      </c>
      <c r="O32" s="127" t="s">
        <v>1447</v>
      </c>
      <c r="P32" s="127" t="s">
        <v>812</v>
      </c>
      <c r="Q32" s="127">
        <v>0</v>
      </c>
      <c r="R32" s="127">
        <v>0</v>
      </c>
      <c r="S32" s="127">
        <v>0</v>
      </c>
      <c r="T32" s="127">
        <v>0</v>
      </c>
      <c r="U32" s="127">
        <v>0</v>
      </c>
      <c r="V32" s="127">
        <v>0</v>
      </c>
      <c r="W32" s="127">
        <v>0</v>
      </c>
      <c r="X32" s="127">
        <v>0</v>
      </c>
      <c r="Y32" s="127">
        <v>0</v>
      </c>
      <c r="Z32" s="127">
        <v>0</v>
      </c>
      <c r="AA32" s="127" t="s">
        <v>2510</v>
      </c>
      <c r="AB32" s="131" t="s">
        <v>966</v>
      </c>
      <c r="AC32" s="127" t="s">
        <v>1771</v>
      </c>
      <c r="AD32" s="131" t="s">
        <v>3</v>
      </c>
      <c r="AE32" s="131" t="e">
        <v>#N/A</v>
      </c>
      <c r="AF32" s="131" t="e">
        <v>#N/A</v>
      </c>
      <c r="AG32" s="131" t="e">
        <v>#REF!</v>
      </c>
    </row>
    <row r="33" spans="1:33" s="131" customFormat="1" ht="18" customHeight="1" x14ac:dyDescent="0.25">
      <c r="A33" s="125">
        <v>32</v>
      </c>
      <c r="B33" s="126" t="s">
        <v>53</v>
      </c>
      <c r="C33" s="126" t="s">
        <v>2590</v>
      </c>
      <c r="D33" s="126" t="s">
        <v>2557</v>
      </c>
      <c r="E33" s="127" t="s">
        <v>3</v>
      </c>
      <c r="F33" s="128" t="s">
        <v>2411</v>
      </c>
      <c r="G33" s="128" t="s">
        <v>3289</v>
      </c>
      <c r="H33" s="125"/>
      <c r="I33" s="125"/>
      <c r="J33" s="132"/>
      <c r="K33" s="130"/>
      <c r="L33" s="129"/>
      <c r="M33" s="127" t="s">
        <v>758</v>
      </c>
      <c r="N33" s="127" t="s">
        <v>765</v>
      </c>
      <c r="O33" s="127" t="s">
        <v>1462</v>
      </c>
      <c r="P33" s="127" t="s">
        <v>812</v>
      </c>
      <c r="Q33" s="127">
        <v>0</v>
      </c>
      <c r="R33" s="127">
        <v>0</v>
      </c>
      <c r="S33" s="127">
        <v>0</v>
      </c>
      <c r="T33" s="127">
        <v>0</v>
      </c>
      <c r="U33" s="127">
        <v>0</v>
      </c>
      <c r="V33" s="127">
        <v>0</v>
      </c>
      <c r="W33" s="127">
        <v>0</v>
      </c>
      <c r="X33" s="127">
        <v>0</v>
      </c>
      <c r="Y33" s="127">
        <v>0</v>
      </c>
      <c r="Z33" s="127">
        <v>0</v>
      </c>
      <c r="AA33" s="127" t="s">
        <v>2510</v>
      </c>
      <c r="AB33" s="131" t="s">
        <v>968</v>
      </c>
      <c r="AC33" s="127" t="s">
        <v>1772</v>
      </c>
      <c r="AD33" s="131" t="s">
        <v>3</v>
      </c>
      <c r="AE33" s="131" t="e">
        <v>#N/A</v>
      </c>
      <c r="AF33" s="131" t="e">
        <v>#N/A</v>
      </c>
      <c r="AG33" s="131" t="e">
        <v>#REF!</v>
      </c>
    </row>
    <row r="34" spans="1:33" s="131" customFormat="1" ht="18" customHeight="1" x14ac:dyDescent="0.25">
      <c r="A34" s="125">
        <v>33</v>
      </c>
      <c r="B34" s="126" t="s">
        <v>4</v>
      </c>
      <c r="C34" s="126" t="s">
        <v>2591</v>
      </c>
      <c r="D34" s="126" t="s">
        <v>2563</v>
      </c>
      <c r="E34" s="127" t="s">
        <v>3</v>
      </c>
      <c r="F34" s="128" t="s">
        <v>2411</v>
      </c>
      <c r="G34" s="128" t="s">
        <v>3289</v>
      </c>
      <c r="H34" s="125" t="s">
        <v>2380</v>
      </c>
      <c r="I34" s="125"/>
      <c r="J34" s="129"/>
      <c r="K34" s="130"/>
      <c r="L34" s="129"/>
      <c r="M34" s="127" t="s">
        <v>761</v>
      </c>
      <c r="N34" s="127" t="s">
        <v>1639</v>
      </c>
      <c r="O34" s="127" t="s">
        <v>1441</v>
      </c>
      <c r="P34" s="127" t="s">
        <v>812</v>
      </c>
      <c r="Q34" s="127">
        <v>0</v>
      </c>
      <c r="R34" s="127">
        <v>0</v>
      </c>
      <c r="S34" s="127">
        <v>0</v>
      </c>
      <c r="T34" s="127">
        <v>0</v>
      </c>
      <c r="U34" s="127">
        <v>0</v>
      </c>
      <c r="V34" s="127">
        <v>0</v>
      </c>
      <c r="W34" s="127">
        <v>0</v>
      </c>
      <c r="X34" s="127">
        <v>0</v>
      </c>
      <c r="Y34" s="127">
        <v>0</v>
      </c>
      <c r="Z34" s="127">
        <v>0</v>
      </c>
      <c r="AA34" s="127" t="s">
        <v>2511</v>
      </c>
      <c r="AB34" s="131" t="s">
        <v>969</v>
      </c>
      <c r="AC34" s="127" t="s">
        <v>1773</v>
      </c>
      <c r="AD34" s="131" t="s">
        <v>3</v>
      </c>
      <c r="AE34" s="131" t="e">
        <v>#N/A</v>
      </c>
      <c r="AF34" s="131" t="e">
        <v>#N/A</v>
      </c>
      <c r="AG34" s="131" t="e">
        <v>#REF!</v>
      </c>
    </row>
    <row r="35" spans="1:33" s="131" customFormat="1" ht="18" customHeight="1" x14ac:dyDescent="0.25">
      <c r="A35" s="125">
        <v>34</v>
      </c>
      <c r="B35" s="126" t="s">
        <v>32</v>
      </c>
      <c r="C35" s="126" t="s">
        <v>2592</v>
      </c>
      <c r="D35" s="126" t="s">
        <v>2557</v>
      </c>
      <c r="E35" s="127" t="s">
        <v>3</v>
      </c>
      <c r="F35" s="128" t="s">
        <v>2410</v>
      </c>
      <c r="G35" s="128" t="s">
        <v>3290</v>
      </c>
      <c r="H35" s="125"/>
      <c r="I35" s="125"/>
      <c r="J35" s="132" t="s">
        <v>1641</v>
      </c>
      <c r="K35" s="130" t="s">
        <v>47</v>
      </c>
      <c r="L35" s="129"/>
      <c r="M35" s="127" t="s">
        <v>774</v>
      </c>
      <c r="N35" s="127" t="s">
        <v>1641</v>
      </c>
      <c r="O35" s="127" t="s">
        <v>1553</v>
      </c>
      <c r="P35" s="127">
        <v>0</v>
      </c>
      <c r="Q35" s="127">
        <v>2</v>
      </c>
      <c r="R35" s="127" t="s">
        <v>1451</v>
      </c>
      <c r="S35" s="127" t="s">
        <v>32</v>
      </c>
      <c r="T35" s="127">
        <v>0</v>
      </c>
      <c r="U35" s="127">
        <v>0</v>
      </c>
      <c r="V35" s="127">
        <v>0</v>
      </c>
      <c r="W35" s="127">
        <v>0</v>
      </c>
      <c r="X35" s="127">
        <v>0</v>
      </c>
      <c r="Y35" s="127">
        <v>0</v>
      </c>
      <c r="Z35" s="127">
        <v>0</v>
      </c>
      <c r="AA35" s="127" t="s">
        <v>2511</v>
      </c>
      <c r="AB35" s="131" t="s">
        <v>970</v>
      </c>
      <c r="AC35" s="127" t="s">
        <v>1774</v>
      </c>
      <c r="AD35" s="131" t="s">
        <v>3</v>
      </c>
      <c r="AE35" s="131" t="s">
        <v>47</v>
      </c>
      <c r="AF35" s="131" t="b">
        <v>1</v>
      </c>
      <c r="AG35" s="131" t="e">
        <v>#REF!</v>
      </c>
    </row>
    <row r="36" spans="1:33" s="131" customFormat="1" ht="18" customHeight="1" x14ac:dyDescent="0.25">
      <c r="A36" s="125">
        <v>35</v>
      </c>
      <c r="B36" s="126" t="s">
        <v>54</v>
      </c>
      <c r="C36" s="126" t="s">
        <v>2593</v>
      </c>
      <c r="D36" s="126" t="s">
        <v>2577</v>
      </c>
      <c r="E36" s="127" t="s">
        <v>841</v>
      </c>
      <c r="F36" s="128" t="s">
        <v>2411</v>
      </c>
      <c r="G36" s="128" t="s">
        <v>3290</v>
      </c>
      <c r="H36" s="125"/>
      <c r="I36" s="125"/>
      <c r="J36" s="132" t="s">
        <v>1641</v>
      </c>
      <c r="K36" s="130"/>
      <c r="L36" s="129"/>
      <c r="M36" s="127" t="s">
        <v>774</v>
      </c>
      <c r="N36" s="127" t="s">
        <v>1641</v>
      </c>
      <c r="O36" s="127" t="s">
        <v>1553</v>
      </c>
      <c r="P36" s="127" t="s">
        <v>1554</v>
      </c>
      <c r="Q36" s="127">
        <v>2</v>
      </c>
      <c r="R36" s="127" t="s">
        <v>1448</v>
      </c>
      <c r="S36" s="127" t="s">
        <v>54</v>
      </c>
      <c r="T36" s="127">
        <v>0</v>
      </c>
      <c r="U36" s="127">
        <v>0</v>
      </c>
      <c r="V36" s="127">
        <v>0</v>
      </c>
      <c r="W36" s="127" t="s">
        <v>797</v>
      </c>
      <c r="X36" s="127" t="s">
        <v>54</v>
      </c>
      <c r="Y36" s="127" t="s">
        <v>1572</v>
      </c>
      <c r="Z36" s="127">
        <v>0</v>
      </c>
      <c r="AA36" s="127" t="s">
        <v>2510</v>
      </c>
      <c r="AB36" s="131" t="s">
        <v>971</v>
      </c>
      <c r="AC36" s="127" t="s">
        <v>1775</v>
      </c>
      <c r="AD36" s="131" t="s">
        <v>841</v>
      </c>
      <c r="AE36" s="131" t="e">
        <v>#N/A</v>
      </c>
      <c r="AF36" s="131" t="e">
        <v>#N/A</v>
      </c>
      <c r="AG36" s="131" t="e">
        <v>#REF!</v>
      </c>
    </row>
    <row r="37" spans="1:33" s="131" customFormat="1" ht="18" customHeight="1" x14ac:dyDescent="0.25">
      <c r="A37" s="125">
        <v>36</v>
      </c>
      <c r="B37" s="126" t="s">
        <v>55</v>
      </c>
      <c r="C37" s="126" t="s">
        <v>2594</v>
      </c>
      <c r="D37" s="126" t="s">
        <v>2557</v>
      </c>
      <c r="E37" s="127" t="s">
        <v>3</v>
      </c>
      <c r="F37" s="128" t="s">
        <v>2410</v>
      </c>
      <c r="G37" s="128" t="s">
        <v>3290</v>
      </c>
      <c r="H37" s="125"/>
      <c r="I37" s="125"/>
      <c r="J37" s="132" t="s">
        <v>1641</v>
      </c>
      <c r="K37" s="130" t="s">
        <v>46</v>
      </c>
      <c r="L37" s="129"/>
      <c r="M37" s="127" t="s">
        <v>774</v>
      </c>
      <c r="N37" s="127" t="s">
        <v>1641</v>
      </c>
      <c r="O37" s="127" t="s">
        <v>1427</v>
      </c>
      <c r="P37" s="127">
        <v>0</v>
      </c>
      <c r="Q37" s="127">
        <v>0</v>
      </c>
      <c r="R37" s="127">
        <v>0</v>
      </c>
      <c r="S37" s="127">
        <v>0</v>
      </c>
      <c r="T37" s="127">
        <v>4</v>
      </c>
      <c r="U37" s="127" t="s">
        <v>1437</v>
      </c>
      <c r="V37" s="127" t="s">
        <v>58</v>
      </c>
      <c r="W37" s="127">
        <v>0</v>
      </c>
      <c r="X37" s="127">
        <v>0</v>
      </c>
      <c r="Y37" s="127">
        <v>0</v>
      </c>
      <c r="Z37" s="127">
        <v>0</v>
      </c>
      <c r="AA37" s="127" t="s">
        <v>2511</v>
      </c>
      <c r="AB37" s="131" t="s">
        <v>972</v>
      </c>
      <c r="AC37" s="127" t="s">
        <v>1776</v>
      </c>
      <c r="AD37" s="131" t="s">
        <v>3</v>
      </c>
      <c r="AE37" s="131" t="e">
        <v>#N/A</v>
      </c>
      <c r="AF37" s="131" t="e">
        <v>#N/A</v>
      </c>
      <c r="AG37" s="131" t="e">
        <v>#REF!</v>
      </c>
    </row>
    <row r="38" spans="1:33" s="131" customFormat="1" ht="18" customHeight="1" x14ac:dyDescent="0.25">
      <c r="A38" s="125">
        <v>37</v>
      </c>
      <c r="B38" s="126" t="s">
        <v>56</v>
      </c>
      <c r="C38" s="126" t="s">
        <v>2595</v>
      </c>
      <c r="D38" s="126" t="s">
        <v>2577</v>
      </c>
      <c r="E38" s="127" t="s">
        <v>841</v>
      </c>
      <c r="F38" s="128" t="s">
        <v>2411</v>
      </c>
      <c r="G38" s="128" t="s">
        <v>3289</v>
      </c>
      <c r="H38" s="125"/>
      <c r="I38" s="125"/>
      <c r="J38" s="132"/>
      <c r="K38" s="130"/>
      <c r="L38" s="129"/>
      <c r="M38" s="127" t="s">
        <v>758</v>
      </c>
      <c r="N38" s="127" t="s">
        <v>765</v>
      </c>
      <c r="O38" s="127" t="s">
        <v>1464</v>
      </c>
      <c r="P38" s="127" t="s">
        <v>812</v>
      </c>
      <c r="Q38" s="127">
        <v>0</v>
      </c>
      <c r="R38" s="127">
        <v>0</v>
      </c>
      <c r="S38" s="127">
        <v>0</v>
      </c>
      <c r="T38" s="127">
        <v>0</v>
      </c>
      <c r="U38" s="127">
        <v>0</v>
      </c>
      <c r="V38" s="127">
        <v>0</v>
      </c>
      <c r="W38" s="127">
        <v>0</v>
      </c>
      <c r="X38" s="127">
        <v>0</v>
      </c>
      <c r="Y38" s="127">
        <v>0</v>
      </c>
      <c r="Z38" s="127">
        <v>0</v>
      </c>
      <c r="AA38" s="127" t="s">
        <v>2511</v>
      </c>
      <c r="AB38" s="131" t="s">
        <v>973</v>
      </c>
      <c r="AC38" s="127" t="s">
        <v>1777</v>
      </c>
      <c r="AD38" s="131" t="s">
        <v>841</v>
      </c>
      <c r="AE38" s="131" t="e">
        <v>#N/A</v>
      </c>
      <c r="AF38" s="131" t="e">
        <v>#N/A</v>
      </c>
      <c r="AG38" s="131" t="e">
        <v>#REF!</v>
      </c>
    </row>
    <row r="39" spans="1:33" s="131" customFormat="1" ht="18" customHeight="1" x14ac:dyDescent="0.25">
      <c r="A39" s="125">
        <v>38</v>
      </c>
      <c r="B39" s="126" t="s">
        <v>57</v>
      </c>
      <c r="C39" s="126" t="s">
        <v>2596</v>
      </c>
      <c r="D39" s="126" t="s">
        <v>2577</v>
      </c>
      <c r="E39" s="127" t="s">
        <v>841</v>
      </c>
      <c r="F39" s="128" t="s">
        <v>2411</v>
      </c>
      <c r="G39" s="128" t="s">
        <v>3289</v>
      </c>
      <c r="H39" s="125"/>
      <c r="I39" s="125"/>
      <c r="J39" s="132"/>
      <c r="K39" s="130"/>
      <c r="L39" s="129"/>
      <c r="M39" s="127" t="s">
        <v>774</v>
      </c>
      <c r="N39" s="127" t="s">
        <v>765</v>
      </c>
      <c r="O39" s="127" t="s">
        <v>1448</v>
      </c>
      <c r="P39" s="127" t="s">
        <v>812</v>
      </c>
      <c r="Q39" s="127">
        <v>0</v>
      </c>
      <c r="R39" s="127">
        <v>0</v>
      </c>
      <c r="S39" s="127">
        <v>0</v>
      </c>
      <c r="T39" s="127">
        <v>0</v>
      </c>
      <c r="U39" s="127">
        <v>0</v>
      </c>
      <c r="V39" s="127">
        <v>0</v>
      </c>
      <c r="W39" s="127">
        <v>0</v>
      </c>
      <c r="X39" s="127">
        <v>0</v>
      </c>
      <c r="Y39" s="127">
        <v>0</v>
      </c>
      <c r="Z39" s="127">
        <v>0</v>
      </c>
      <c r="AA39" s="127" t="s">
        <v>2511</v>
      </c>
      <c r="AB39" s="131" t="s">
        <v>975</v>
      </c>
      <c r="AC39" s="127" t="s">
        <v>1778</v>
      </c>
      <c r="AD39" s="131" t="s">
        <v>841</v>
      </c>
      <c r="AE39" s="131" t="e">
        <v>#N/A</v>
      </c>
      <c r="AF39" s="131" t="e">
        <v>#N/A</v>
      </c>
      <c r="AG39" s="131" t="e">
        <v>#REF!</v>
      </c>
    </row>
    <row r="40" spans="1:33" s="131" customFormat="1" ht="18" customHeight="1" x14ac:dyDescent="0.25">
      <c r="A40" s="125">
        <v>39</v>
      </c>
      <c r="B40" s="126" t="s">
        <v>33</v>
      </c>
      <c r="C40" s="126" t="s">
        <v>2597</v>
      </c>
      <c r="D40" s="126" t="s">
        <v>2557</v>
      </c>
      <c r="E40" s="127" t="s">
        <v>1418</v>
      </c>
      <c r="F40" s="128" t="s">
        <v>2411</v>
      </c>
      <c r="G40" s="128" t="s">
        <v>3289</v>
      </c>
      <c r="H40" s="125"/>
      <c r="I40" s="125"/>
      <c r="J40" s="132" t="s">
        <v>1641</v>
      </c>
      <c r="K40" s="130"/>
      <c r="L40" s="129"/>
      <c r="M40" s="127" t="s">
        <v>759</v>
      </c>
      <c r="N40" s="127" t="s">
        <v>770</v>
      </c>
      <c r="O40" s="127" t="s">
        <v>3292</v>
      </c>
      <c r="P40" s="127" t="s">
        <v>812</v>
      </c>
      <c r="Q40" s="127">
        <v>0</v>
      </c>
      <c r="R40" s="127">
        <v>0</v>
      </c>
      <c r="S40" s="127">
        <v>0</v>
      </c>
      <c r="T40" s="127">
        <v>0</v>
      </c>
      <c r="U40" s="127">
        <v>0</v>
      </c>
      <c r="V40" s="127">
        <v>0</v>
      </c>
      <c r="W40" s="127">
        <v>0</v>
      </c>
      <c r="X40" s="127">
        <v>0</v>
      </c>
      <c r="Y40" s="127">
        <v>0</v>
      </c>
      <c r="Z40" s="127">
        <v>0</v>
      </c>
      <c r="AA40" s="127" t="s">
        <v>2511</v>
      </c>
      <c r="AB40" s="131" t="s">
        <v>976</v>
      </c>
      <c r="AC40" s="127" t="s">
        <v>1779</v>
      </c>
      <c r="AD40" s="131" t="s">
        <v>1418</v>
      </c>
      <c r="AE40" s="131" t="e">
        <v>#N/A</v>
      </c>
      <c r="AF40" s="131" t="e">
        <v>#N/A</v>
      </c>
      <c r="AG40" s="131" t="e">
        <v>#REF!</v>
      </c>
    </row>
    <row r="41" spans="1:33" s="131" customFormat="1" ht="18" customHeight="1" x14ac:dyDescent="0.25">
      <c r="A41" s="125">
        <v>40</v>
      </c>
      <c r="B41" s="126" t="s">
        <v>58</v>
      </c>
      <c r="C41" s="126" t="s">
        <v>2598</v>
      </c>
      <c r="D41" s="126" t="s">
        <v>2557</v>
      </c>
      <c r="E41" s="127" t="s">
        <v>3</v>
      </c>
      <c r="F41" s="128" t="s">
        <v>2411</v>
      </c>
      <c r="G41" s="128" t="s">
        <v>3290</v>
      </c>
      <c r="H41" s="125"/>
      <c r="I41" s="125"/>
      <c r="J41" s="132" t="s">
        <v>1641</v>
      </c>
      <c r="K41" s="130"/>
      <c r="L41" s="129"/>
      <c r="M41" s="127" t="s">
        <v>761</v>
      </c>
      <c r="N41" s="127" t="s">
        <v>1641</v>
      </c>
      <c r="O41" s="127" t="s">
        <v>1427</v>
      </c>
      <c r="P41" s="127" t="s">
        <v>1554</v>
      </c>
      <c r="Q41" s="127">
        <v>0</v>
      </c>
      <c r="R41" s="127">
        <v>0</v>
      </c>
      <c r="S41" s="127">
        <v>0</v>
      </c>
      <c r="T41" s="127">
        <v>2</v>
      </c>
      <c r="U41" s="127" t="s">
        <v>1437</v>
      </c>
      <c r="V41" s="127" t="s">
        <v>58</v>
      </c>
      <c r="W41" s="127">
        <v>0</v>
      </c>
      <c r="X41" s="127">
        <v>0</v>
      </c>
      <c r="Y41" s="127">
        <v>0</v>
      </c>
      <c r="Z41" s="127" t="s">
        <v>1568</v>
      </c>
      <c r="AA41" s="127" t="s">
        <v>2511</v>
      </c>
      <c r="AB41" s="131" t="s">
        <v>977</v>
      </c>
      <c r="AC41" s="127" t="s">
        <v>2263</v>
      </c>
      <c r="AD41" s="131" t="s">
        <v>3</v>
      </c>
      <c r="AE41" s="131" t="e">
        <v>#N/A</v>
      </c>
      <c r="AF41" s="131" t="e">
        <v>#N/A</v>
      </c>
      <c r="AG41" s="131" t="e">
        <v>#REF!</v>
      </c>
    </row>
    <row r="42" spans="1:33" s="131" customFormat="1" ht="18" customHeight="1" x14ac:dyDescent="0.25">
      <c r="A42" s="125">
        <v>41</v>
      </c>
      <c r="B42" s="126" t="s">
        <v>34</v>
      </c>
      <c r="C42" s="126" t="s">
        <v>2599</v>
      </c>
      <c r="D42" s="126" t="s">
        <v>2557</v>
      </c>
      <c r="E42" s="127" t="s">
        <v>1418</v>
      </c>
      <c r="F42" s="128" t="s">
        <v>2410</v>
      </c>
      <c r="G42" s="128" t="s">
        <v>3290</v>
      </c>
      <c r="H42" s="125"/>
      <c r="I42" s="125" t="s">
        <v>934</v>
      </c>
      <c r="J42" s="132"/>
      <c r="K42" s="130" t="s">
        <v>28</v>
      </c>
      <c r="L42" s="129"/>
      <c r="M42" s="127" t="s">
        <v>759</v>
      </c>
      <c r="N42" s="127" t="s">
        <v>770</v>
      </c>
      <c r="O42" s="127" t="s">
        <v>1427</v>
      </c>
      <c r="P42" s="127">
        <v>0</v>
      </c>
      <c r="Q42" s="127">
        <v>0</v>
      </c>
      <c r="R42" s="127">
        <v>0</v>
      </c>
      <c r="S42" s="127">
        <v>0</v>
      </c>
      <c r="T42" s="127">
        <v>2</v>
      </c>
      <c r="U42" s="127" t="s">
        <v>1440</v>
      </c>
      <c r="V42" s="127" t="s">
        <v>34</v>
      </c>
      <c r="W42" s="127">
        <v>0</v>
      </c>
      <c r="X42" s="127">
        <v>0</v>
      </c>
      <c r="Y42" s="127">
        <v>0</v>
      </c>
      <c r="Z42" s="127">
        <v>0</v>
      </c>
      <c r="AA42" s="127" t="s">
        <v>2511</v>
      </c>
      <c r="AB42" s="131" t="s">
        <v>978</v>
      </c>
      <c r="AC42" s="127" t="s">
        <v>1780</v>
      </c>
      <c r="AD42" s="131" t="s">
        <v>1418</v>
      </c>
      <c r="AE42" s="131" t="s">
        <v>28</v>
      </c>
      <c r="AF42" s="131" t="b">
        <v>1</v>
      </c>
      <c r="AG42" s="131" t="e">
        <v>#REF!</v>
      </c>
    </row>
    <row r="43" spans="1:33" s="131" customFormat="1" ht="18" customHeight="1" x14ac:dyDescent="0.25">
      <c r="A43" s="125">
        <v>42</v>
      </c>
      <c r="B43" s="126" t="s">
        <v>59</v>
      </c>
      <c r="C43" s="126" t="s">
        <v>2600</v>
      </c>
      <c r="D43" s="126" t="s">
        <v>2557</v>
      </c>
      <c r="E43" s="127" t="s">
        <v>3</v>
      </c>
      <c r="F43" s="128" t="s">
        <v>2410</v>
      </c>
      <c r="G43" s="128" t="s">
        <v>3290</v>
      </c>
      <c r="H43" s="125"/>
      <c r="I43" s="125"/>
      <c r="J43" s="132" t="s">
        <v>1641</v>
      </c>
      <c r="K43" s="130" t="s">
        <v>40</v>
      </c>
      <c r="L43" s="129"/>
      <c r="M43" s="127" t="s">
        <v>761</v>
      </c>
      <c r="N43" s="127" t="s">
        <v>1641</v>
      </c>
      <c r="O43" s="127" t="s">
        <v>1553</v>
      </c>
      <c r="P43" s="127">
        <v>0</v>
      </c>
      <c r="Q43" s="127">
        <v>2</v>
      </c>
      <c r="R43" s="127" t="s">
        <v>1438</v>
      </c>
      <c r="S43" s="127" t="s">
        <v>59</v>
      </c>
      <c r="T43" s="127">
        <v>0</v>
      </c>
      <c r="U43" s="127">
        <v>0</v>
      </c>
      <c r="V43" s="127">
        <v>0</v>
      </c>
      <c r="W43" s="127">
        <v>0</v>
      </c>
      <c r="X43" s="127">
        <v>0</v>
      </c>
      <c r="Y43" s="127">
        <v>0</v>
      </c>
      <c r="Z43" s="127">
        <v>0</v>
      </c>
      <c r="AA43" s="127" t="s">
        <v>2511</v>
      </c>
      <c r="AB43" s="131" t="s">
        <v>980</v>
      </c>
      <c r="AC43" s="127" t="s">
        <v>1782</v>
      </c>
      <c r="AD43" s="131" t="s">
        <v>3</v>
      </c>
      <c r="AE43" s="131" t="s">
        <v>40</v>
      </c>
      <c r="AF43" s="131" t="b">
        <v>1</v>
      </c>
      <c r="AG43" s="131" t="e">
        <v>#REF!</v>
      </c>
    </row>
    <row r="44" spans="1:33" s="131" customFormat="1" ht="18" customHeight="1" x14ac:dyDescent="0.25">
      <c r="A44" s="125">
        <v>43</v>
      </c>
      <c r="B44" s="126" t="s">
        <v>151</v>
      </c>
      <c r="C44" s="126" t="s">
        <v>2601</v>
      </c>
      <c r="D44" s="126" t="s">
        <v>2563</v>
      </c>
      <c r="E44" s="127" t="s">
        <v>3</v>
      </c>
      <c r="F44" s="128" t="s">
        <v>2411</v>
      </c>
      <c r="G44" s="128" t="s">
        <v>3289</v>
      </c>
      <c r="H44" s="125"/>
      <c r="I44" s="125" t="s">
        <v>934</v>
      </c>
      <c r="J44" s="132"/>
      <c r="K44" s="130"/>
      <c r="L44" s="129"/>
      <c r="M44" s="127" t="s">
        <v>759</v>
      </c>
      <c r="N44" s="127" t="s">
        <v>770</v>
      </c>
      <c r="O44" s="127" t="s">
        <v>1458</v>
      </c>
      <c r="P44" s="127" t="s">
        <v>812</v>
      </c>
      <c r="Q44" s="127">
        <v>0</v>
      </c>
      <c r="R44" s="127">
        <v>0</v>
      </c>
      <c r="S44" s="127">
        <v>0</v>
      </c>
      <c r="T44" s="127">
        <v>0</v>
      </c>
      <c r="U44" s="127">
        <v>0</v>
      </c>
      <c r="V44" s="127">
        <v>0</v>
      </c>
      <c r="W44" s="127">
        <v>0</v>
      </c>
      <c r="X44" s="127">
        <v>0</v>
      </c>
      <c r="Y44" s="127">
        <v>0</v>
      </c>
      <c r="Z44" s="127">
        <v>0</v>
      </c>
      <c r="AA44" s="127" t="s">
        <v>2510</v>
      </c>
      <c r="AB44" s="131" t="s">
        <v>982</v>
      </c>
      <c r="AC44" s="127" t="s">
        <v>1781</v>
      </c>
      <c r="AD44" s="131" t="s">
        <v>3</v>
      </c>
      <c r="AE44" s="131" t="e">
        <v>#N/A</v>
      </c>
      <c r="AF44" s="131" t="e">
        <v>#N/A</v>
      </c>
      <c r="AG44" s="131" t="e">
        <v>#REF!</v>
      </c>
    </row>
    <row r="45" spans="1:33" s="131" customFormat="1" ht="18" customHeight="1" x14ac:dyDescent="0.25">
      <c r="A45" s="125">
        <v>44</v>
      </c>
      <c r="B45" s="126" t="s">
        <v>60</v>
      </c>
      <c r="C45" s="126" t="s">
        <v>2602</v>
      </c>
      <c r="D45" s="126" t="s">
        <v>2577</v>
      </c>
      <c r="E45" s="127" t="s">
        <v>3</v>
      </c>
      <c r="F45" s="128" t="s">
        <v>2411</v>
      </c>
      <c r="G45" s="128" t="s">
        <v>3289</v>
      </c>
      <c r="H45" s="125"/>
      <c r="I45" s="125" t="s">
        <v>934</v>
      </c>
      <c r="J45" s="132"/>
      <c r="K45" s="130"/>
      <c r="L45" s="129" t="s">
        <v>2550</v>
      </c>
      <c r="M45" s="127" t="s">
        <v>759</v>
      </c>
      <c r="N45" s="127" t="s">
        <v>2549</v>
      </c>
      <c r="O45" s="127" t="s">
        <v>1445</v>
      </c>
      <c r="P45" s="127" t="s">
        <v>812</v>
      </c>
      <c r="Q45" s="127">
        <v>0</v>
      </c>
      <c r="R45" s="127">
        <v>0</v>
      </c>
      <c r="S45" s="127">
        <v>0</v>
      </c>
      <c r="T45" s="127">
        <v>0</v>
      </c>
      <c r="U45" s="127">
        <v>0</v>
      </c>
      <c r="V45" s="127">
        <v>0</v>
      </c>
      <c r="W45" s="127">
        <v>0</v>
      </c>
      <c r="X45" s="127">
        <v>0</v>
      </c>
      <c r="Y45" s="127">
        <v>0</v>
      </c>
      <c r="Z45" s="127">
        <v>0</v>
      </c>
      <c r="AA45" s="127" t="s">
        <v>2511</v>
      </c>
      <c r="AB45" s="131" t="s">
        <v>983</v>
      </c>
      <c r="AC45" s="127" t="s">
        <v>1783</v>
      </c>
      <c r="AD45" s="131" t="s">
        <v>3</v>
      </c>
      <c r="AE45" s="131" t="e">
        <v>#N/A</v>
      </c>
      <c r="AF45" s="131" t="e">
        <v>#N/A</v>
      </c>
      <c r="AG45" s="131" t="e">
        <v>#REF!</v>
      </c>
    </row>
    <row r="46" spans="1:33" s="131" customFormat="1" ht="18" customHeight="1" x14ac:dyDescent="0.25">
      <c r="A46" s="125">
        <v>45</v>
      </c>
      <c r="B46" s="126" t="s">
        <v>61</v>
      </c>
      <c r="C46" s="126" t="s">
        <v>2603</v>
      </c>
      <c r="D46" s="126" t="s">
        <v>2577</v>
      </c>
      <c r="E46" s="127" t="s">
        <v>3</v>
      </c>
      <c r="F46" s="128" t="s">
        <v>2411</v>
      </c>
      <c r="G46" s="128" t="s">
        <v>3290</v>
      </c>
      <c r="H46" s="125" t="s">
        <v>1732</v>
      </c>
      <c r="I46" s="125"/>
      <c r="J46" s="129"/>
      <c r="K46" s="130"/>
      <c r="L46" s="129"/>
      <c r="M46" s="127" t="s">
        <v>761</v>
      </c>
      <c r="N46" s="127" t="s">
        <v>1639</v>
      </c>
      <c r="O46" s="127" t="s">
        <v>1427</v>
      </c>
      <c r="P46" s="127" t="s">
        <v>1554</v>
      </c>
      <c r="Q46" s="127">
        <v>0</v>
      </c>
      <c r="R46" s="127">
        <v>0</v>
      </c>
      <c r="S46" s="127">
        <v>0</v>
      </c>
      <c r="T46" s="127">
        <v>2</v>
      </c>
      <c r="U46" s="127" t="s">
        <v>1452</v>
      </c>
      <c r="V46" s="127" t="s">
        <v>61</v>
      </c>
      <c r="W46" s="127">
        <v>0</v>
      </c>
      <c r="X46" s="127">
        <v>0</v>
      </c>
      <c r="Y46" s="127">
        <v>0</v>
      </c>
      <c r="Z46" s="127" t="s">
        <v>1568</v>
      </c>
      <c r="AA46" s="127" t="s">
        <v>2510</v>
      </c>
      <c r="AB46" s="131" t="s">
        <v>984</v>
      </c>
      <c r="AC46" s="127" t="s">
        <v>1784</v>
      </c>
      <c r="AD46" s="131" t="s">
        <v>3</v>
      </c>
      <c r="AE46" s="131" t="e">
        <v>#N/A</v>
      </c>
      <c r="AF46" s="131" t="e">
        <v>#N/A</v>
      </c>
      <c r="AG46" s="131" t="e">
        <v>#REF!</v>
      </c>
    </row>
    <row r="47" spans="1:33" s="131" customFormat="1" ht="18" customHeight="1" x14ac:dyDescent="0.25">
      <c r="A47" s="125">
        <v>46</v>
      </c>
      <c r="B47" s="126" t="s">
        <v>152</v>
      </c>
      <c r="C47" s="126" t="s">
        <v>2604</v>
      </c>
      <c r="D47" s="126" t="s">
        <v>2563</v>
      </c>
      <c r="E47" s="127" t="s">
        <v>3</v>
      </c>
      <c r="F47" s="128" t="s">
        <v>2410</v>
      </c>
      <c r="G47" s="128" t="s">
        <v>3290</v>
      </c>
      <c r="H47" s="125" t="s">
        <v>1732</v>
      </c>
      <c r="I47" s="125"/>
      <c r="J47" s="129"/>
      <c r="K47" s="130" t="s">
        <v>461</v>
      </c>
      <c r="L47" s="129"/>
      <c r="M47" s="127" t="s">
        <v>761</v>
      </c>
      <c r="N47" s="127" t="s">
        <v>1639</v>
      </c>
      <c r="O47" s="127" t="s">
        <v>1553</v>
      </c>
      <c r="P47" s="127">
        <v>0</v>
      </c>
      <c r="Q47" s="127">
        <v>2</v>
      </c>
      <c r="R47" s="127" t="s">
        <v>1453</v>
      </c>
      <c r="S47" s="127" t="s">
        <v>152</v>
      </c>
      <c r="T47" s="127">
        <v>0</v>
      </c>
      <c r="U47" s="127">
        <v>0</v>
      </c>
      <c r="V47" s="127">
        <v>0</v>
      </c>
      <c r="W47" s="127" t="s">
        <v>1441</v>
      </c>
      <c r="X47" s="127" t="s">
        <v>152</v>
      </c>
      <c r="Y47" s="127" t="s">
        <v>1454</v>
      </c>
      <c r="Z47" s="127" t="s">
        <v>1568</v>
      </c>
      <c r="AA47" s="127" t="s">
        <v>2511</v>
      </c>
      <c r="AB47" s="131" t="s">
        <v>985</v>
      </c>
      <c r="AC47" s="127" t="s">
        <v>1785</v>
      </c>
      <c r="AD47" s="131" t="s">
        <v>3</v>
      </c>
      <c r="AE47" s="131" t="e">
        <v>#N/A</v>
      </c>
      <c r="AF47" s="131" t="e">
        <v>#N/A</v>
      </c>
      <c r="AG47" s="131" t="e">
        <v>#REF!</v>
      </c>
    </row>
    <row r="48" spans="1:33" s="131" customFormat="1" ht="18" customHeight="1" x14ac:dyDescent="0.25">
      <c r="A48" s="125">
        <v>47</v>
      </c>
      <c r="B48" s="126" t="s">
        <v>62</v>
      </c>
      <c r="C48" s="126" t="s">
        <v>2605</v>
      </c>
      <c r="D48" s="126" t="s">
        <v>2557</v>
      </c>
      <c r="E48" s="127" t="s">
        <v>1418</v>
      </c>
      <c r="F48" s="128" t="s">
        <v>2411</v>
      </c>
      <c r="G48" s="128" t="s">
        <v>3289</v>
      </c>
      <c r="H48" s="125" t="s">
        <v>931</v>
      </c>
      <c r="I48" s="125"/>
      <c r="J48" s="129"/>
      <c r="K48" s="130"/>
      <c r="L48" s="129"/>
      <c r="M48" s="127" t="s">
        <v>761</v>
      </c>
      <c r="N48" s="127" t="s">
        <v>1639</v>
      </c>
      <c r="O48" s="127" t="s">
        <v>3293</v>
      </c>
      <c r="P48" s="127" t="s">
        <v>812</v>
      </c>
      <c r="Q48" s="127">
        <v>0</v>
      </c>
      <c r="R48" s="127">
        <v>0</v>
      </c>
      <c r="S48" s="127">
        <v>0</v>
      </c>
      <c r="T48" s="127">
        <v>0</v>
      </c>
      <c r="U48" s="127">
        <v>0</v>
      </c>
      <c r="V48" s="127">
        <v>0</v>
      </c>
      <c r="W48" s="127">
        <v>0</v>
      </c>
      <c r="X48" s="127">
        <v>0</v>
      </c>
      <c r="Y48" s="127">
        <v>0</v>
      </c>
      <c r="Z48" s="127">
        <v>0</v>
      </c>
      <c r="AA48" s="127" t="s">
        <v>2511</v>
      </c>
      <c r="AB48" s="131" t="s">
        <v>987</v>
      </c>
      <c r="AC48" s="127" t="s">
        <v>1786</v>
      </c>
      <c r="AD48" s="131" t="s">
        <v>1418</v>
      </c>
      <c r="AE48" s="131" t="e">
        <v>#N/A</v>
      </c>
      <c r="AF48" s="131" t="e">
        <v>#N/A</v>
      </c>
      <c r="AG48" s="131" t="e">
        <v>#REF!</v>
      </c>
    </row>
    <row r="49" spans="1:33" s="131" customFormat="1" ht="18" customHeight="1" x14ac:dyDescent="0.25">
      <c r="A49" s="125">
        <v>48</v>
      </c>
      <c r="B49" s="126" t="s">
        <v>421</v>
      </c>
      <c r="C49" s="126" t="s">
        <v>2606</v>
      </c>
      <c r="D49" s="126" t="s">
        <v>2577</v>
      </c>
      <c r="E49" s="127" t="s">
        <v>841</v>
      </c>
      <c r="F49" s="128" t="s">
        <v>2411</v>
      </c>
      <c r="G49" s="128" t="s">
        <v>3289</v>
      </c>
      <c r="H49" s="125" t="s">
        <v>1732</v>
      </c>
      <c r="I49" s="125"/>
      <c r="J49" s="129"/>
      <c r="K49" s="130"/>
      <c r="L49" s="129"/>
      <c r="M49" s="127" t="s">
        <v>760</v>
      </c>
      <c r="N49" s="127" t="s">
        <v>1639</v>
      </c>
      <c r="O49" s="127" t="s">
        <v>1555</v>
      </c>
      <c r="P49" s="127" t="s">
        <v>812</v>
      </c>
      <c r="Q49" s="127">
        <v>0</v>
      </c>
      <c r="R49" s="127">
        <v>0</v>
      </c>
      <c r="S49" s="127">
        <v>0</v>
      </c>
      <c r="T49" s="127">
        <v>0</v>
      </c>
      <c r="U49" s="127">
        <v>0</v>
      </c>
      <c r="V49" s="127">
        <v>0</v>
      </c>
      <c r="W49" s="127">
        <v>0</v>
      </c>
      <c r="X49" s="127">
        <v>0</v>
      </c>
      <c r="Y49" s="127">
        <v>0</v>
      </c>
      <c r="Z49" s="127">
        <v>0</v>
      </c>
      <c r="AA49" s="127" t="s">
        <v>2511</v>
      </c>
      <c r="AB49" s="131" t="s">
        <v>989</v>
      </c>
      <c r="AC49" s="127" t="e">
        <v>#N/A</v>
      </c>
      <c r="AD49" s="131" t="s">
        <v>841</v>
      </c>
      <c r="AE49" s="131" t="e">
        <v>#N/A</v>
      </c>
      <c r="AF49" s="131" t="e">
        <v>#N/A</v>
      </c>
      <c r="AG49" s="131" t="e">
        <v>#REF!</v>
      </c>
    </row>
    <row r="50" spans="1:33" s="131" customFormat="1" ht="18" customHeight="1" x14ac:dyDescent="0.25">
      <c r="A50" s="125">
        <v>49</v>
      </c>
      <c r="B50" s="126" t="s">
        <v>422</v>
      </c>
      <c r="C50" s="126" t="s">
        <v>2607</v>
      </c>
      <c r="D50" s="126" t="s">
        <v>2563</v>
      </c>
      <c r="E50" s="127" t="s">
        <v>3</v>
      </c>
      <c r="F50" s="128" t="s">
        <v>2411</v>
      </c>
      <c r="G50" s="128" t="s">
        <v>3290</v>
      </c>
      <c r="H50" s="125"/>
      <c r="I50" s="125"/>
      <c r="J50" s="132" t="s">
        <v>1641</v>
      </c>
      <c r="K50" s="130"/>
      <c r="L50" s="129"/>
      <c r="M50" s="127" t="s">
        <v>759</v>
      </c>
      <c r="N50" s="127" t="s">
        <v>1641</v>
      </c>
      <c r="O50" s="127" t="s">
        <v>1553</v>
      </c>
      <c r="P50" s="127" t="s">
        <v>1554</v>
      </c>
      <c r="Q50" s="127">
        <v>2</v>
      </c>
      <c r="R50" s="127" t="s">
        <v>1455</v>
      </c>
      <c r="S50" s="127" t="s">
        <v>422</v>
      </c>
      <c r="T50" s="127">
        <v>0</v>
      </c>
      <c r="U50" s="127">
        <v>0</v>
      </c>
      <c r="V50" s="127">
        <v>0</v>
      </c>
      <c r="W50" s="127">
        <v>0</v>
      </c>
      <c r="X50" s="127">
        <v>0</v>
      </c>
      <c r="Y50" s="127">
        <v>0</v>
      </c>
      <c r="Z50" s="127" t="s">
        <v>1568</v>
      </c>
      <c r="AA50" s="127" t="s">
        <v>2511</v>
      </c>
      <c r="AB50" s="131" t="s">
        <v>990</v>
      </c>
      <c r="AC50" s="127" t="s">
        <v>1787</v>
      </c>
      <c r="AD50" s="131" t="s">
        <v>3</v>
      </c>
      <c r="AE50" s="131" t="e">
        <v>#N/A</v>
      </c>
      <c r="AF50" s="131" t="e">
        <v>#N/A</v>
      </c>
      <c r="AG50" s="131" t="e">
        <v>#REF!</v>
      </c>
    </row>
    <row r="51" spans="1:33" s="131" customFormat="1" ht="18" customHeight="1" x14ac:dyDescent="0.25">
      <c r="A51" s="125">
        <v>50</v>
      </c>
      <c r="B51" s="126" t="s">
        <v>448</v>
      </c>
      <c r="C51" s="126" t="s">
        <v>2608</v>
      </c>
      <c r="D51" s="126" t="s">
        <v>2577</v>
      </c>
      <c r="E51" s="127" t="s">
        <v>3</v>
      </c>
      <c r="F51" s="128"/>
      <c r="G51" s="128" t="s">
        <v>3290</v>
      </c>
      <c r="H51" s="125" t="s">
        <v>993</v>
      </c>
      <c r="I51" s="125"/>
      <c r="J51" s="129"/>
      <c r="K51" s="130"/>
      <c r="L51" s="129"/>
      <c r="M51" s="127" t="s">
        <v>759</v>
      </c>
      <c r="N51" s="127" t="s">
        <v>1639</v>
      </c>
      <c r="O51" s="127" t="s">
        <v>1553</v>
      </c>
      <c r="P51" s="127">
        <v>0</v>
      </c>
      <c r="Q51" s="127">
        <v>2</v>
      </c>
      <c r="R51" s="127" t="s">
        <v>1456</v>
      </c>
      <c r="S51" s="127" t="s">
        <v>448</v>
      </c>
      <c r="T51" s="127">
        <v>0</v>
      </c>
      <c r="U51" s="127">
        <v>0</v>
      </c>
      <c r="V51" s="127">
        <v>0</v>
      </c>
      <c r="W51" s="127">
        <v>0</v>
      </c>
      <c r="X51" s="127">
        <v>0</v>
      </c>
      <c r="Y51" s="127">
        <v>0</v>
      </c>
      <c r="Z51" s="127">
        <v>0</v>
      </c>
      <c r="AA51" s="127" t="s">
        <v>2511</v>
      </c>
      <c r="AB51" s="131" t="s">
        <v>992</v>
      </c>
      <c r="AC51" s="127" t="s">
        <v>1788</v>
      </c>
      <c r="AD51" s="131" t="s">
        <v>3</v>
      </c>
      <c r="AE51" s="131" t="e">
        <v>#N/A</v>
      </c>
      <c r="AF51" s="131" t="e">
        <v>#N/A</v>
      </c>
      <c r="AG51" s="131" t="e">
        <v>#REF!</v>
      </c>
    </row>
    <row r="52" spans="1:33" s="131" customFormat="1" ht="18" customHeight="1" x14ac:dyDescent="0.25">
      <c r="A52" s="125">
        <v>51</v>
      </c>
      <c r="B52" s="126" t="s">
        <v>454</v>
      </c>
      <c r="C52" s="126" t="s">
        <v>2609</v>
      </c>
      <c r="D52" s="126" t="s">
        <v>2557</v>
      </c>
      <c r="E52" s="127" t="s">
        <v>3</v>
      </c>
      <c r="F52" s="128" t="s">
        <v>2410</v>
      </c>
      <c r="G52" s="128" t="s">
        <v>3290</v>
      </c>
      <c r="H52" s="125" t="s">
        <v>993</v>
      </c>
      <c r="I52" s="125"/>
      <c r="J52" s="129"/>
      <c r="K52" s="130" t="s">
        <v>37</v>
      </c>
      <c r="L52" s="129"/>
      <c r="M52" s="127" t="s">
        <v>759</v>
      </c>
      <c r="N52" s="127" t="s">
        <v>1639</v>
      </c>
      <c r="O52" s="127" t="s">
        <v>1553</v>
      </c>
      <c r="P52" s="127">
        <v>0</v>
      </c>
      <c r="Q52" s="127">
        <v>2</v>
      </c>
      <c r="R52" s="127" t="s">
        <v>1439</v>
      </c>
      <c r="S52" s="127" t="s">
        <v>454</v>
      </c>
      <c r="T52" s="127">
        <v>0</v>
      </c>
      <c r="U52" s="127">
        <v>0</v>
      </c>
      <c r="V52" s="127">
        <v>0</v>
      </c>
      <c r="W52" s="127">
        <v>0</v>
      </c>
      <c r="X52" s="127">
        <v>0</v>
      </c>
      <c r="Y52" s="127">
        <v>0</v>
      </c>
      <c r="Z52" s="127">
        <v>0</v>
      </c>
      <c r="AA52" s="127" t="s">
        <v>2511</v>
      </c>
      <c r="AB52" s="131" t="s">
        <v>994</v>
      </c>
      <c r="AC52" s="127" t="s">
        <v>1789</v>
      </c>
      <c r="AD52" s="131" t="s">
        <v>3</v>
      </c>
      <c r="AE52" s="131" t="s">
        <v>37</v>
      </c>
      <c r="AF52" s="131" t="b">
        <v>1</v>
      </c>
      <c r="AG52" s="131" t="e">
        <v>#REF!</v>
      </c>
    </row>
    <row r="53" spans="1:33" s="131" customFormat="1" ht="18" customHeight="1" x14ac:dyDescent="0.25">
      <c r="A53" s="125">
        <v>52</v>
      </c>
      <c r="B53" s="126" t="s">
        <v>453</v>
      </c>
      <c r="C53" s="126" t="s">
        <v>2610</v>
      </c>
      <c r="D53" s="126" t="s">
        <v>2563</v>
      </c>
      <c r="E53" s="127" t="s">
        <v>3</v>
      </c>
      <c r="F53" s="128" t="s">
        <v>2410</v>
      </c>
      <c r="G53" s="128" t="s">
        <v>3290</v>
      </c>
      <c r="H53" s="125" t="s">
        <v>998</v>
      </c>
      <c r="I53" s="125"/>
      <c r="J53" s="129"/>
      <c r="K53" s="130" t="s">
        <v>99</v>
      </c>
      <c r="L53" s="129"/>
      <c r="M53" s="127" t="s">
        <v>759</v>
      </c>
      <c r="N53" s="127" t="s">
        <v>1639</v>
      </c>
      <c r="O53" s="127" t="s">
        <v>1553</v>
      </c>
      <c r="P53" s="127">
        <v>0</v>
      </c>
      <c r="Q53" s="127">
        <v>2</v>
      </c>
      <c r="R53" s="127" t="s">
        <v>1457</v>
      </c>
      <c r="S53" s="127" t="s">
        <v>453</v>
      </c>
      <c r="T53" s="127">
        <v>0</v>
      </c>
      <c r="U53" s="127">
        <v>0</v>
      </c>
      <c r="V53" s="127">
        <v>0</v>
      </c>
      <c r="W53" s="127">
        <v>0</v>
      </c>
      <c r="X53" s="127">
        <v>0</v>
      </c>
      <c r="Y53" s="127">
        <v>0</v>
      </c>
      <c r="Z53" s="127">
        <v>0</v>
      </c>
      <c r="AA53" s="127" t="s">
        <v>2511</v>
      </c>
      <c r="AB53" s="131" t="s">
        <v>996</v>
      </c>
      <c r="AC53" s="127" t="s">
        <v>1790</v>
      </c>
      <c r="AD53" s="131" t="s">
        <v>3</v>
      </c>
      <c r="AE53" s="131" t="s">
        <v>99</v>
      </c>
      <c r="AF53" s="131" t="b">
        <v>1</v>
      </c>
      <c r="AG53" s="131" t="e">
        <v>#REF!</v>
      </c>
    </row>
    <row r="54" spans="1:33" s="131" customFormat="1" ht="18" customHeight="1" x14ac:dyDescent="0.25">
      <c r="A54" s="125">
        <v>53</v>
      </c>
      <c r="B54" s="126" t="s">
        <v>442</v>
      </c>
      <c r="C54" s="126" t="s">
        <v>2611</v>
      </c>
      <c r="D54" s="126" t="s">
        <v>2563</v>
      </c>
      <c r="E54" s="127" t="s">
        <v>3</v>
      </c>
      <c r="F54" s="128" t="s">
        <v>2410</v>
      </c>
      <c r="G54" s="128" t="s">
        <v>3290</v>
      </c>
      <c r="H54" s="125" t="s">
        <v>993</v>
      </c>
      <c r="I54" s="125"/>
      <c r="J54" s="129"/>
      <c r="K54" s="130" t="s">
        <v>151</v>
      </c>
      <c r="L54" s="129"/>
      <c r="M54" s="127" t="s">
        <v>759</v>
      </c>
      <c r="N54" s="127" t="s">
        <v>1639</v>
      </c>
      <c r="O54" s="127" t="s">
        <v>1553</v>
      </c>
      <c r="P54" s="127">
        <v>0</v>
      </c>
      <c r="Q54" s="127">
        <v>2</v>
      </c>
      <c r="R54" s="127" t="s">
        <v>1458</v>
      </c>
      <c r="S54" s="127" t="s">
        <v>442</v>
      </c>
      <c r="T54" s="127">
        <v>0</v>
      </c>
      <c r="U54" s="127">
        <v>0</v>
      </c>
      <c r="V54" s="127">
        <v>0</v>
      </c>
      <c r="W54" s="127">
        <v>0</v>
      </c>
      <c r="X54" s="127">
        <v>0</v>
      </c>
      <c r="Y54" s="127">
        <v>0</v>
      </c>
      <c r="Z54" s="127">
        <v>0</v>
      </c>
      <c r="AA54" s="127" t="s">
        <v>2511</v>
      </c>
      <c r="AB54" s="131" t="s">
        <v>999</v>
      </c>
      <c r="AC54" s="127" t="s">
        <v>1791</v>
      </c>
      <c r="AD54" s="131" t="s">
        <v>3</v>
      </c>
      <c r="AE54" s="131" t="s">
        <v>151</v>
      </c>
      <c r="AF54" s="131" t="b">
        <v>1</v>
      </c>
      <c r="AG54" s="131" t="e">
        <v>#REF!</v>
      </c>
    </row>
    <row r="55" spans="1:33" s="131" customFormat="1" ht="18" customHeight="1" x14ac:dyDescent="0.25">
      <c r="A55" s="125">
        <v>54</v>
      </c>
      <c r="B55" s="126" t="s">
        <v>459</v>
      </c>
      <c r="C55" s="126" t="s">
        <v>2612</v>
      </c>
      <c r="D55" s="126" t="s">
        <v>2563</v>
      </c>
      <c r="E55" s="127" t="s">
        <v>1418</v>
      </c>
      <c r="F55" s="128" t="s">
        <v>2410</v>
      </c>
      <c r="G55" s="128" t="s">
        <v>3294</v>
      </c>
      <c r="H55" s="125"/>
      <c r="I55" s="125"/>
      <c r="J55" s="129" t="s">
        <v>1641</v>
      </c>
      <c r="K55" s="130" t="s">
        <v>147</v>
      </c>
      <c r="L55" s="129"/>
      <c r="M55" s="127" t="s">
        <v>759</v>
      </c>
      <c r="N55" s="127" t="s">
        <v>1641</v>
      </c>
      <c r="O55" s="127" t="s">
        <v>1553</v>
      </c>
      <c r="P55" s="127">
        <v>0</v>
      </c>
      <c r="Q55" s="127">
        <v>2</v>
      </c>
      <c r="R55" s="127" t="s">
        <v>1443</v>
      </c>
      <c r="S55" s="127" t="s">
        <v>459</v>
      </c>
      <c r="T55" s="127">
        <v>0</v>
      </c>
      <c r="U55" s="127">
        <v>0</v>
      </c>
      <c r="V55" s="127">
        <v>0</v>
      </c>
      <c r="W55" s="127">
        <v>0</v>
      </c>
      <c r="X55" s="127">
        <v>0</v>
      </c>
      <c r="Y55" s="127">
        <v>0</v>
      </c>
      <c r="Z55" s="127">
        <v>0</v>
      </c>
      <c r="AA55" s="127" t="s">
        <v>2511</v>
      </c>
      <c r="AB55" s="131" t="s">
        <v>603</v>
      </c>
      <c r="AC55" s="127" t="s">
        <v>1792</v>
      </c>
      <c r="AD55" s="131" t="s">
        <v>1418</v>
      </c>
      <c r="AE55" s="131" t="e">
        <v>#N/A</v>
      </c>
      <c r="AF55" s="131" t="e">
        <v>#N/A</v>
      </c>
      <c r="AG55" s="131" t="e">
        <v>#REF!</v>
      </c>
    </row>
    <row r="56" spans="1:33" s="131" customFormat="1" ht="18" customHeight="1" x14ac:dyDescent="0.25">
      <c r="A56" s="125">
        <v>55</v>
      </c>
      <c r="B56" s="126" t="s">
        <v>460</v>
      </c>
      <c r="C56" s="126" t="s">
        <v>2613</v>
      </c>
      <c r="D56" s="126" t="s">
        <v>2563</v>
      </c>
      <c r="E56" s="127" t="s">
        <v>3</v>
      </c>
      <c r="F56" s="128" t="s">
        <v>2410</v>
      </c>
      <c r="G56" s="128" t="s">
        <v>3294</v>
      </c>
      <c r="H56" s="125"/>
      <c r="I56" s="125"/>
      <c r="J56" s="129" t="s">
        <v>1641</v>
      </c>
      <c r="K56" s="130" t="s">
        <v>149</v>
      </c>
      <c r="L56" s="129"/>
      <c r="M56" s="127" t="s">
        <v>759</v>
      </c>
      <c r="N56" s="127" t="s">
        <v>1641</v>
      </c>
      <c r="O56" s="127" t="s">
        <v>1553</v>
      </c>
      <c r="P56" s="127">
        <v>0</v>
      </c>
      <c r="Q56" s="127">
        <v>2</v>
      </c>
      <c r="R56" s="127" t="s">
        <v>1450</v>
      </c>
      <c r="S56" s="127" t="s">
        <v>460</v>
      </c>
      <c r="T56" s="127">
        <v>0</v>
      </c>
      <c r="U56" s="127">
        <v>0</v>
      </c>
      <c r="V56" s="127">
        <v>0</v>
      </c>
      <c r="W56" s="127">
        <v>0</v>
      </c>
      <c r="X56" s="127">
        <v>0</v>
      </c>
      <c r="Y56" s="127">
        <v>0</v>
      </c>
      <c r="Z56" s="127">
        <v>0</v>
      </c>
      <c r="AA56" s="127" t="s">
        <v>2511</v>
      </c>
      <c r="AB56" s="131" t="s">
        <v>604</v>
      </c>
      <c r="AC56" s="127" t="s">
        <v>1793</v>
      </c>
      <c r="AD56" s="131" t="s">
        <v>3</v>
      </c>
      <c r="AE56" s="131" t="e">
        <v>#N/A</v>
      </c>
      <c r="AF56" s="131" t="e">
        <v>#N/A</v>
      </c>
      <c r="AG56" s="131" t="e">
        <v>#REF!</v>
      </c>
    </row>
    <row r="57" spans="1:33" s="131" customFormat="1" ht="18" customHeight="1" x14ac:dyDescent="0.25">
      <c r="A57" s="125">
        <v>56</v>
      </c>
      <c r="B57" s="126" t="s">
        <v>461</v>
      </c>
      <c r="C57" s="126" t="s">
        <v>2614</v>
      </c>
      <c r="D57" s="126" t="s">
        <v>2563</v>
      </c>
      <c r="E57" s="127" t="s">
        <v>3</v>
      </c>
      <c r="F57" s="128" t="s">
        <v>2411</v>
      </c>
      <c r="G57" s="128" t="s">
        <v>3289</v>
      </c>
      <c r="H57" s="125" t="s">
        <v>2394</v>
      </c>
      <c r="I57" s="125"/>
      <c r="J57" s="129"/>
      <c r="K57" s="130"/>
      <c r="L57" s="129"/>
      <c r="M57" s="127" t="s">
        <v>759</v>
      </c>
      <c r="N57" s="127" t="s">
        <v>1639</v>
      </c>
      <c r="O57" s="127" t="s">
        <v>1453</v>
      </c>
      <c r="P57" s="127" t="s">
        <v>812</v>
      </c>
      <c r="Q57" s="127">
        <v>0</v>
      </c>
      <c r="R57" s="127">
        <v>0</v>
      </c>
      <c r="S57" s="127">
        <v>0</v>
      </c>
      <c r="T57" s="127">
        <v>0</v>
      </c>
      <c r="U57" s="127">
        <v>0</v>
      </c>
      <c r="V57" s="127">
        <v>0</v>
      </c>
      <c r="W57" s="127">
        <v>0</v>
      </c>
      <c r="X57" s="127">
        <v>0</v>
      </c>
      <c r="Y57" s="127">
        <v>0</v>
      </c>
      <c r="Z57" s="127">
        <v>0</v>
      </c>
      <c r="AA57" s="127" t="s">
        <v>2511</v>
      </c>
      <c r="AB57" s="131" t="s">
        <v>605</v>
      </c>
      <c r="AC57" s="127" t="s">
        <v>1794</v>
      </c>
      <c r="AD57" s="131" t="s">
        <v>3</v>
      </c>
      <c r="AE57" s="131" t="e">
        <v>#N/A</v>
      </c>
      <c r="AF57" s="131" t="e">
        <v>#N/A</v>
      </c>
      <c r="AG57" s="131" t="e">
        <v>#REF!</v>
      </c>
    </row>
    <row r="58" spans="1:33" s="131" customFormat="1" ht="18" customHeight="1" x14ac:dyDescent="0.25">
      <c r="A58" s="125">
        <v>57</v>
      </c>
      <c r="B58" s="126" t="s">
        <v>462</v>
      </c>
      <c r="C58" s="126" t="s">
        <v>2615</v>
      </c>
      <c r="D58" s="126" t="s">
        <v>2563</v>
      </c>
      <c r="E58" s="127" t="s">
        <v>3</v>
      </c>
      <c r="F58" s="128" t="s">
        <v>2411</v>
      </c>
      <c r="G58" s="128" t="s">
        <v>3289</v>
      </c>
      <c r="H58" s="125" t="s">
        <v>2394</v>
      </c>
      <c r="I58" s="125"/>
      <c r="J58" s="129"/>
      <c r="K58" s="130"/>
      <c r="L58" s="129"/>
      <c r="M58" s="127" t="s">
        <v>759</v>
      </c>
      <c r="N58" s="127" t="s">
        <v>1639</v>
      </c>
      <c r="O58" s="127" t="s">
        <v>3295</v>
      </c>
      <c r="P58" s="127" t="s">
        <v>812</v>
      </c>
      <c r="Q58" s="127">
        <v>0</v>
      </c>
      <c r="R58" s="127">
        <v>0</v>
      </c>
      <c r="S58" s="127">
        <v>0</v>
      </c>
      <c r="T58" s="127">
        <v>0</v>
      </c>
      <c r="U58" s="127">
        <v>0</v>
      </c>
      <c r="V58" s="127">
        <v>0</v>
      </c>
      <c r="W58" s="127">
        <v>0</v>
      </c>
      <c r="X58" s="127">
        <v>0</v>
      </c>
      <c r="Y58" s="127">
        <v>0</v>
      </c>
      <c r="Z58" s="127">
        <v>0</v>
      </c>
      <c r="AA58" s="127" t="s">
        <v>2511</v>
      </c>
      <c r="AB58" s="131" t="s">
        <v>606</v>
      </c>
      <c r="AC58" s="127" t="s">
        <v>1795</v>
      </c>
      <c r="AD58" s="131" t="s">
        <v>3</v>
      </c>
      <c r="AE58" s="131" t="e">
        <v>#N/A</v>
      </c>
      <c r="AF58" s="131" t="e">
        <v>#N/A</v>
      </c>
      <c r="AG58" s="131" t="e">
        <v>#REF!</v>
      </c>
    </row>
    <row r="59" spans="1:33" s="131" customFormat="1" ht="18" customHeight="1" x14ac:dyDescent="0.25">
      <c r="A59" s="125">
        <v>58</v>
      </c>
      <c r="B59" s="126" t="s">
        <v>463</v>
      </c>
      <c r="C59" s="126" t="s">
        <v>2616</v>
      </c>
      <c r="D59" s="126" t="s">
        <v>2563</v>
      </c>
      <c r="E59" s="127" t="s">
        <v>1418</v>
      </c>
      <c r="F59" s="128" t="s">
        <v>2411</v>
      </c>
      <c r="G59" s="128" t="s">
        <v>3289</v>
      </c>
      <c r="H59" s="125" t="s">
        <v>2394</v>
      </c>
      <c r="I59" s="125"/>
      <c r="J59" s="129"/>
      <c r="K59" s="130"/>
      <c r="L59" s="129"/>
      <c r="M59" s="127" t="s">
        <v>759</v>
      </c>
      <c r="N59" s="127" t="s">
        <v>1639</v>
      </c>
      <c r="O59" s="127" t="s">
        <v>1446</v>
      </c>
      <c r="P59" s="127" t="s">
        <v>812</v>
      </c>
      <c r="Q59" s="127">
        <v>0</v>
      </c>
      <c r="R59" s="127">
        <v>0</v>
      </c>
      <c r="S59" s="127">
        <v>0</v>
      </c>
      <c r="T59" s="127">
        <v>0</v>
      </c>
      <c r="U59" s="127">
        <v>0</v>
      </c>
      <c r="V59" s="127">
        <v>0</v>
      </c>
      <c r="W59" s="127">
        <v>0</v>
      </c>
      <c r="X59" s="127">
        <v>0</v>
      </c>
      <c r="Y59" s="127">
        <v>0</v>
      </c>
      <c r="Z59" s="127">
        <v>0</v>
      </c>
      <c r="AA59" s="127" t="s">
        <v>2511</v>
      </c>
      <c r="AB59" s="131" t="s">
        <v>607</v>
      </c>
      <c r="AC59" s="127" t="s">
        <v>1796</v>
      </c>
      <c r="AD59" s="131" t="s">
        <v>1418</v>
      </c>
      <c r="AE59" s="131" t="e">
        <v>#N/A</v>
      </c>
      <c r="AF59" s="131" t="e">
        <v>#N/A</v>
      </c>
      <c r="AG59" s="131" t="e">
        <v>#REF!</v>
      </c>
    </row>
    <row r="60" spans="1:33" s="131" customFormat="1" ht="18" customHeight="1" x14ac:dyDescent="0.25">
      <c r="A60" s="125">
        <v>59</v>
      </c>
      <c r="B60" s="126" t="s">
        <v>467</v>
      </c>
      <c r="C60" s="126" t="s">
        <v>2617</v>
      </c>
      <c r="D60" s="126" t="s">
        <v>2563</v>
      </c>
      <c r="E60" s="127" t="s">
        <v>3</v>
      </c>
      <c r="F60" s="128" t="s">
        <v>2410</v>
      </c>
      <c r="G60" s="128" t="s">
        <v>3294</v>
      </c>
      <c r="H60" s="125"/>
      <c r="I60" s="125"/>
      <c r="J60" s="132" t="s">
        <v>1641</v>
      </c>
      <c r="K60" s="130" t="s">
        <v>151</v>
      </c>
      <c r="L60" s="129"/>
      <c r="M60" s="127" t="s">
        <v>759</v>
      </c>
      <c r="N60" s="127" t="s">
        <v>1641</v>
      </c>
      <c r="O60" s="127" t="s">
        <v>1553</v>
      </c>
      <c r="P60" s="127">
        <v>0</v>
      </c>
      <c r="Q60" s="127">
        <v>2</v>
      </c>
      <c r="R60" s="127" t="s">
        <v>1458</v>
      </c>
      <c r="S60" s="127" t="s">
        <v>467</v>
      </c>
      <c r="T60" s="127">
        <v>0</v>
      </c>
      <c r="U60" s="127">
        <v>0</v>
      </c>
      <c r="V60" s="127">
        <v>0</v>
      </c>
      <c r="W60" s="127">
        <v>0</v>
      </c>
      <c r="X60" s="127">
        <v>0</v>
      </c>
      <c r="Y60" s="127">
        <v>0</v>
      </c>
      <c r="Z60" s="127">
        <v>0</v>
      </c>
      <c r="AA60" s="127" t="s">
        <v>2511</v>
      </c>
      <c r="AB60" s="131" t="s">
        <v>608</v>
      </c>
      <c r="AC60" s="127" t="s">
        <v>1797</v>
      </c>
      <c r="AD60" s="131" t="s">
        <v>3</v>
      </c>
      <c r="AE60" s="131" t="e">
        <v>#N/A</v>
      </c>
      <c r="AF60" s="131" t="e">
        <v>#N/A</v>
      </c>
      <c r="AG60" s="131" t="e">
        <v>#REF!</v>
      </c>
    </row>
    <row r="61" spans="1:33" s="131" customFormat="1" ht="18" customHeight="1" x14ac:dyDescent="0.25">
      <c r="A61" s="125">
        <v>60</v>
      </c>
      <c r="B61" s="126" t="s">
        <v>468</v>
      </c>
      <c r="C61" s="126" t="s">
        <v>2618</v>
      </c>
      <c r="D61" s="126" t="s">
        <v>2557</v>
      </c>
      <c r="E61" s="127" t="s">
        <v>3</v>
      </c>
      <c r="F61" s="128" t="s">
        <v>2410</v>
      </c>
      <c r="G61" s="128" t="s">
        <v>3290</v>
      </c>
      <c r="H61" s="125" t="s">
        <v>998</v>
      </c>
      <c r="I61" s="125"/>
      <c r="J61" s="129"/>
      <c r="K61" s="130" t="s">
        <v>40</v>
      </c>
      <c r="L61" s="129"/>
      <c r="M61" s="127" t="s">
        <v>759</v>
      </c>
      <c r="N61" s="127" t="s">
        <v>1639</v>
      </c>
      <c r="O61" s="127" t="s">
        <v>1553</v>
      </c>
      <c r="P61" s="127">
        <v>0</v>
      </c>
      <c r="Q61" s="127">
        <v>2</v>
      </c>
      <c r="R61" s="127" t="s">
        <v>1438</v>
      </c>
      <c r="S61" s="127" t="s">
        <v>468</v>
      </c>
      <c r="T61" s="127">
        <v>0</v>
      </c>
      <c r="U61" s="127">
        <v>0</v>
      </c>
      <c r="V61" s="127">
        <v>0</v>
      </c>
      <c r="W61" s="127">
        <v>0</v>
      </c>
      <c r="X61" s="127">
        <v>0</v>
      </c>
      <c r="Y61" s="127">
        <v>0</v>
      </c>
      <c r="Z61" s="127">
        <v>0</v>
      </c>
      <c r="AA61" s="127" t="s">
        <v>2511</v>
      </c>
      <c r="AB61" s="131" t="s">
        <v>609</v>
      </c>
      <c r="AC61" s="127" t="s">
        <v>1798</v>
      </c>
      <c r="AD61" s="131" t="s">
        <v>3</v>
      </c>
      <c r="AE61" s="131" t="s">
        <v>40</v>
      </c>
      <c r="AF61" s="131" t="b">
        <v>1</v>
      </c>
      <c r="AG61" s="131" t="e">
        <v>#REF!</v>
      </c>
    </row>
    <row r="62" spans="1:33" s="131" customFormat="1" ht="18" customHeight="1" x14ac:dyDescent="0.25">
      <c r="A62" s="125">
        <v>61</v>
      </c>
      <c r="B62" s="126" t="s">
        <v>540</v>
      </c>
      <c r="C62" s="126" t="s">
        <v>2619</v>
      </c>
      <c r="D62" s="126" t="s">
        <v>2557</v>
      </c>
      <c r="E62" s="127" t="s">
        <v>3</v>
      </c>
      <c r="F62" s="128"/>
      <c r="G62" s="128" t="s">
        <v>3290</v>
      </c>
      <c r="H62" s="125"/>
      <c r="I62" s="125"/>
      <c r="J62" s="132" t="s">
        <v>1641</v>
      </c>
      <c r="K62" s="130"/>
      <c r="L62" s="129"/>
      <c r="M62" s="127" t="s">
        <v>757</v>
      </c>
      <c r="N62" s="127" t="s">
        <v>1641</v>
      </c>
      <c r="O62" s="127" t="s">
        <v>1461</v>
      </c>
      <c r="P62" s="127">
        <v>0</v>
      </c>
      <c r="Q62" s="127">
        <v>0</v>
      </c>
      <c r="R62" s="127">
        <v>0</v>
      </c>
      <c r="S62" s="127">
        <v>0</v>
      </c>
      <c r="T62" s="127">
        <v>0</v>
      </c>
      <c r="U62" s="127">
        <v>0</v>
      </c>
      <c r="V62" s="127">
        <v>0</v>
      </c>
      <c r="W62" s="127" t="s">
        <v>1460</v>
      </c>
      <c r="X62" s="127" t="s">
        <v>540</v>
      </c>
      <c r="Y62" s="127" t="s">
        <v>2261</v>
      </c>
      <c r="Z62" s="127">
        <v>0</v>
      </c>
      <c r="AA62" s="127" t="s">
        <v>2511</v>
      </c>
      <c r="AB62" s="131" t="s">
        <v>611</v>
      </c>
      <c r="AC62" s="127" t="s">
        <v>1799</v>
      </c>
      <c r="AD62" s="131" t="s">
        <v>3</v>
      </c>
      <c r="AE62" s="131" t="e">
        <v>#N/A</v>
      </c>
      <c r="AF62" s="131" t="e">
        <v>#N/A</v>
      </c>
      <c r="AG62" s="131" t="e">
        <v>#REF!</v>
      </c>
    </row>
    <row r="63" spans="1:33" s="131" customFormat="1" ht="18" customHeight="1" x14ac:dyDescent="0.25">
      <c r="A63" s="125">
        <v>62</v>
      </c>
      <c r="B63" s="126" t="s">
        <v>469</v>
      </c>
      <c r="C63" s="126" t="s">
        <v>2620</v>
      </c>
      <c r="D63" s="126" t="s">
        <v>2557</v>
      </c>
      <c r="E63" s="127" t="s">
        <v>3</v>
      </c>
      <c r="F63" s="128" t="s">
        <v>2410</v>
      </c>
      <c r="G63" s="128" t="s">
        <v>3294</v>
      </c>
      <c r="H63" s="125"/>
      <c r="I63" s="125"/>
      <c r="J63" s="132" t="s">
        <v>1641</v>
      </c>
      <c r="K63" s="130" t="s">
        <v>53</v>
      </c>
      <c r="L63" s="129"/>
      <c r="M63" s="127" t="s">
        <v>759</v>
      </c>
      <c r="N63" s="127" t="s">
        <v>1641</v>
      </c>
      <c r="O63" s="127" t="s">
        <v>1553</v>
      </c>
      <c r="P63" s="127">
        <v>0</v>
      </c>
      <c r="Q63" s="127">
        <v>2</v>
      </c>
      <c r="R63" s="127" t="s">
        <v>1462</v>
      </c>
      <c r="S63" s="127" t="s">
        <v>469</v>
      </c>
      <c r="T63" s="127">
        <v>0</v>
      </c>
      <c r="U63" s="127">
        <v>0</v>
      </c>
      <c r="V63" s="127">
        <v>0</v>
      </c>
      <c r="W63" s="127">
        <v>0</v>
      </c>
      <c r="X63" s="127">
        <v>0</v>
      </c>
      <c r="Y63" s="127">
        <v>0</v>
      </c>
      <c r="Z63" s="127">
        <v>0</v>
      </c>
      <c r="AA63" s="127" t="s">
        <v>2511</v>
      </c>
      <c r="AB63" s="131" t="s">
        <v>612</v>
      </c>
      <c r="AC63" s="127" t="s">
        <v>1800</v>
      </c>
      <c r="AD63" s="131" t="s">
        <v>3</v>
      </c>
      <c r="AE63" s="131" t="s">
        <v>53</v>
      </c>
      <c r="AF63" s="131" t="b">
        <v>1</v>
      </c>
      <c r="AG63" s="131" t="e">
        <v>#REF!</v>
      </c>
    </row>
    <row r="64" spans="1:33" s="131" customFormat="1" ht="18" customHeight="1" x14ac:dyDescent="0.25">
      <c r="A64" s="125">
        <v>63</v>
      </c>
      <c r="B64" s="126" t="s">
        <v>470</v>
      </c>
      <c r="C64" s="126" t="s">
        <v>2621</v>
      </c>
      <c r="D64" s="126" t="s">
        <v>2563</v>
      </c>
      <c r="E64" s="127" t="s">
        <v>1418</v>
      </c>
      <c r="F64" s="128" t="s">
        <v>2410</v>
      </c>
      <c r="G64" s="128" t="s">
        <v>3294</v>
      </c>
      <c r="H64" s="125"/>
      <c r="I64" s="125"/>
      <c r="J64" s="132" t="s">
        <v>1641</v>
      </c>
      <c r="K64" s="130" t="s">
        <v>148</v>
      </c>
      <c r="L64" s="129"/>
      <c r="M64" s="127" t="s">
        <v>759</v>
      </c>
      <c r="N64" s="127" t="s">
        <v>1641</v>
      </c>
      <c r="O64" s="127" t="s">
        <v>1553</v>
      </c>
      <c r="P64" s="127">
        <v>0</v>
      </c>
      <c r="Q64" s="127">
        <v>2</v>
      </c>
      <c r="R64" s="127" t="s">
        <v>1463</v>
      </c>
      <c r="S64" s="127" t="s">
        <v>470</v>
      </c>
      <c r="T64" s="127">
        <v>0</v>
      </c>
      <c r="U64" s="127">
        <v>0</v>
      </c>
      <c r="V64" s="127">
        <v>0</v>
      </c>
      <c r="W64" s="127">
        <v>0</v>
      </c>
      <c r="X64" s="127">
        <v>0</v>
      </c>
      <c r="Y64" s="127">
        <v>0</v>
      </c>
      <c r="Z64" s="127">
        <v>0</v>
      </c>
      <c r="AA64" s="127" t="s">
        <v>2511</v>
      </c>
      <c r="AB64" s="131" t="s">
        <v>613</v>
      </c>
      <c r="AC64" s="127" t="s">
        <v>1801</v>
      </c>
      <c r="AD64" s="131" t="s">
        <v>1418</v>
      </c>
      <c r="AE64" s="131" t="s">
        <v>148</v>
      </c>
      <c r="AF64" s="131" t="b">
        <v>1</v>
      </c>
      <c r="AG64" s="131" t="e">
        <v>#REF!</v>
      </c>
    </row>
    <row r="65" spans="1:33" s="131" customFormat="1" ht="18" customHeight="1" x14ac:dyDescent="0.25">
      <c r="A65" s="125">
        <v>64</v>
      </c>
      <c r="B65" s="126" t="s">
        <v>483</v>
      </c>
      <c r="C65" s="126" t="s">
        <v>2622</v>
      </c>
      <c r="D65" s="126" t="s">
        <v>2563</v>
      </c>
      <c r="E65" s="127" t="s">
        <v>1418</v>
      </c>
      <c r="F65" s="128" t="s">
        <v>2411</v>
      </c>
      <c r="G65" s="128" t="s">
        <v>3289</v>
      </c>
      <c r="H65" s="125" t="s">
        <v>1732</v>
      </c>
      <c r="I65" s="125"/>
      <c r="J65" s="129"/>
      <c r="K65" s="130"/>
      <c r="L65" s="129"/>
      <c r="M65" s="127" t="s">
        <v>757</v>
      </c>
      <c r="N65" s="127" t="s">
        <v>1639</v>
      </c>
      <c r="O65" s="127" t="s">
        <v>3296</v>
      </c>
      <c r="P65" s="127" t="s">
        <v>812</v>
      </c>
      <c r="Q65" s="127">
        <v>0</v>
      </c>
      <c r="R65" s="127">
        <v>0</v>
      </c>
      <c r="S65" s="127">
        <v>0</v>
      </c>
      <c r="T65" s="127">
        <v>0</v>
      </c>
      <c r="U65" s="127">
        <v>0</v>
      </c>
      <c r="V65" s="127">
        <v>0</v>
      </c>
      <c r="W65" s="127">
        <v>0</v>
      </c>
      <c r="X65" s="127">
        <v>0</v>
      </c>
      <c r="Y65" s="127">
        <v>0</v>
      </c>
      <c r="Z65" s="127">
        <v>0</v>
      </c>
      <c r="AA65" s="127" t="s">
        <v>2511</v>
      </c>
      <c r="AB65" s="131" t="s">
        <v>1008</v>
      </c>
      <c r="AC65" s="127" t="s">
        <v>1802</v>
      </c>
      <c r="AD65" s="131" t="s">
        <v>1418</v>
      </c>
      <c r="AE65" s="131" t="e">
        <v>#N/A</v>
      </c>
      <c r="AF65" s="131" t="e">
        <v>#N/A</v>
      </c>
      <c r="AG65" s="131" t="e">
        <v>#REF!</v>
      </c>
    </row>
    <row r="66" spans="1:33" s="131" customFormat="1" ht="18" customHeight="1" x14ac:dyDescent="0.25">
      <c r="A66" s="125">
        <v>65</v>
      </c>
      <c r="B66" s="126" t="s">
        <v>541</v>
      </c>
      <c r="C66" s="126" t="s">
        <v>2623</v>
      </c>
      <c r="D66" s="126" t="s">
        <v>2577</v>
      </c>
      <c r="E66" s="127" t="s">
        <v>841</v>
      </c>
      <c r="F66" s="128" t="s">
        <v>2410</v>
      </c>
      <c r="G66" s="128" t="s">
        <v>3290</v>
      </c>
      <c r="H66" s="125"/>
      <c r="I66" s="125"/>
      <c r="J66" s="129" t="s">
        <v>1641</v>
      </c>
      <c r="K66" s="130" t="s">
        <v>57</v>
      </c>
      <c r="L66" s="129"/>
      <c r="M66" s="127" t="s">
        <v>759</v>
      </c>
      <c r="N66" s="127" t="s">
        <v>1641</v>
      </c>
      <c r="O66" s="127" t="s">
        <v>1553</v>
      </c>
      <c r="P66" s="127">
        <v>0</v>
      </c>
      <c r="Q66" s="127">
        <v>2</v>
      </c>
      <c r="R66" s="127" t="s">
        <v>1448</v>
      </c>
      <c r="S66" s="127" t="s">
        <v>541</v>
      </c>
      <c r="T66" s="127">
        <v>0</v>
      </c>
      <c r="U66" s="127">
        <v>0</v>
      </c>
      <c r="V66" s="127">
        <v>0</v>
      </c>
      <c r="W66" s="127">
        <v>0</v>
      </c>
      <c r="X66" s="127">
        <v>0</v>
      </c>
      <c r="Y66" s="127">
        <v>0</v>
      </c>
      <c r="Z66" s="127">
        <v>0</v>
      </c>
      <c r="AA66" s="127" t="s">
        <v>2511</v>
      </c>
      <c r="AB66" s="131" t="s">
        <v>614</v>
      </c>
      <c r="AC66" s="127" t="s">
        <v>1806</v>
      </c>
      <c r="AD66" s="131" t="s">
        <v>841</v>
      </c>
      <c r="AE66" s="131" t="s">
        <v>57</v>
      </c>
      <c r="AF66" s="131" t="b">
        <v>1</v>
      </c>
      <c r="AG66" s="131" t="e">
        <v>#REF!</v>
      </c>
    </row>
    <row r="67" spans="1:33" s="131" customFormat="1" ht="18" customHeight="1" x14ac:dyDescent="0.25">
      <c r="A67" s="125">
        <v>66</v>
      </c>
      <c r="B67" s="126" t="s">
        <v>533</v>
      </c>
      <c r="C67" s="126" t="s">
        <v>2624</v>
      </c>
      <c r="D67" s="126" t="s">
        <v>2577</v>
      </c>
      <c r="E67" s="127" t="s">
        <v>841</v>
      </c>
      <c r="F67" s="128" t="s">
        <v>2411</v>
      </c>
      <c r="G67" s="128" t="s">
        <v>3289</v>
      </c>
      <c r="H67" s="125" t="s">
        <v>2394</v>
      </c>
      <c r="I67" s="125"/>
      <c r="J67" s="129"/>
      <c r="K67" s="130"/>
      <c r="L67" s="129"/>
      <c r="M67" s="127" t="s">
        <v>759</v>
      </c>
      <c r="N67" s="127" t="s">
        <v>1639</v>
      </c>
      <c r="O67" s="127" t="s">
        <v>1520</v>
      </c>
      <c r="P67" s="127" t="s">
        <v>812</v>
      </c>
      <c r="Q67" s="127">
        <v>0</v>
      </c>
      <c r="R67" s="127">
        <v>0</v>
      </c>
      <c r="S67" s="127">
        <v>0</v>
      </c>
      <c r="T67" s="127">
        <v>0</v>
      </c>
      <c r="U67" s="127">
        <v>0</v>
      </c>
      <c r="V67" s="127">
        <v>0</v>
      </c>
      <c r="W67" s="127">
        <v>0</v>
      </c>
      <c r="X67" s="127">
        <v>0</v>
      </c>
      <c r="Y67" s="127">
        <v>0</v>
      </c>
      <c r="Z67" s="127">
        <v>0</v>
      </c>
      <c r="AA67" s="127" t="s">
        <v>2511</v>
      </c>
      <c r="AB67" s="131" t="s">
        <v>615</v>
      </c>
      <c r="AC67" s="127" t="s">
        <v>1805</v>
      </c>
      <c r="AD67" s="131" t="s">
        <v>841</v>
      </c>
      <c r="AE67" s="131" t="e">
        <v>#N/A</v>
      </c>
      <c r="AF67" s="131" t="e">
        <v>#N/A</v>
      </c>
      <c r="AG67" s="131" t="e">
        <v>#REF!</v>
      </c>
    </row>
    <row r="68" spans="1:33" s="131" customFormat="1" ht="18" customHeight="1" x14ac:dyDescent="0.25">
      <c r="A68" s="125">
        <v>67</v>
      </c>
      <c r="B68" s="126" t="s">
        <v>534</v>
      </c>
      <c r="C68" s="126" t="s">
        <v>2625</v>
      </c>
      <c r="D68" s="126" t="s">
        <v>2563</v>
      </c>
      <c r="E68" s="127" t="s">
        <v>3</v>
      </c>
      <c r="F68" s="128" t="s">
        <v>2410</v>
      </c>
      <c r="G68" s="128" t="s">
        <v>3294</v>
      </c>
      <c r="H68" s="125" t="s">
        <v>2394</v>
      </c>
      <c r="I68" s="125"/>
      <c r="J68" s="129"/>
      <c r="K68" s="130" t="s">
        <v>28</v>
      </c>
      <c r="L68" s="129"/>
      <c r="M68" s="127" t="s">
        <v>759</v>
      </c>
      <c r="N68" s="127" t="s">
        <v>1639</v>
      </c>
      <c r="O68" s="127" t="s">
        <v>1427</v>
      </c>
      <c r="P68" s="127">
        <v>0</v>
      </c>
      <c r="Q68" s="127">
        <v>0</v>
      </c>
      <c r="R68" s="127">
        <v>0</v>
      </c>
      <c r="S68" s="127">
        <v>0</v>
      </c>
      <c r="T68" s="127">
        <v>2</v>
      </c>
      <c r="U68" s="127" t="s">
        <v>1440</v>
      </c>
      <c r="V68" s="127" t="s">
        <v>534</v>
      </c>
      <c r="W68" s="127">
        <v>0</v>
      </c>
      <c r="X68" s="127">
        <v>0</v>
      </c>
      <c r="Y68" s="127">
        <v>0</v>
      </c>
      <c r="Z68" s="127">
        <v>0</v>
      </c>
      <c r="AA68" s="127" t="s">
        <v>2511</v>
      </c>
      <c r="AB68" s="131" t="s">
        <v>616</v>
      </c>
      <c r="AC68" s="127" t="s">
        <v>1807</v>
      </c>
      <c r="AD68" s="131" t="s">
        <v>3</v>
      </c>
      <c r="AE68" s="131" t="s">
        <v>28</v>
      </c>
      <c r="AF68" s="131" t="b">
        <v>1</v>
      </c>
      <c r="AG68" s="131" t="e">
        <v>#REF!</v>
      </c>
    </row>
    <row r="69" spans="1:33" s="131" customFormat="1" ht="18" customHeight="1" x14ac:dyDescent="0.25">
      <c r="A69" s="125">
        <v>68</v>
      </c>
      <c r="B69" s="126" t="s">
        <v>505</v>
      </c>
      <c r="C69" s="126" t="s">
        <v>2626</v>
      </c>
      <c r="D69" s="126" t="s">
        <v>2577</v>
      </c>
      <c r="E69" s="127" t="s">
        <v>841</v>
      </c>
      <c r="F69" s="128" t="s">
        <v>2410</v>
      </c>
      <c r="G69" s="128" t="s">
        <v>3290</v>
      </c>
      <c r="H69" s="125"/>
      <c r="I69" s="125"/>
      <c r="J69" s="129" t="s">
        <v>1641</v>
      </c>
      <c r="K69" s="130" t="s">
        <v>51</v>
      </c>
      <c r="L69" s="129"/>
      <c r="M69" s="127" t="s">
        <v>759</v>
      </c>
      <c r="N69" s="127" t="s">
        <v>1641</v>
      </c>
      <c r="O69" s="127" t="s">
        <v>1553</v>
      </c>
      <c r="P69" s="127">
        <v>0</v>
      </c>
      <c r="Q69" s="127">
        <v>2</v>
      </c>
      <c r="R69" s="127" t="s">
        <v>1449</v>
      </c>
      <c r="S69" s="127" t="s">
        <v>505</v>
      </c>
      <c r="T69" s="127">
        <v>0</v>
      </c>
      <c r="U69" s="127">
        <v>0</v>
      </c>
      <c r="V69" s="127">
        <v>0</v>
      </c>
      <c r="W69" s="127">
        <v>0</v>
      </c>
      <c r="X69" s="127">
        <v>0</v>
      </c>
      <c r="Y69" s="127">
        <v>0</v>
      </c>
      <c r="Z69" s="127">
        <v>0</v>
      </c>
      <c r="AA69" s="127" t="s">
        <v>2511</v>
      </c>
      <c r="AB69" s="131" t="s">
        <v>617</v>
      </c>
      <c r="AC69" s="127" t="s">
        <v>1804</v>
      </c>
      <c r="AD69" s="131" t="s">
        <v>841</v>
      </c>
      <c r="AE69" s="131" t="s">
        <v>51</v>
      </c>
      <c r="AF69" s="131" t="b">
        <v>1</v>
      </c>
      <c r="AG69" s="131" t="e">
        <v>#REF!</v>
      </c>
    </row>
    <row r="70" spans="1:33" s="131" customFormat="1" ht="18" customHeight="1" x14ac:dyDescent="0.25">
      <c r="A70" s="125">
        <v>69</v>
      </c>
      <c r="B70" s="126" t="s">
        <v>506</v>
      </c>
      <c r="C70" s="126" t="s">
        <v>2627</v>
      </c>
      <c r="D70" s="126" t="s">
        <v>2577</v>
      </c>
      <c r="E70" s="127" t="s">
        <v>841</v>
      </c>
      <c r="F70" s="128" t="s">
        <v>2410</v>
      </c>
      <c r="G70" s="128" t="s">
        <v>3290</v>
      </c>
      <c r="H70" s="125" t="s">
        <v>2394</v>
      </c>
      <c r="I70" s="125"/>
      <c r="J70" s="129"/>
      <c r="K70" s="130" t="s">
        <v>50</v>
      </c>
      <c r="L70" s="129"/>
      <c r="M70" s="127" t="s">
        <v>759</v>
      </c>
      <c r="N70" s="127" t="s">
        <v>1639</v>
      </c>
      <c r="O70" s="127" t="s">
        <v>1553</v>
      </c>
      <c r="P70" s="127">
        <v>0</v>
      </c>
      <c r="Q70" s="127">
        <v>2</v>
      </c>
      <c r="R70" s="127" t="s">
        <v>797</v>
      </c>
      <c r="S70" s="127" t="s">
        <v>506</v>
      </c>
      <c r="T70" s="127">
        <v>0</v>
      </c>
      <c r="U70" s="127">
        <v>0</v>
      </c>
      <c r="V70" s="127">
        <v>0</v>
      </c>
      <c r="W70" s="127">
        <v>0</v>
      </c>
      <c r="X70" s="127">
        <v>0</v>
      </c>
      <c r="Y70" s="127">
        <v>0</v>
      </c>
      <c r="Z70" s="127">
        <v>0</v>
      </c>
      <c r="AA70" s="127" t="s">
        <v>2511</v>
      </c>
      <c r="AB70" s="131" t="s">
        <v>618</v>
      </c>
      <c r="AC70" s="127" t="s">
        <v>1803</v>
      </c>
      <c r="AD70" s="131" t="s">
        <v>841</v>
      </c>
      <c r="AE70" s="131" t="e">
        <v>#N/A</v>
      </c>
      <c r="AF70" s="131" t="e">
        <v>#N/A</v>
      </c>
      <c r="AG70" s="131" t="e">
        <v>#REF!</v>
      </c>
    </row>
    <row r="71" spans="1:33" s="131" customFormat="1" ht="18" customHeight="1" x14ac:dyDescent="0.25">
      <c r="A71" s="125">
        <v>70</v>
      </c>
      <c r="B71" s="126" t="s">
        <v>507</v>
      </c>
      <c r="C71" s="126" t="s">
        <v>2628</v>
      </c>
      <c r="D71" s="126" t="s">
        <v>2563</v>
      </c>
      <c r="E71" s="127" t="s">
        <v>3</v>
      </c>
      <c r="F71" s="128" t="s">
        <v>2410</v>
      </c>
      <c r="G71" s="128" t="s">
        <v>3290</v>
      </c>
      <c r="H71" s="125"/>
      <c r="I71" s="125"/>
      <c r="J71" s="129" t="s">
        <v>1641</v>
      </c>
      <c r="K71" s="130" t="s">
        <v>53</v>
      </c>
      <c r="L71" s="129"/>
      <c r="M71" s="127" t="s">
        <v>759</v>
      </c>
      <c r="N71" s="127" t="s">
        <v>1641</v>
      </c>
      <c r="O71" s="127" t="s">
        <v>1553</v>
      </c>
      <c r="P71" s="127">
        <v>0</v>
      </c>
      <c r="Q71" s="127">
        <v>2</v>
      </c>
      <c r="R71" s="127" t="s">
        <v>1462</v>
      </c>
      <c r="S71" s="127" t="s">
        <v>507</v>
      </c>
      <c r="T71" s="127">
        <v>0</v>
      </c>
      <c r="U71" s="127">
        <v>0</v>
      </c>
      <c r="V71" s="127">
        <v>0</v>
      </c>
      <c r="W71" s="127">
        <v>0</v>
      </c>
      <c r="X71" s="127">
        <v>0</v>
      </c>
      <c r="Y71" s="127">
        <v>0</v>
      </c>
      <c r="Z71" s="127">
        <v>0</v>
      </c>
      <c r="AA71" s="127" t="s">
        <v>2511</v>
      </c>
      <c r="AB71" s="131" t="s">
        <v>619</v>
      </c>
      <c r="AC71" s="127" t="s">
        <v>1736</v>
      </c>
      <c r="AD71" s="131" t="s">
        <v>3</v>
      </c>
      <c r="AE71" s="131" t="e">
        <v>#N/A</v>
      </c>
      <c r="AF71" s="131" t="e">
        <v>#N/A</v>
      </c>
      <c r="AG71" s="131" t="e">
        <v>#REF!</v>
      </c>
    </row>
    <row r="72" spans="1:33" s="131" customFormat="1" ht="18" customHeight="1" x14ac:dyDescent="0.25">
      <c r="A72" s="125">
        <v>71</v>
      </c>
      <c r="B72" s="126" t="s">
        <v>515</v>
      </c>
      <c r="C72" s="126" t="s">
        <v>2629</v>
      </c>
      <c r="D72" s="126" t="s">
        <v>2557</v>
      </c>
      <c r="E72" s="127" t="s">
        <v>3</v>
      </c>
      <c r="F72" s="128"/>
      <c r="G72" s="128" t="s">
        <v>3290</v>
      </c>
      <c r="H72" s="125"/>
      <c r="I72" s="125"/>
      <c r="J72" s="132" t="s">
        <v>1641</v>
      </c>
      <c r="K72" s="130"/>
      <c r="L72" s="129"/>
      <c r="M72" s="127" t="s">
        <v>757</v>
      </c>
      <c r="N72" s="127" t="s">
        <v>1641</v>
      </c>
      <c r="O72" s="127" t="s">
        <v>1461</v>
      </c>
      <c r="P72" s="127">
        <v>0</v>
      </c>
      <c r="Q72" s="127">
        <v>0</v>
      </c>
      <c r="R72" s="127">
        <v>0</v>
      </c>
      <c r="S72" s="127">
        <v>0</v>
      </c>
      <c r="T72" s="127">
        <v>0</v>
      </c>
      <c r="U72" s="127">
        <v>0</v>
      </c>
      <c r="V72" s="127">
        <v>0</v>
      </c>
      <c r="W72" s="127" t="s">
        <v>1435</v>
      </c>
      <c r="X72" s="127" t="s">
        <v>515</v>
      </c>
      <c r="Y72" s="127" t="s">
        <v>2261</v>
      </c>
      <c r="Z72" s="127">
        <v>0</v>
      </c>
      <c r="AA72" s="127" t="s">
        <v>2511</v>
      </c>
      <c r="AB72" s="131" t="s">
        <v>620</v>
      </c>
      <c r="AC72" s="127" t="s">
        <v>1808</v>
      </c>
      <c r="AD72" s="131" t="s">
        <v>3</v>
      </c>
      <c r="AE72" s="131" t="e">
        <v>#N/A</v>
      </c>
      <c r="AF72" s="131" t="e">
        <v>#N/A</v>
      </c>
      <c r="AG72" s="131" t="e">
        <v>#REF!</v>
      </c>
    </row>
    <row r="73" spans="1:33" s="131" customFormat="1" ht="18" customHeight="1" x14ac:dyDescent="0.25">
      <c r="A73" s="125">
        <v>72</v>
      </c>
      <c r="B73" s="126" t="s">
        <v>561</v>
      </c>
      <c r="C73" s="126" t="s">
        <v>2630</v>
      </c>
      <c r="D73" s="126" t="s">
        <v>2563</v>
      </c>
      <c r="E73" s="127" t="s">
        <v>1418</v>
      </c>
      <c r="F73" s="128" t="s">
        <v>2410</v>
      </c>
      <c r="G73" s="128" t="s">
        <v>3290</v>
      </c>
      <c r="H73" s="125" t="s">
        <v>981</v>
      </c>
      <c r="I73" s="125"/>
      <c r="J73" s="132"/>
      <c r="K73" s="130" t="s">
        <v>44</v>
      </c>
      <c r="L73" s="129"/>
      <c r="M73" s="127" t="s">
        <v>759</v>
      </c>
      <c r="N73" s="127" t="s">
        <v>764</v>
      </c>
      <c r="O73" s="127" t="s">
        <v>1553</v>
      </c>
      <c r="P73" s="127">
        <v>0</v>
      </c>
      <c r="Q73" s="127">
        <v>2</v>
      </c>
      <c r="R73" s="127" t="s">
        <v>1452</v>
      </c>
      <c r="S73" s="127" t="s">
        <v>561</v>
      </c>
      <c r="T73" s="127">
        <v>0</v>
      </c>
      <c r="U73" s="127">
        <v>0</v>
      </c>
      <c r="V73" s="127">
        <v>0</v>
      </c>
      <c r="W73" s="127">
        <v>0</v>
      </c>
      <c r="X73" s="127">
        <v>0</v>
      </c>
      <c r="Y73" s="127">
        <v>0</v>
      </c>
      <c r="Z73" s="127">
        <v>0</v>
      </c>
      <c r="AA73" s="127" t="s">
        <v>2511</v>
      </c>
      <c r="AB73" s="131" t="s">
        <v>621</v>
      </c>
      <c r="AC73" s="127" t="s">
        <v>1809</v>
      </c>
      <c r="AD73" s="131" t="s">
        <v>1418</v>
      </c>
      <c r="AE73" s="131" t="s">
        <v>44</v>
      </c>
      <c r="AF73" s="131" t="b">
        <v>1</v>
      </c>
      <c r="AG73" s="131" t="e">
        <v>#REF!</v>
      </c>
    </row>
    <row r="74" spans="1:33" s="131" customFormat="1" ht="18" customHeight="1" x14ac:dyDescent="0.25">
      <c r="A74" s="125">
        <v>73</v>
      </c>
      <c r="B74" s="126" t="s">
        <v>562</v>
      </c>
      <c r="C74" s="126" t="s">
        <v>2631</v>
      </c>
      <c r="D74" s="126" t="s">
        <v>2577</v>
      </c>
      <c r="E74" s="127" t="s">
        <v>841</v>
      </c>
      <c r="F74" s="128" t="s">
        <v>2410</v>
      </c>
      <c r="G74" s="128" t="s">
        <v>3294</v>
      </c>
      <c r="H74" s="125" t="s">
        <v>986</v>
      </c>
      <c r="I74" s="125"/>
      <c r="J74" s="129"/>
      <c r="K74" s="16"/>
      <c r="L74" s="129"/>
      <c r="M74" s="127" t="s">
        <v>759</v>
      </c>
      <c r="N74" s="127" t="s">
        <v>1639</v>
      </c>
      <c r="O74" s="127" t="s">
        <v>1553</v>
      </c>
      <c r="P74" s="127">
        <v>0</v>
      </c>
      <c r="Q74" s="127">
        <v>2</v>
      </c>
      <c r="R74" s="127" t="s">
        <v>1449</v>
      </c>
      <c r="S74" s="127" t="s">
        <v>562</v>
      </c>
      <c r="T74" s="127">
        <v>0</v>
      </c>
      <c r="U74" s="127">
        <v>0</v>
      </c>
      <c r="V74" s="127">
        <v>0</v>
      </c>
      <c r="W74" s="127">
        <v>0</v>
      </c>
      <c r="X74" s="127">
        <v>0</v>
      </c>
      <c r="Y74" s="127">
        <v>0</v>
      </c>
      <c r="Z74" s="127">
        <v>0</v>
      </c>
      <c r="AA74" s="127" t="s">
        <v>2511</v>
      </c>
      <c r="AB74" s="131" t="s">
        <v>622</v>
      </c>
      <c r="AC74" s="127" t="s">
        <v>1810</v>
      </c>
      <c r="AD74" s="131" t="s">
        <v>841</v>
      </c>
      <c r="AE74" s="131" t="s">
        <v>51</v>
      </c>
      <c r="AF74" s="131" t="b">
        <v>0</v>
      </c>
      <c r="AG74" s="131" t="e">
        <v>#REF!</v>
      </c>
    </row>
    <row r="75" spans="1:33" s="131" customFormat="1" ht="18" customHeight="1" x14ac:dyDescent="0.25">
      <c r="A75" s="125">
        <v>74</v>
      </c>
      <c r="B75" s="126" t="s">
        <v>563</v>
      </c>
      <c r="C75" s="126" t="s">
        <v>2632</v>
      </c>
      <c r="D75" s="126" t="s">
        <v>2577</v>
      </c>
      <c r="E75" s="127" t="s">
        <v>841</v>
      </c>
      <c r="F75" s="128" t="s">
        <v>2410</v>
      </c>
      <c r="G75" s="128" t="s">
        <v>3294</v>
      </c>
      <c r="H75" s="125"/>
      <c r="I75" s="125"/>
      <c r="J75" s="132" t="s">
        <v>1641</v>
      </c>
      <c r="K75" s="16"/>
      <c r="L75" s="129"/>
      <c r="M75" s="127" t="s">
        <v>759</v>
      </c>
      <c r="N75" s="127" t="s">
        <v>1641</v>
      </c>
      <c r="O75" s="127" t="s">
        <v>1553</v>
      </c>
      <c r="P75" s="127">
        <v>0</v>
      </c>
      <c r="Q75" s="127">
        <v>2</v>
      </c>
      <c r="R75" s="127" t="s">
        <v>1464</v>
      </c>
      <c r="S75" s="127" t="s">
        <v>563</v>
      </c>
      <c r="T75" s="127">
        <v>0</v>
      </c>
      <c r="U75" s="127">
        <v>0</v>
      </c>
      <c r="V75" s="127">
        <v>0</v>
      </c>
      <c r="W75" s="127">
        <v>0</v>
      </c>
      <c r="X75" s="127">
        <v>0</v>
      </c>
      <c r="Y75" s="127">
        <v>0</v>
      </c>
      <c r="Z75" s="127">
        <v>0</v>
      </c>
      <c r="AA75" s="127" t="s">
        <v>2511</v>
      </c>
      <c r="AB75" s="131" t="s">
        <v>623</v>
      </c>
      <c r="AC75" s="127" t="s">
        <v>1811</v>
      </c>
      <c r="AD75" s="131" t="s">
        <v>841</v>
      </c>
      <c r="AE75" s="131" t="s">
        <v>56</v>
      </c>
      <c r="AF75" s="131" t="b">
        <v>0</v>
      </c>
      <c r="AG75" s="131" t="e">
        <v>#REF!</v>
      </c>
    </row>
    <row r="76" spans="1:33" s="131" customFormat="1" ht="18" customHeight="1" x14ac:dyDescent="0.25">
      <c r="A76" s="125">
        <v>75</v>
      </c>
      <c r="B76" s="126" t="s">
        <v>572</v>
      </c>
      <c r="C76" s="126" t="s">
        <v>2633</v>
      </c>
      <c r="D76" s="126" t="s">
        <v>2557</v>
      </c>
      <c r="E76" s="127" t="s">
        <v>3</v>
      </c>
      <c r="F76" s="128" t="s">
        <v>2410</v>
      </c>
      <c r="G76" s="128" t="s">
        <v>3294</v>
      </c>
      <c r="H76" s="125"/>
      <c r="I76" s="125"/>
      <c r="J76" s="132" t="s">
        <v>1641</v>
      </c>
      <c r="K76" s="130" t="s">
        <v>46</v>
      </c>
      <c r="L76" s="129"/>
      <c r="M76" s="127" t="s">
        <v>759</v>
      </c>
      <c r="N76" s="127" t="s">
        <v>1641</v>
      </c>
      <c r="O76" s="127" t="s">
        <v>1427</v>
      </c>
      <c r="P76" s="127">
        <v>0</v>
      </c>
      <c r="Q76" s="127">
        <v>0</v>
      </c>
      <c r="R76" s="127">
        <v>0</v>
      </c>
      <c r="S76" s="127">
        <v>0</v>
      </c>
      <c r="T76" s="127">
        <v>2</v>
      </c>
      <c r="U76" s="127" t="s">
        <v>1437</v>
      </c>
      <c r="V76" s="127" t="s">
        <v>572</v>
      </c>
      <c r="W76" s="127">
        <v>0</v>
      </c>
      <c r="X76" s="127">
        <v>0</v>
      </c>
      <c r="Y76" s="127">
        <v>0</v>
      </c>
      <c r="Z76" s="127">
        <v>0</v>
      </c>
      <c r="AA76" s="127" t="s">
        <v>2511</v>
      </c>
      <c r="AB76" s="131" t="s">
        <v>624</v>
      </c>
      <c r="AC76" s="127" t="s">
        <v>1812</v>
      </c>
      <c r="AD76" s="131" t="s">
        <v>3</v>
      </c>
      <c r="AE76" s="131" t="s">
        <v>46</v>
      </c>
      <c r="AF76" s="131" t="b">
        <v>1</v>
      </c>
      <c r="AG76" s="131" t="e">
        <v>#REF!</v>
      </c>
    </row>
    <row r="77" spans="1:33" s="131" customFormat="1" ht="18" customHeight="1" x14ac:dyDescent="0.25">
      <c r="A77" s="125">
        <v>76</v>
      </c>
      <c r="B77" s="133" t="s">
        <v>592</v>
      </c>
      <c r="C77" s="126" t="s">
        <v>2634</v>
      </c>
      <c r="D77" s="126" t="s">
        <v>2557</v>
      </c>
      <c r="E77" s="127" t="s">
        <v>3</v>
      </c>
      <c r="F77" s="128"/>
      <c r="G77" s="128" t="s">
        <v>3290</v>
      </c>
      <c r="H77" s="125"/>
      <c r="I77" s="125"/>
      <c r="J77" s="132" t="s">
        <v>1641</v>
      </c>
      <c r="K77" s="16"/>
      <c r="L77" s="129"/>
      <c r="M77" s="127" t="s">
        <v>759</v>
      </c>
      <c r="N77" s="127" t="s">
        <v>1641</v>
      </c>
      <c r="O77" s="127" t="s">
        <v>1553</v>
      </c>
      <c r="P77" s="127">
        <v>0</v>
      </c>
      <c r="Q77" s="127">
        <v>2</v>
      </c>
      <c r="R77" s="127" t="s">
        <v>1451</v>
      </c>
      <c r="S77" s="127" t="s">
        <v>592</v>
      </c>
      <c r="T77" s="127">
        <v>0</v>
      </c>
      <c r="U77" s="127">
        <v>0</v>
      </c>
      <c r="V77" s="127">
        <v>0</v>
      </c>
      <c r="W77" s="127">
        <v>0</v>
      </c>
      <c r="X77" s="127">
        <v>0</v>
      </c>
      <c r="Y77" s="127">
        <v>0</v>
      </c>
      <c r="Z77" s="127">
        <v>0</v>
      </c>
      <c r="AA77" s="127" t="s">
        <v>2511</v>
      </c>
      <c r="AB77" s="131" t="s">
        <v>734</v>
      </c>
      <c r="AC77" s="127" t="s">
        <v>1813</v>
      </c>
      <c r="AD77" s="131" t="s">
        <v>3</v>
      </c>
      <c r="AE77" s="131" t="e">
        <v>#N/A</v>
      </c>
      <c r="AF77" s="131" t="e">
        <v>#N/A</v>
      </c>
      <c r="AG77" s="131" t="e">
        <v>#REF!</v>
      </c>
    </row>
    <row r="78" spans="1:33" s="131" customFormat="1" ht="18" customHeight="1" x14ac:dyDescent="0.25">
      <c r="A78" s="125">
        <v>77</v>
      </c>
      <c r="B78" s="133" t="s">
        <v>595</v>
      </c>
      <c r="C78" s="126" t="s">
        <v>2635</v>
      </c>
      <c r="D78" s="126" t="s">
        <v>2563</v>
      </c>
      <c r="E78" s="127" t="s">
        <v>3</v>
      </c>
      <c r="F78" s="128"/>
      <c r="G78" s="128" t="s">
        <v>3290</v>
      </c>
      <c r="H78" s="125" t="s">
        <v>2394</v>
      </c>
      <c r="I78" s="125"/>
      <c r="J78" s="132"/>
      <c r="K78" s="16"/>
      <c r="L78" s="129"/>
      <c r="M78" s="127" t="s">
        <v>759</v>
      </c>
      <c r="N78" s="127" t="s">
        <v>1639</v>
      </c>
      <c r="O78" s="127" t="s">
        <v>1427</v>
      </c>
      <c r="P78" s="127">
        <v>0</v>
      </c>
      <c r="Q78" s="127">
        <v>0</v>
      </c>
      <c r="R78" s="127">
        <v>0</v>
      </c>
      <c r="S78" s="127">
        <v>0</v>
      </c>
      <c r="T78" s="127">
        <v>2</v>
      </c>
      <c r="U78" s="127" t="s">
        <v>1450</v>
      </c>
      <c r="V78" s="127" t="s">
        <v>595</v>
      </c>
      <c r="W78" s="127">
        <v>0</v>
      </c>
      <c r="X78" s="127">
        <v>0</v>
      </c>
      <c r="Y78" s="127">
        <v>0</v>
      </c>
      <c r="Z78" s="127">
        <v>0</v>
      </c>
      <c r="AA78" s="127" t="s">
        <v>2511</v>
      </c>
      <c r="AB78" s="131" t="s">
        <v>737</v>
      </c>
      <c r="AC78" s="127" t="s">
        <v>1814</v>
      </c>
      <c r="AD78" s="131" t="s">
        <v>3</v>
      </c>
      <c r="AE78" s="131" t="e">
        <v>#N/A</v>
      </c>
      <c r="AF78" s="131" t="e">
        <v>#N/A</v>
      </c>
      <c r="AG78" s="131" t="e">
        <v>#REF!</v>
      </c>
    </row>
    <row r="79" spans="1:33" s="131" customFormat="1" ht="18" customHeight="1" x14ac:dyDescent="0.25">
      <c r="A79" s="125">
        <v>78</v>
      </c>
      <c r="B79" s="133" t="s">
        <v>750</v>
      </c>
      <c r="C79" s="126" t="s">
        <v>2636</v>
      </c>
      <c r="D79" s="126" t="s">
        <v>2557</v>
      </c>
      <c r="E79" s="127" t="s">
        <v>3</v>
      </c>
      <c r="F79" s="128" t="s">
        <v>2410</v>
      </c>
      <c r="G79" s="128" t="s">
        <v>3294</v>
      </c>
      <c r="H79" s="125"/>
      <c r="I79" s="125"/>
      <c r="J79" s="132"/>
      <c r="K79" s="130" t="s">
        <v>43</v>
      </c>
      <c r="L79" s="129" t="s">
        <v>2550</v>
      </c>
      <c r="M79" s="127" t="s">
        <v>759</v>
      </c>
      <c r="N79" s="127" t="s">
        <v>764</v>
      </c>
      <c r="O79" s="127" t="s">
        <v>1427</v>
      </c>
      <c r="P79" s="127">
        <v>0</v>
      </c>
      <c r="Q79" s="127">
        <v>0</v>
      </c>
      <c r="R79" s="127">
        <v>0</v>
      </c>
      <c r="S79" s="127">
        <v>0</v>
      </c>
      <c r="T79" s="127">
        <v>2</v>
      </c>
      <c r="U79" s="127" t="s">
        <v>1456</v>
      </c>
      <c r="V79" s="127" t="s">
        <v>750</v>
      </c>
      <c r="W79" s="127">
        <v>0</v>
      </c>
      <c r="X79" s="127">
        <v>0</v>
      </c>
      <c r="Y79" s="127">
        <v>0</v>
      </c>
      <c r="Z79" s="127">
        <v>0</v>
      </c>
      <c r="AA79" s="127" t="s">
        <v>2511</v>
      </c>
      <c r="AB79" s="131" t="s">
        <v>751</v>
      </c>
      <c r="AC79" s="127" t="s">
        <v>1815</v>
      </c>
      <c r="AD79" s="131" t="s">
        <v>3</v>
      </c>
      <c r="AE79" s="131" t="s">
        <v>43</v>
      </c>
      <c r="AF79" s="131" t="b">
        <v>1</v>
      </c>
      <c r="AG79" s="131" t="e">
        <v>#REF!</v>
      </c>
    </row>
    <row r="80" spans="1:33" s="131" customFormat="1" ht="18" customHeight="1" x14ac:dyDescent="0.25">
      <c r="A80" s="125">
        <v>79</v>
      </c>
      <c r="B80" s="126" t="s">
        <v>831</v>
      </c>
      <c r="C80" s="126" t="s">
        <v>2637</v>
      </c>
      <c r="D80" s="126" t="s">
        <v>2563</v>
      </c>
      <c r="E80" s="127" t="s">
        <v>3</v>
      </c>
      <c r="F80" s="128" t="s">
        <v>2410</v>
      </c>
      <c r="G80" s="128" t="s">
        <v>3294</v>
      </c>
      <c r="H80" s="125"/>
      <c r="I80" s="125"/>
      <c r="J80" s="132" t="s">
        <v>1641</v>
      </c>
      <c r="K80" s="130" t="s">
        <v>28</v>
      </c>
      <c r="L80" s="129"/>
      <c r="M80" s="127" t="s">
        <v>759</v>
      </c>
      <c r="N80" s="127" t="s">
        <v>1641</v>
      </c>
      <c r="O80" s="127" t="s">
        <v>1427</v>
      </c>
      <c r="P80" s="127">
        <v>0</v>
      </c>
      <c r="Q80" s="127">
        <v>0</v>
      </c>
      <c r="R80" s="127">
        <v>0</v>
      </c>
      <c r="S80" s="127">
        <v>0</v>
      </c>
      <c r="T80" s="127">
        <v>2</v>
      </c>
      <c r="U80" s="127" t="s">
        <v>1440</v>
      </c>
      <c r="V80" s="127" t="s">
        <v>831</v>
      </c>
      <c r="W80" s="127">
        <v>0</v>
      </c>
      <c r="X80" s="127">
        <v>0</v>
      </c>
      <c r="Y80" s="127">
        <v>0</v>
      </c>
      <c r="Z80" s="127">
        <v>0</v>
      </c>
      <c r="AA80" s="127" t="s">
        <v>2511</v>
      </c>
      <c r="AB80" s="131" t="s">
        <v>826</v>
      </c>
      <c r="AC80" s="127" t="s">
        <v>2265</v>
      </c>
      <c r="AD80" s="131" t="s">
        <v>3</v>
      </c>
      <c r="AE80" s="131" t="e">
        <v>#N/A</v>
      </c>
      <c r="AF80" s="131" t="e">
        <v>#N/A</v>
      </c>
      <c r="AG80" s="131" t="e">
        <v>#REF!</v>
      </c>
    </row>
    <row r="81" spans="1:33" s="131" customFormat="1" ht="18" customHeight="1" x14ac:dyDescent="0.25">
      <c r="A81" s="125">
        <v>80</v>
      </c>
      <c r="B81" s="126" t="s">
        <v>844</v>
      </c>
      <c r="C81" s="126" t="s">
        <v>2638</v>
      </c>
      <c r="D81" s="126" t="s">
        <v>2557</v>
      </c>
      <c r="E81" s="127" t="s">
        <v>3</v>
      </c>
      <c r="F81" s="128" t="s">
        <v>2410</v>
      </c>
      <c r="G81" s="128" t="s">
        <v>3294</v>
      </c>
      <c r="H81" s="125"/>
      <c r="I81" s="125"/>
      <c r="J81" s="132" t="s">
        <v>1641</v>
      </c>
      <c r="K81" s="130" t="s">
        <v>45</v>
      </c>
      <c r="L81" s="129"/>
      <c r="M81" s="127" t="s">
        <v>759</v>
      </c>
      <c r="N81" s="127" t="s">
        <v>1641</v>
      </c>
      <c r="O81" s="127" t="s">
        <v>1427</v>
      </c>
      <c r="P81" s="127">
        <v>0</v>
      </c>
      <c r="Q81" s="127">
        <v>0</v>
      </c>
      <c r="R81" s="127">
        <v>0</v>
      </c>
      <c r="S81" s="127">
        <v>0</v>
      </c>
      <c r="T81" s="127">
        <v>2</v>
      </c>
      <c r="U81" s="127" t="s">
        <v>1435</v>
      </c>
      <c r="V81" s="127" t="s">
        <v>844</v>
      </c>
      <c r="W81" s="127">
        <v>0</v>
      </c>
      <c r="X81" s="127">
        <v>0</v>
      </c>
      <c r="Y81" s="127">
        <v>0</v>
      </c>
      <c r="Z81" s="127">
        <v>0</v>
      </c>
      <c r="AA81" s="127" t="s">
        <v>2511</v>
      </c>
      <c r="AB81" s="131" t="s">
        <v>1649</v>
      </c>
      <c r="AC81" s="127" t="s">
        <v>1737</v>
      </c>
      <c r="AD81" s="131" t="s">
        <v>3</v>
      </c>
      <c r="AE81" s="131" t="e">
        <v>#N/A</v>
      </c>
      <c r="AF81" s="131" t="e">
        <v>#N/A</v>
      </c>
      <c r="AG81" s="131" t="e">
        <v>#REF!</v>
      </c>
    </row>
    <row r="82" spans="1:33" s="131" customFormat="1" ht="15.75" x14ac:dyDescent="0.25">
      <c r="A82" s="125">
        <v>81</v>
      </c>
      <c r="B82" s="126" t="s">
        <v>2323</v>
      </c>
      <c r="C82" s="126" t="s">
        <v>2639</v>
      </c>
      <c r="D82" s="126" t="s">
        <v>2563</v>
      </c>
      <c r="E82" s="127" t="s">
        <v>1418</v>
      </c>
      <c r="F82" s="134" t="s">
        <v>2410</v>
      </c>
      <c r="G82" s="128" t="s">
        <v>3294</v>
      </c>
      <c r="H82" s="125"/>
      <c r="I82" s="125"/>
      <c r="J82" s="132" t="s">
        <v>1641</v>
      </c>
      <c r="K82" s="130" t="s">
        <v>463</v>
      </c>
      <c r="L82" s="129"/>
      <c r="M82" s="127"/>
      <c r="N82" s="127" t="s">
        <v>1641</v>
      </c>
      <c r="O82" s="127" t="s">
        <v>1427</v>
      </c>
      <c r="P82" s="127">
        <v>0</v>
      </c>
      <c r="Q82" s="127">
        <v>0</v>
      </c>
      <c r="R82" s="127">
        <v>0</v>
      </c>
      <c r="S82" s="127">
        <v>0</v>
      </c>
      <c r="T82" s="127">
        <v>2</v>
      </c>
      <c r="U82" s="127" t="s">
        <v>463</v>
      </c>
      <c r="V82" s="127" t="s">
        <v>2323</v>
      </c>
      <c r="W82" s="127">
        <v>0</v>
      </c>
      <c r="X82" s="127">
        <v>0</v>
      </c>
      <c r="Y82" s="127">
        <v>0</v>
      </c>
      <c r="Z82" s="127">
        <v>0</v>
      </c>
      <c r="AA82" s="127" t="s">
        <v>2511</v>
      </c>
      <c r="AB82" s="131" t="s">
        <v>2340</v>
      </c>
      <c r="AC82" s="127"/>
      <c r="AD82" s="131" t="s">
        <v>1418</v>
      </c>
      <c r="AE82" s="131" t="e">
        <v>#N/A</v>
      </c>
      <c r="AF82" s="131" t="e">
        <v>#N/A</v>
      </c>
      <c r="AG82" s="131" t="e">
        <v>#REF!</v>
      </c>
    </row>
    <row r="83" spans="1:33" s="131" customFormat="1" ht="18" customHeight="1" x14ac:dyDescent="0.25">
      <c r="A83" s="125">
        <v>82</v>
      </c>
      <c r="B83" s="126" t="s">
        <v>2396</v>
      </c>
      <c r="C83" s="126" t="s">
        <v>2640</v>
      </c>
      <c r="D83" s="126" t="s">
        <v>2577</v>
      </c>
      <c r="E83" s="127" t="s">
        <v>841</v>
      </c>
      <c r="F83" s="134" t="s">
        <v>2410</v>
      </c>
      <c r="G83" s="128" t="s">
        <v>3294</v>
      </c>
      <c r="H83" s="125"/>
      <c r="I83" s="125"/>
      <c r="J83" s="132"/>
      <c r="K83" s="130" t="s">
        <v>421</v>
      </c>
      <c r="L83" s="129" t="s">
        <v>2550</v>
      </c>
      <c r="M83" s="127" t="s">
        <v>2356</v>
      </c>
      <c r="N83" s="127" t="s">
        <v>764</v>
      </c>
      <c r="O83" s="127" t="s">
        <v>1427</v>
      </c>
      <c r="P83" s="127">
        <v>0</v>
      </c>
      <c r="Q83" s="127">
        <v>0</v>
      </c>
      <c r="R83" s="127">
        <v>0</v>
      </c>
      <c r="S83" s="127">
        <v>0</v>
      </c>
      <c r="T83" s="127">
        <v>2</v>
      </c>
      <c r="U83" s="127" t="s">
        <v>1555</v>
      </c>
      <c r="V83" s="127" t="s">
        <v>2396</v>
      </c>
      <c r="W83" s="127">
        <v>0</v>
      </c>
      <c r="X83" s="127">
        <v>0</v>
      </c>
      <c r="Y83" s="127">
        <v>0</v>
      </c>
      <c r="Z83" s="127">
        <v>0</v>
      </c>
      <c r="AA83" s="127" t="s">
        <v>2511</v>
      </c>
      <c r="AB83" s="131" t="s">
        <v>1681</v>
      </c>
      <c r="AC83" s="127"/>
      <c r="AD83" s="135" t="s">
        <v>841</v>
      </c>
      <c r="AE83" s="131" t="e">
        <v>#N/A</v>
      </c>
      <c r="AF83" s="131" t="e">
        <v>#N/A</v>
      </c>
      <c r="AG83" s="131" t="e">
        <v>#REF!</v>
      </c>
    </row>
    <row r="84" spans="1:33" s="131" customFormat="1" ht="18" customHeight="1" x14ac:dyDescent="0.25">
      <c r="A84" s="125">
        <v>83</v>
      </c>
      <c r="B84" s="136" t="s">
        <v>1622</v>
      </c>
      <c r="C84" s="126" t="s">
        <v>2641</v>
      </c>
      <c r="D84" s="126" t="s">
        <v>2557</v>
      </c>
      <c r="E84" s="127" t="s">
        <v>3</v>
      </c>
      <c r="F84" s="134" t="s">
        <v>2410</v>
      </c>
      <c r="G84" s="128" t="s">
        <v>3294</v>
      </c>
      <c r="H84" s="125"/>
      <c r="I84" s="125"/>
      <c r="J84" s="132"/>
      <c r="K84" s="130" t="s">
        <v>30</v>
      </c>
      <c r="L84" s="129" t="s">
        <v>2550</v>
      </c>
      <c r="M84" s="127" t="s">
        <v>759</v>
      </c>
      <c r="N84" s="127" t="s">
        <v>764</v>
      </c>
      <c r="O84" s="127" t="s">
        <v>1427</v>
      </c>
      <c r="P84" s="127">
        <v>0</v>
      </c>
      <c r="Q84" s="127">
        <v>0</v>
      </c>
      <c r="R84" s="127">
        <v>0</v>
      </c>
      <c r="S84" s="127">
        <v>0</v>
      </c>
      <c r="T84" s="127">
        <v>2</v>
      </c>
      <c r="U84" s="127" t="s">
        <v>30</v>
      </c>
      <c r="V84" s="127" t="s">
        <v>1622</v>
      </c>
      <c r="W84" s="127">
        <v>0</v>
      </c>
      <c r="X84" s="127">
        <v>0</v>
      </c>
      <c r="Y84" s="127">
        <v>0</v>
      </c>
      <c r="Z84" s="127">
        <v>0</v>
      </c>
      <c r="AA84" s="127" t="s">
        <v>2511</v>
      </c>
      <c r="AB84" s="131" t="s">
        <v>1693</v>
      </c>
      <c r="AC84" s="127" t="s">
        <v>2312</v>
      </c>
      <c r="AD84" s="131" t="s">
        <v>3</v>
      </c>
      <c r="AE84" s="131" t="s">
        <v>3297</v>
      </c>
      <c r="AF84" s="131" t="b">
        <v>0</v>
      </c>
      <c r="AG84" s="131" t="e">
        <v>#REF!</v>
      </c>
    </row>
    <row r="85" spans="1:33" s="131" customFormat="1" ht="18" customHeight="1" x14ac:dyDescent="0.25">
      <c r="A85" s="125">
        <v>84</v>
      </c>
      <c r="B85" s="137" t="s">
        <v>9</v>
      </c>
      <c r="C85" s="126" t="s">
        <v>2642</v>
      </c>
      <c r="D85" s="126" t="s">
        <v>2643</v>
      </c>
      <c r="E85" s="127" t="s">
        <v>813</v>
      </c>
      <c r="F85" s="128" t="s">
        <v>2411</v>
      </c>
      <c r="G85" s="128" t="s">
        <v>3289</v>
      </c>
      <c r="H85" s="125" t="s">
        <v>2380</v>
      </c>
      <c r="I85" s="125"/>
      <c r="J85" s="129"/>
      <c r="K85" s="16"/>
      <c r="L85" s="129"/>
      <c r="M85" s="127" t="s">
        <v>761</v>
      </c>
      <c r="N85" s="127" t="s">
        <v>1639</v>
      </c>
      <c r="O85" s="127" t="s">
        <v>798</v>
      </c>
      <c r="P85" s="127" t="s">
        <v>812</v>
      </c>
      <c r="Q85" s="127">
        <v>0</v>
      </c>
      <c r="R85" s="127">
        <v>0</v>
      </c>
      <c r="S85" s="127">
        <v>0</v>
      </c>
      <c r="T85" s="127">
        <v>0</v>
      </c>
      <c r="U85" s="127">
        <v>0</v>
      </c>
      <c r="V85" s="127">
        <v>0</v>
      </c>
      <c r="W85" s="127">
        <v>0</v>
      </c>
      <c r="X85" s="127">
        <v>0</v>
      </c>
      <c r="Y85" s="127">
        <v>0</v>
      </c>
      <c r="Z85" s="127">
        <v>0</v>
      </c>
      <c r="AA85" s="127" t="s">
        <v>2510</v>
      </c>
      <c r="AB85" s="131" t="s">
        <v>1009</v>
      </c>
      <c r="AC85" s="127" t="s">
        <v>1816</v>
      </c>
      <c r="AD85" s="131" t="s">
        <v>813</v>
      </c>
      <c r="AE85" s="131" t="e">
        <v>#N/A</v>
      </c>
      <c r="AF85" s="131" t="e">
        <v>#N/A</v>
      </c>
      <c r="AG85" s="131" t="e">
        <v>#REF!</v>
      </c>
    </row>
    <row r="86" spans="1:33" s="131" customFormat="1" ht="18" customHeight="1" x14ac:dyDescent="0.25">
      <c r="A86" s="125">
        <v>85</v>
      </c>
      <c r="B86" s="137" t="s">
        <v>216</v>
      </c>
      <c r="C86" s="126" t="s">
        <v>2644</v>
      </c>
      <c r="D86" s="126" t="s">
        <v>2643</v>
      </c>
      <c r="E86" s="127" t="s">
        <v>813</v>
      </c>
      <c r="F86" s="128" t="s">
        <v>2411</v>
      </c>
      <c r="G86" s="128" t="s">
        <v>3289</v>
      </c>
      <c r="H86" s="125"/>
      <c r="I86" s="125"/>
      <c r="J86" s="132"/>
      <c r="K86" s="16"/>
      <c r="L86" s="129"/>
      <c r="M86" s="127" t="s">
        <v>772</v>
      </c>
      <c r="N86" s="127" t="s">
        <v>765</v>
      </c>
      <c r="O86" s="127" t="s">
        <v>1468</v>
      </c>
      <c r="P86" s="127" t="s">
        <v>812</v>
      </c>
      <c r="Q86" s="127">
        <v>0</v>
      </c>
      <c r="R86" s="127">
        <v>0</v>
      </c>
      <c r="S86" s="127">
        <v>0</v>
      </c>
      <c r="T86" s="127">
        <v>0</v>
      </c>
      <c r="U86" s="127">
        <v>0</v>
      </c>
      <c r="V86" s="127">
        <v>0</v>
      </c>
      <c r="W86" s="127">
        <v>0</v>
      </c>
      <c r="X86" s="127">
        <v>0</v>
      </c>
      <c r="Y86" s="127">
        <v>0</v>
      </c>
      <c r="Z86" s="127">
        <v>0</v>
      </c>
      <c r="AA86" s="127" t="s">
        <v>2511</v>
      </c>
      <c r="AB86" s="131" t="s">
        <v>1010</v>
      </c>
      <c r="AC86" s="127" t="s">
        <v>1817</v>
      </c>
      <c r="AD86" s="131" t="s">
        <v>813</v>
      </c>
      <c r="AE86" s="131" t="e">
        <v>#N/A</v>
      </c>
      <c r="AF86" s="131" t="e">
        <v>#N/A</v>
      </c>
      <c r="AG86" s="131" t="e">
        <v>#REF!</v>
      </c>
    </row>
    <row r="87" spans="1:33" s="131" customFormat="1" ht="18" customHeight="1" x14ac:dyDescent="0.25">
      <c r="A87" s="125">
        <v>86</v>
      </c>
      <c r="B87" s="137" t="s">
        <v>217</v>
      </c>
      <c r="C87" s="126" t="s">
        <v>2645</v>
      </c>
      <c r="D87" s="126" t="s">
        <v>2646</v>
      </c>
      <c r="E87" s="127" t="s">
        <v>339</v>
      </c>
      <c r="F87" s="128" t="s">
        <v>2411</v>
      </c>
      <c r="G87" s="128" t="s">
        <v>3290</v>
      </c>
      <c r="H87" s="125"/>
      <c r="I87" s="125" t="s">
        <v>2452</v>
      </c>
      <c r="J87" s="132"/>
      <c r="K87" s="16"/>
      <c r="L87" s="129"/>
      <c r="M87" s="127" t="s">
        <v>759</v>
      </c>
      <c r="N87" s="127" t="s">
        <v>770</v>
      </c>
      <c r="O87" s="127" t="s">
        <v>1553</v>
      </c>
      <c r="P87" s="127" t="s">
        <v>1554</v>
      </c>
      <c r="Q87" s="127">
        <v>2</v>
      </c>
      <c r="R87" s="127" t="s">
        <v>1465</v>
      </c>
      <c r="S87" s="127" t="s">
        <v>217</v>
      </c>
      <c r="T87" s="127">
        <v>0</v>
      </c>
      <c r="U87" s="127">
        <v>0</v>
      </c>
      <c r="V87" s="127">
        <v>0</v>
      </c>
      <c r="W87" s="127">
        <v>0</v>
      </c>
      <c r="X87" s="127">
        <v>0</v>
      </c>
      <c r="Y87" s="127">
        <v>0</v>
      </c>
      <c r="Z87" s="127">
        <v>0</v>
      </c>
      <c r="AA87" s="127" t="s">
        <v>2511</v>
      </c>
      <c r="AB87" s="131" t="s">
        <v>625</v>
      </c>
      <c r="AC87" s="127" t="s">
        <v>1818</v>
      </c>
      <c r="AD87" s="131" t="s">
        <v>339</v>
      </c>
      <c r="AE87" s="131" t="e">
        <v>#N/A</v>
      </c>
      <c r="AF87" s="131" t="e">
        <v>#N/A</v>
      </c>
      <c r="AG87" s="131" t="e">
        <v>#REF!</v>
      </c>
    </row>
    <row r="88" spans="1:33" s="131" customFormat="1" ht="18" customHeight="1" x14ac:dyDescent="0.25">
      <c r="A88" s="125">
        <v>87</v>
      </c>
      <c r="B88" s="137" t="s">
        <v>218</v>
      </c>
      <c r="C88" s="126" t="s">
        <v>2647</v>
      </c>
      <c r="D88" s="126" t="s">
        <v>2648</v>
      </c>
      <c r="E88" s="127" t="s">
        <v>339</v>
      </c>
      <c r="F88" s="128" t="s">
        <v>2521</v>
      </c>
      <c r="G88" s="128" t="s">
        <v>3290</v>
      </c>
      <c r="H88" s="125"/>
      <c r="I88" s="125"/>
      <c r="J88" s="132" t="s">
        <v>2520</v>
      </c>
      <c r="K88" s="16"/>
      <c r="L88" s="129"/>
      <c r="M88" s="127" t="s">
        <v>758</v>
      </c>
      <c r="N88" s="127" t="s">
        <v>2520</v>
      </c>
      <c r="O88" s="127" t="s">
        <v>1553</v>
      </c>
      <c r="P88" s="127" t="s">
        <v>1554</v>
      </c>
      <c r="Q88" s="127">
        <v>2</v>
      </c>
      <c r="R88" s="127" t="s">
        <v>1465</v>
      </c>
      <c r="S88" s="127" t="s">
        <v>218</v>
      </c>
      <c r="T88" s="127">
        <v>0</v>
      </c>
      <c r="U88" s="127">
        <v>0</v>
      </c>
      <c r="V88" s="127">
        <v>0</v>
      </c>
      <c r="W88" s="127" t="s">
        <v>1465</v>
      </c>
      <c r="X88" s="127" t="s">
        <v>218</v>
      </c>
      <c r="Y88" s="127" t="s">
        <v>1573</v>
      </c>
      <c r="Z88" s="127">
        <v>0</v>
      </c>
      <c r="AA88" s="127" t="s">
        <v>2511</v>
      </c>
      <c r="AB88" s="131" t="s">
        <v>626</v>
      </c>
      <c r="AC88" s="127" t="s">
        <v>1819</v>
      </c>
      <c r="AD88" s="131" t="s">
        <v>339</v>
      </c>
      <c r="AE88" s="131" t="e">
        <v>#N/A</v>
      </c>
      <c r="AF88" s="131" t="e">
        <v>#N/A</v>
      </c>
      <c r="AG88" s="131" t="e">
        <v>#REF!</v>
      </c>
    </row>
    <row r="89" spans="1:33" s="131" customFormat="1" ht="18" customHeight="1" x14ac:dyDescent="0.25">
      <c r="A89" s="125">
        <v>88</v>
      </c>
      <c r="B89" s="137" t="s">
        <v>219</v>
      </c>
      <c r="C89" s="126" t="s">
        <v>2649</v>
      </c>
      <c r="D89" s="126" t="s">
        <v>2650</v>
      </c>
      <c r="E89" s="127" t="s">
        <v>813</v>
      </c>
      <c r="F89" s="128" t="s">
        <v>2410</v>
      </c>
      <c r="G89" s="128" t="s">
        <v>3290</v>
      </c>
      <c r="H89" s="125"/>
      <c r="I89" s="125"/>
      <c r="J89" s="132" t="s">
        <v>2520</v>
      </c>
      <c r="K89" s="130" t="s">
        <v>233</v>
      </c>
      <c r="L89" s="129"/>
      <c r="M89" s="127" t="s">
        <v>758</v>
      </c>
      <c r="N89" s="127" t="s">
        <v>2520</v>
      </c>
      <c r="O89" s="127" t="s">
        <v>1427</v>
      </c>
      <c r="P89" s="127" t="s">
        <v>1554</v>
      </c>
      <c r="Q89" s="127">
        <v>0</v>
      </c>
      <c r="R89" s="127">
        <v>0</v>
      </c>
      <c r="S89" s="127">
        <v>0</v>
      </c>
      <c r="T89" s="127">
        <v>2</v>
      </c>
      <c r="U89" s="127" t="s">
        <v>1466</v>
      </c>
      <c r="V89" s="127" t="s">
        <v>219</v>
      </c>
      <c r="W89" s="127">
        <v>0</v>
      </c>
      <c r="X89" s="127">
        <v>0</v>
      </c>
      <c r="Y89" s="127">
        <v>0</v>
      </c>
      <c r="Z89" s="127" t="s">
        <v>1568</v>
      </c>
      <c r="AA89" s="127" t="s">
        <v>2510</v>
      </c>
      <c r="AB89" s="131" t="s">
        <v>1012</v>
      </c>
      <c r="AC89" s="127" t="s">
        <v>1820</v>
      </c>
      <c r="AD89" s="131" t="s">
        <v>813</v>
      </c>
      <c r="AE89" s="131" t="e">
        <v>#N/A</v>
      </c>
      <c r="AF89" s="131" t="e">
        <v>#N/A</v>
      </c>
      <c r="AG89" s="131" t="e">
        <v>#REF!</v>
      </c>
    </row>
    <row r="90" spans="1:33" s="131" customFormat="1" ht="18" customHeight="1" x14ac:dyDescent="0.25">
      <c r="A90" s="125">
        <v>89</v>
      </c>
      <c r="B90" s="137" t="s">
        <v>220</v>
      </c>
      <c r="C90" s="126" t="s">
        <v>2651</v>
      </c>
      <c r="D90" s="126" t="s">
        <v>2650</v>
      </c>
      <c r="E90" s="127" t="s">
        <v>339</v>
      </c>
      <c r="F90" s="128" t="s">
        <v>2410</v>
      </c>
      <c r="G90" s="128" t="s">
        <v>3290</v>
      </c>
      <c r="H90" s="125"/>
      <c r="I90" s="125"/>
      <c r="J90" s="132"/>
      <c r="K90" s="130" t="s">
        <v>227</v>
      </c>
      <c r="L90" s="129"/>
      <c r="M90" s="127" t="s">
        <v>758</v>
      </c>
      <c r="N90" s="127" t="s">
        <v>2520</v>
      </c>
      <c r="O90" s="127" t="s">
        <v>1427</v>
      </c>
      <c r="P90" s="127">
        <v>0</v>
      </c>
      <c r="Q90" s="127">
        <v>0</v>
      </c>
      <c r="R90" s="127">
        <v>0</v>
      </c>
      <c r="S90" s="127">
        <v>0</v>
      </c>
      <c r="T90" s="127">
        <v>2</v>
      </c>
      <c r="U90" s="127" t="s">
        <v>1465</v>
      </c>
      <c r="V90" s="127" t="s">
        <v>220</v>
      </c>
      <c r="W90" s="127" t="s">
        <v>1467</v>
      </c>
      <c r="X90" s="127" t="s">
        <v>220</v>
      </c>
      <c r="Y90" s="127" t="s">
        <v>1454</v>
      </c>
      <c r="Z90" s="127">
        <v>0</v>
      </c>
      <c r="AA90" s="127" t="s">
        <v>2511</v>
      </c>
      <c r="AB90" s="131" t="s">
        <v>1013</v>
      </c>
      <c r="AC90" s="127" t="s">
        <v>1821</v>
      </c>
      <c r="AD90" s="131" t="s">
        <v>339</v>
      </c>
      <c r="AE90" s="131" t="e">
        <v>#N/A</v>
      </c>
      <c r="AF90" s="131" t="e">
        <v>#N/A</v>
      </c>
      <c r="AG90" s="131" t="e">
        <v>#REF!</v>
      </c>
    </row>
    <row r="91" spans="1:33" s="131" customFormat="1" ht="15.75" x14ac:dyDescent="0.25">
      <c r="A91" s="125">
        <v>90</v>
      </c>
      <c r="B91" s="137" t="s">
        <v>221</v>
      </c>
      <c r="C91" s="126" t="s">
        <v>2652</v>
      </c>
      <c r="D91" s="126" t="s">
        <v>2653</v>
      </c>
      <c r="E91" s="127" t="s">
        <v>813</v>
      </c>
      <c r="F91" s="128" t="s">
        <v>2410</v>
      </c>
      <c r="G91" s="128" t="s">
        <v>3289</v>
      </c>
      <c r="H91" s="125"/>
      <c r="I91" s="125"/>
      <c r="J91" s="132" t="s">
        <v>2520</v>
      </c>
      <c r="K91" s="130" t="s">
        <v>216</v>
      </c>
      <c r="L91" s="129"/>
      <c r="M91" s="127" t="s">
        <v>758</v>
      </c>
      <c r="N91" s="127" t="s">
        <v>2520</v>
      </c>
      <c r="O91" s="127" t="s">
        <v>1427</v>
      </c>
      <c r="P91" s="127" t="s">
        <v>1554</v>
      </c>
      <c r="Q91" s="127">
        <v>0</v>
      </c>
      <c r="R91" s="127">
        <v>0</v>
      </c>
      <c r="S91" s="127">
        <v>0</v>
      </c>
      <c r="T91" s="127">
        <v>2</v>
      </c>
      <c r="U91" s="127" t="s">
        <v>1468</v>
      </c>
      <c r="V91" s="127" t="s">
        <v>221</v>
      </c>
      <c r="W91" s="127">
        <v>0</v>
      </c>
      <c r="X91" s="127">
        <v>0</v>
      </c>
      <c r="Y91" s="127">
        <v>0</v>
      </c>
      <c r="Z91" s="127" t="s">
        <v>1568</v>
      </c>
      <c r="AA91" s="127" t="s">
        <v>2511</v>
      </c>
      <c r="AB91" s="131" t="s">
        <v>1014</v>
      </c>
      <c r="AC91" s="127" t="s">
        <v>2266</v>
      </c>
      <c r="AD91" s="131" t="s">
        <v>813</v>
      </c>
      <c r="AE91" s="131" t="e">
        <v>#N/A</v>
      </c>
      <c r="AF91" s="131" t="e">
        <v>#N/A</v>
      </c>
      <c r="AG91" s="131" t="e">
        <v>#REF!</v>
      </c>
    </row>
    <row r="92" spans="1:33" s="131" customFormat="1" ht="18" customHeight="1" x14ac:dyDescent="0.25">
      <c r="A92" s="125">
        <v>91</v>
      </c>
      <c r="B92" s="137" t="s">
        <v>222</v>
      </c>
      <c r="C92" s="126" t="s">
        <v>2654</v>
      </c>
      <c r="D92" s="126" t="s">
        <v>2650</v>
      </c>
      <c r="E92" s="127" t="s">
        <v>339</v>
      </c>
      <c r="F92" s="128" t="s">
        <v>2410</v>
      </c>
      <c r="G92" s="128" t="s">
        <v>3290</v>
      </c>
      <c r="H92" s="125"/>
      <c r="I92" s="125"/>
      <c r="J92" s="132" t="s">
        <v>2520</v>
      </c>
      <c r="K92" s="130" t="s">
        <v>233</v>
      </c>
      <c r="L92" s="129"/>
      <c r="M92" s="127" t="s">
        <v>772</v>
      </c>
      <c r="N92" s="127" t="s">
        <v>2520</v>
      </c>
      <c r="O92" s="127" t="s">
        <v>1427</v>
      </c>
      <c r="P92" s="127" t="s">
        <v>1554</v>
      </c>
      <c r="Q92" s="127">
        <v>0</v>
      </c>
      <c r="R92" s="127">
        <v>0</v>
      </c>
      <c r="S92" s="127">
        <v>0</v>
      </c>
      <c r="T92" s="127">
        <v>4</v>
      </c>
      <c r="U92" s="127" t="s">
        <v>1466</v>
      </c>
      <c r="V92" s="127" t="s">
        <v>222</v>
      </c>
      <c r="W92" s="127">
        <v>0</v>
      </c>
      <c r="X92" s="127">
        <v>0</v>
      </c>
      <c r="Y92" s="127">
        <v>0</v>
      </c>
      <c r="Z92" s="127" t="s">
        <v>1568</v>
      </c>
      <c r="AA92" s="127" t="s">
        <v>2511</v>
      </c>
      <c r="AB92" s="131" t="s">
        <v>1015</v>
      </c>
      <c r="AC92" s="127" t="s">
        <v>1822</v>
      </c>
      <c r="AD92" s="131" t="s">
        <v>339</v>
      </c>
      <c r="AE92" s="131" t="e">
        <v>#N/A</v>
      </c>
      <c r="AF92" s="131" t="e">
        <v>#N/A</v>
      </c>
      <c r="AG92" s="131" t="e">
        <v>#REF!</v>
      </c>
    </row>
    <row r="93" spans="1:33" s="131" customFormat="1" ht="18" customHeight="1" x14ac:dyDescent="0.25">
      <c r="A93" s="125">
        <v>92</v>
      </c>
      <c r="B93" s="137" t="s">
        <v>223</v>
      </c>
      <c r="C93" s="126" t="s">
        <v>2655</v>
      </c>
      <c r="D93" s="126" t="s">
        <v>2646</v>
      </c>
      <c r="E93" s="127" t="s">
        <v>339</v>
      </c>
      <c r="F93" s="128" t="s">
        <v>2521</v>
      </c>
      <c r="G93" s="128" t="s">
        <v>3290</v>
      </c>
      <c r="H93" s="125"/>
      <c r="I93" s="125"/>
      <c r="J93" s="132" t="s">
        <v>2520</v>
      </c>
      <c r="K93" s="16"/>
      <c r="L93" s="129"/>
      <c r="M93" s="127" t="s">
        <v>758</v>
      </c>
      <c r="N93" s="127" t="s">
        <v>2520</v>
      </c>
      <c r="O93" s="127" t="s">
        <v>1553</v>
      </c>
      <c r="P93" s="127" t="s">
        <v>1554</v>
      </c>
      <c r="Q93" s="127">
        <v>2</v>
      </c>
      <c r="R93" s="127" t="s">
        <v>1469</v>
      </c>
      <c r="S93" s="127" t="s">
        <v>223</v>
      </c>
      <c r="T93" s="127">
        <v>0</v>
      </c>
      <c r="U93" s="127">
        <v>0</v>
      </c>
      <c r="V93" s="127">
        <v>0</v>
      </c>
      <c r="W93" s="127" t="s">
        <v>1467</v>
      </c>
      <c r="X93" s="127" t="s">
        <v>223</v>
      </c>
      <c r="Y93" s="127" t="s">
        <v>1571</v>
      </c>
      <c r="Z93" s="127" t="s">
        <v>1568</v>
      </c>
      <c r="AA93" s="127" t="s">
        <v>2510</v>
      </c>
      <c r="AB93" s="131" t="s">
        <v>1016</v>
      </c>
      <c r="AC93" s="127" t="s">
        <v>1823</v>
      </c>
      <c r="AD93" s="131" t="s">
        <v>339</v>
      </c>
      <c r="AE93" s="131" t="e">
        <v>#N/A</v>
      </c>
      <c r="AF93" s="131" t="e">
        <v>#N/A</v>
      </c>
      <c r="AG93" s="131" t="e">
        <v>#REF!</v>
      </c>
    </row>
    <row r="94" spans="1:33" s="131" customFormat="1" ht="15.75" x14ac:dyDescent="0.25">
      <c r="A94" s="125">
        <v>93</v>
      </c>
      <c r="B94" s="137" t="s">
        <v>224</v>
      </c>
      <c r="C94" s="126" t="s">
        <v>2656</v>
      </c>
      <c r="D94" s="126" t="s">
        <v>2657</v>
      </c>
      <c r="E94" s="127" t="s">
        <v>339</v>
      </c>
      <c r="F94" s="128" t="s">
        <v>2410</v>
      </c>
      <c r="G94" s="128" t="s">
        <v>3290</v>
      </c>
      <c r="H94" s="125"/>
      <c r="I94" s="125"/>
      <c r="J94" s="132" t="s">
        <v>2520</v>
      </c>
      <c r="K94" s="130" t="s">
        <v>354</v>
      </c>
      <c r="L94" s="129"/>
      <c r="M94" s="127" t="s">
        <v>758</v>
      </c>
      <c r="N94" s="127" t="s">
        <v>2520</v>
      </c>
      <c r="O94" s="127" t="s">
        <v>1427</v>
      </c>
      <c r="P94" s="127">
        <v>0</v>
      </c>
      <c r="Q94" s="127">
        <v>0</v>
      </c>
      <c r="R94" s="127">
        <v>0</v>
      </c>
      <c r="S94" s="127">
        <v>0</v>
      </c>
      <c r="T94" s="127">
        <v>2</v>
      </c>
      <c r="U94" s="127" t="s">
        <v>1470</v>
      </c>
      <c r="V94" s="127" t="s">
        <v>224</v>
      </c>
      <c r="W94" s="127" t="s">
        <v>1467</v>
      </c>
      <c r="X94" s="127" t="s">
        <v>224</v>
      </c>
      <c r="Y94" s="127" t="s">
        <v>1574</v>
      </c>
      <c r="Z94" s="127" t="s">
        <v>1568</v>
      </c>
      <c r="AA94" s="127" t="s">
        <v>2510</v>
      </c>
      <c r="AB94" s="131" t="s">
        <v>1017</v>
      </c>
      <c r="AC94" s="127" t="s">
        <v>1824</v>
      </c>
      <c r="AD94" s="131" t="s">
        <v>339</v>
      </c>
      <c r="AE94" s="131" t="e">
        <v>#N/A</v>
      </c>
      <c r="AF94" s="131" t="e">
        <v>#N/A</v>
      </c>
      <c r="AG94" s="131" t="e">
        <v>#REF!</v>
      </c>
    </row>
    <row r="95" spans="1:33" s="131" customFormat="1" ht="18" customHeight="1" x14ac:dyDescent="0.25">
      <c r="A95" s="125">
        <v>94</v>
      </c>
      <c r="B95" s="137" t="s">
        <v>225</v>
      </c>
      <c r="C95" s="126" t="s">
        <v>2658</v>
      </c>
      <c r="D95" s="126" t="s">
        <v>2643</v>
      </c>
      <c r="E95" s="127" t="s">
        <v>813</v>
      </c>
      <c r="F95" s="128" t="s">
        <v>2410</v>
      </c>
      <c r="G95" s="128" t="s">
        <v>3290</v>
      </c>
      <c r="H95" s="125"/>
      <c r="I95" s="125"/>
      <c r="J95" s="132" t="s">
        <v>2520</v>
      </c>
      <c r="K95" s="130" t="s">
        <v>516</v>
      </c>
      <c r="L95" s="129"/>
      <c r="M95" s="127" t="s">
        <v>758</v>
      </c>
      <c r="N95" s="127" t="s">
        <v>2520</v>
      </c>
      <c r="O95" s="127" t="s">
        <v>1427</v>
      </c>
      <c r="P95" s="127" t="s">
        <v>1554</v>
      </c>
      <c r="Q95" s="127">
        <v>0</v>
      </c>
      <c r="R95" s="127">
        <v>0</v>
      </c>
      <c r="S95" s="127">
        <v>0</v>
      </c>
      <c r="T95" s="127">
        <v>2</v>
      </c>
      <c r="U95" s="127" t="s">
        <v>1471</v>
      </c>
      <c r="V95" s="127" t="s">
        <v>225</v>
      </c>
      <c r="W95" s="127">
        <v>0</v>
      </c>
      <c r="X95" s="127">
        <v>0</v>
      </c>
      <c r="Y95" s="127">
        <v>0</v>
      </c>
      <c r="Z95" s="127" t="s">
        <v>1568</v>
      </c>
      <c r="AA95" s="127" t="s">
        <v>2510</v>
      </c>
      <c r="AB95" s="131" t="s">
        <v>1018</v>
      </c>
      <c r="AC95" s="127" t="s">
        <v>1825</v>
      </c>
      <c r="AD95" s="131" t="s">
        <v>813</v>
      </c>
      <c r="AE95" s="131" t="e">
        <v>#N/A</v>
      </c>
      <c r="AF95" s="131" t="e">
        <v>#N/A</v>
      </c>
      <c r="AG95" s="131" t="e">
        <v>#REF!</v>
      </c>
    </row>
    <row r="96" spans="1:33" s="131" customFormat="1" ht="18" customHeight="1" x14ac:dyDescent="0.25">
      <c r="A96" s="125">
        <v>95</v>
      </c>
      <c r="B96" s="137" t="s">
        <v>226</v>
      </c>
      <c r="C96" s="126" t="s">
        <v>2659</v>
      </c>
      <c r="D96" s="126" t="s">
        <v>2643</v>
      </c>
      <c r="E96" s="127" t="s">
        <v>813</v>
      </c>
      <c r="F96" s="128" t="s">
        <v>2521</v>
      </c>
      <c r="G96" s="128" t="s">
        <v>3290</v>
      </c>
      <c r="H96" s="125"/>
      <c r="I96" s="125"/>
      <c r="J96" s="132" t="s">
        <v>2520</v>
      </c>
      <c r="K96" s="16"/>
      <c r="L96" s="129"/>
      <c r="M96" s="127" t="s">
        <v>772</v>
      </c>
      <c r="N96" s="127" t="s">
        <v>2520</v>
      </c>
      <c r="O96" s="127" t="s">
        <v>1553</v>
      </c>
      <c r="P96" s="127" t="s">
        <v>1554</v>
      </c>
      <c r="Q96" s="127">
        <v>2</v>
      </c>
      <c r="R96" s="127" t="s">
        <v>1468</v>
      </c>
      <c r="S96" s="127" t="s">
        <v>226</v>
      </c>
      <c r="T96" s="127">
        <v>0</v>
      </c>
      <c r="U96" s="127">
        <v>0</v>
      </c>
      <c r="V96" s="127">
        <v>0</v>
      </c>
      <c r="W96" s="127">
        <v>0</v>
      </c>
      <c r="X96" s="127">
        <v>0</v>
      </c>
      <c r="Y96" s="127">
        <v>0</v>
      </c>
      <c r="Z96" s="127" t="s">
        <v>1568</v>
      </c>
      <c r="AA96" s="127" t="s">
        <v>2511</v>
      </c>
      <c r="AB96" s="131" t="s">
        <v>1019</v>
      </c>
      <c r="AC96" s="127" t="s">
        <v>1826</v>
      </c>
      <c r="AD96" s="131" t="s">
        <v>813</v>
      </c>
      <c r="AE96" s="131" t="e">
        <v>#N/A</v>
      </c>
      <c r="AF96" s="131" t="e">
        <v>#N/A</v>
      </c>
      <c r="AG96" s="131" t="e">
        <v>#REF!</v>
      </c>
    </row>
    <row r="97" spans="1:33" s="131" customFormat="1" ht="18" customHeight="1" x14ac:dyDescent="0.25">
      <c r="A97" s="125">
        <v>96</v>
      </c>
      <c r="B97" s="126" t="s">
        <v>227</v>
      </c>
      <c r="C97" s="126" t="s">
        <v>2660</v>
      </c>
      <c r="D97" s="126" t="s">
        <v>2650</v>
      </c>
      <c r="E97" s="127" t="s">
        <v>339</v>
      </c>
      <c r="F97" s="128" t="s">
        <v>2411</v>
      </c>
      <c r="G97" s="128" t="s">
        <v>3289</v>
      </c>
      <c r="H97" s="125" t="s">
        <v>1732</v>
      </c>
      <c r="I97" s="125"/>
      <c r="J97" s="129"/>
      <c r="K97" s="130"/>
      <c r="L97" s="129"/>
      <c r="M97" s="127" t="s">
        <v>761</v>
      </c>
      <c r="N97" s="127" t="s">
        <v>1639</v>
      </c>
      <c r="O97" s="127" t="s">
        <v>1465</v>
      </c>
      <c r="P97" s="127" t="s">
        <v>812</v>
      </c>
      <c r="Q97" s="127">
        <v>0</v>
      </c>
      <c r="R97" s="127">
        <v>0</v>
      </c>
      <c r="S97" s="127">
        <v>0</v>
      </c>
      <c r="T97" s="127">
        <v>0</v>
      </c>
      <c r="U97" s="127">
        <v>0</v>
      </c>
      <c r="V97" s="127">
        <v>0</v>
      </c>
      <c r="W97" s="127">
        <v>0</v>
      </c>
      <c r="X97" s="127">
        <v>0</v>
      </c>
      <c r="Y97" s="127">
        <v>0</v>
      </c>
      <c r="Z97" s="127">
        <v>0</v>
      </c>
      <c r="AA97" s="127" t="s">
        <v>2510</v>
      </c>
      <c r="AB97" s="131" t="s">
        <v>1020</v>
      </c>
      <c r="AC97" s="127" t="s">
        <v>1827</v>
      </c>
      <c r="AD97" s="131" t="s">
        <v>339</v>
      </c>
      <c r="AE97" s="131" t="e">
        <v>#N/A</v>
      </c>
      <c r="AF97" s="131" t="e">
        <v>#N/A</v>
      </c>
      <c r="AG97" s="131" t="e">
        <v>#REF!</v>
      </c>
    </row>
    <row r="98" spans="1:33" s="131" customFormat="1" ht="18" customHeight="1" x14ac:dyDescent="0.25">
      <c r="A98" s="125">
        <v>97</v>
      </c>
      <c r="B98" s="126" t="s">
        <v>412</v>
      </c>
      <c r="C98" s="126" t="s">
        <v>2661</v>
      </c>
      <c r="D98" s="126" t="s">
        <v>2643</v>
      </c>
      <c r="E98" s="127" t="s">
        <v>813</v>
      </c>
      <c r="F98" s="128" t="s">
        <v>2411</v>
      </c>
      <c r="G98" s="128" t="s">
        <v>3290</v>
      </c>
      <c r="H98" s="125" t="s">
        <v>927</v>
      </c>
      <c r="I98" s="125"/>
      <c r="J98" s="129"/>
      <c r="K98" s="130"/>
      <c r="L98" s="129"/>
      <c r="M98" s="127" t="s">
        <v>761</v>
      </c>
      <c r="N98" s="127" t="s">
        <v>1639</v>
      </c>
      <c r="O98" s="127" t="s">
        <v>1553</v>
      </c>
      <c r="P98" s="127" t="s">
        <v>1554</v>
      </c>
      <c r="Q98" s="127">
        <v>2</v>
      </c>
      <c r="R98" s="127" t="s">
        <v>1471</v>
      </c>
      <c r="S98" s="127" t="s">
        <v>412</v>
      </c>
      <c r="T98" s="127">
        <v>0</v>
      </c>
      <c r="U98" s="127">
        <v>0</v>
      </c>
      <c r="V98" s="127">
        <v>0</v>
      </c>
      <c r="W98" s="127">
        <v>0</v>
      </c>
      <c r="X98" s="127">
        <v>0</v>
      </c>
      <c r="Y98" s="127">
        <v>0</v>
      </c>
      <c r="Z98" s="127" t="s">
        <v>1568</v>
      </c>
      <c r="AA98" s="127" t="s">
        <v>2510</v>
      </c>
      <c r="AB98" s="131" t="s">
        <v>1021</v>
      </c>
      <c r="AC98" s="127" t="s">
        <v>1828</v>
      </c>
      <c r="AD98" s="131" t="s">
        <v>813</v>
      </c>
      <c r="AE98" s="131" t="e">
        <v>#N/A</v>
      </c>
      <c r="AF98" s="131" t="e">
        <v>#N/A</v>
      </c>
      <c r="AG98" s="131" t="e">
        <v>#REF!</v>
      </c>
    </row>
    <row r="99" spans="1:33" s="131" customFormat="1" ht="15.75" x14ac:dyDescent="0.25">
      <c r="A99" s="125">
        <v>98</v>
      </c>
      <c r="B99" s="137" t="s">
        <v>228</v>
      </c>
      <c r="C99" s="126" t="s">
        <v>2662</v>
      </c>
      <c r="D99" s="126" t="s">
        <v>2643</v>
      </c>
      <c r="E99" s="127" t="s">
        <v>813</v>
      </c>
      <c r="F99" s="128" t="s">
        <v>2521</v>
      </c>
      <c r="G99" s="128" t="s">
        <v>3290</v>
      </c>
      <c r="H99" s="125"/>
      <c r="I99" s="125"/>
      <c r="J99" s="132" t="s">
        <v>2520</v>
      </c>
      <c r="K99" s="130"/>
      <c r="L99" s="129"/>
      <c r="M99" s="127" t="s">
        <v>758</v>
      </c>
      <c r="N99" s="127" t="s">
        <v>2520</v>
      </c>
      <c r="O99" s="127" t="s">
        <v>1553</v>
      </c>
      <c r="P99" s="127" t="s">
        <v>1554</v>
      </c>
      <c r="Q99" s="127">
        <v>2</v>
      </c>
      <c r="R99" s="127" t="s">
        <v>1468</v>
      </c>
      <c r="S99" s="127" t="s">
        <v>228</v>
      </c>
      <c r="T99" s="127">
        <v>0</v>
      </c>
      <c r="U99" s="127">
        <v>0</v>
      </c>
      <c r="V99" s="127">
        <v>0</v>
      </c>
      <c r="W99" s="127">
        <v>0</v>
      </c>
      <c r="X99" s="127">
        <v>0</v>
      </c>
      <c r="Y99" s="127">
        <v>0</v>
      </c>
      <c r="Z99" s="127" t="s">
        <v>1568</v>
      </c>
      <c r="AA99" s="127" t="s">
        <v>2510</v>
      </c>
      <c r="AB99" s="131" t="s">
        <v>1022</v>
      </c>
      <c r="AC99" s="127" t="s">
        <v>1829</v>
      </c>
      <c r="AD99" s="131" t="s">
        <v>813</v>
      </c>
      <c r="AE99" s="131" t="e">
        <v>#N/A</v>
      </c>
      <c r="AF99" s="131" t="e">
        <v>#N/A</v>
      </c>
      <c r="AG99" s="131" t="e">
        <v>#REF!</v>
      </c>
    </row>
    <row r="100" spans="1:33" s="131" customFormat="1" ht="18" customHeight="1" x14ac:dyDescent="0.25">
      <c r="A100" s="125">
        <v>99</v>
      </c>
      <c r="B100" s="137" t="s">
        <v>229</v>
      </c>
      <c r="C100" s="126" t="s">
        <v>2663</v>
      </c>
      <c r="D100" s="126" t="s">
        <v>2643</v>
      </c>
      <c r="E100" s="127" t="s">
        <v>813</v>
      </c>
      <c r="F100" s="128" t="s">
        <v>2521</v>
      </c>
      <c r="G100" s="128" t="s">
        <v>3290</v>
      </c>
      <c r="H100" s="125"/>
      <c r="I100" s="125"/>
      <c r="J100" s="132" t="s">
        <v>2520</v>
      </c>
      <c r="K100" s="130"/>
      <c r="L100" s="129"/>
      <c r="M100" s="127" t="s">
        <v>758</v>
      </c>
      <c r="N100" s="127" t="s">
        <v>2520</v>
      </c>
      <c r="O100" s="127" t="s">
        <v>1427</v>
      </c>
      <c r="P100" s="127" t="s">
        <v>1554</v>
      </c>
      <c r="Q100" s="127">
        <v>0</v>
      </c>
      <c r="R100" s="127">
        <v>0</v>
      </c>
      <c r="S100" s="127">
        <v>0</v>
      </c>
      <c r="T100" s="127">
        <v>2</v>
      </c>
      <c r="U100" s="127" t="s">
        <v>798</v>
      </c>
      <c r="V100" s="127" t="s">
        <v>229</v>
      </c>
      <c r="W100" s="127">
        <v>0</v>
      </c>
      <c r="X100" s="127">
        <v>0</v>
      </c>
      <c r="Y100" s="127">
        <v>0</v>
      </c>
      <c r="Z100" s="127" t="s">
        <v>1568</v>
      </c>
      <c r="AA100" s="127" t="s">
        <v>2511</v>
      </c>
      <c r="AB100" s="131" t="s">
        <v>1023</v>
      </c>
      <c r="AC100" s="127" t="s">
        <v>1830</v>
      </c>
      <c r="AD100" s="131" t="s">
        <v>813</v>
      </c>
      <c r="AE100" s="131" t="e">
        <v>#N/A</v>
      </c>
      <c r="AF100" s="131" t="e">
        <v>#N/A</v>
      </c>
      <c r="AG100" s="131" t="e">
        <v>#REF!</v>
      </c>
    </row>
    <row r="101" spans="1:33" s="131" customFormat="1" ht="18" customHeight="1" x14ac:dyDescent="0.25">
      <c r="A101" s="125">
        <v>100</v>
      </c>
      <c r="B101" s="137" t="s">
        <v>230</v>
      </c>
      <c r="C101" s="126" t="s">
        <v>2664</v>
      </c>
      <c r="D101" s="126" t="s">
        <v>2665</v>
      </c>
      <c r="E101" s="127" t="s">
        <v>813</v>
      </c>
      <c r="F101" s="128" t="s">
        <v>2521</v>
      </c>
      <c r="G101" s="128" t="s">
        <v>3290</v>
      </c>
      <c r="H101" s="125"/>
      <c r="I101" s="125"/>
      <c r="J101" s="132" t="s">
        <v>2520</v>
      </c>
      <c r="K101" s="130"/>
      <c r="L101" s="129"/>
      <c r="M101" s="127" t="s">
        <v>774</v>
      </c>
      <c r="N101" s="127" t="s">
        <v>2520</v>
      </c>
      <c r="O101" s="127" t="s">
        <v>1553</v>
      </c>
      <c r="P101" s="127" t="s">
        <v>1554</v>
      </c>
      <c r="Q101" s="127">
        <v>2</v>
      </c>
      <c r="R101" s="127" t="s">
        <v>798</v>
      </c>
      <c r="S101" s="127" t="s">
        <v>230</v>
      </c>
      <c r="T101" s="127">
        <v>0</v>
      </c>
      <c r="U101" s="127">
        <v>0</v>
      </c>
      <c r="V101" s="127">
        <v>0</v>
      </c>
      <c r="W101" s="127">
        <v>0</v>
      </c>
      <c r="X101" s="127">
        <v>0</v>
      </c>
      <c r="Y101" s="127">
        <v>0</v>
      </c>
      <c r="Z101" s="127" t="s">
        <v>1568</v>
      </c>
      <c r="AA101" s="127" t="s">
        <v>2510</v>
      </c>
      <c r="AB101" s="131" t="s">
        <v>838</v>
      </c>
      <c r="AC101" s="127" t="s">
        <v>1831</v>
      </c>
      <c r="AD101" s="131" t="s">
        <v>813</v>
      </c>
      <c r="AE101" s="131" t="e">
        <v>#N/A</v>
      </c>
      <c r="AF101" s="131" t="e">
        <v>#N/A</v>
      </c>
      <c r="AG101" s="131" t="e">
        <v>#REF!</v>
      </c>
    </row>
    <row r="102" spans="1:33" s="131" customFormat="1" ht="18" customHeight="1" x14ac:dyDescent="0.25">
      <c r="A102" s="125">
        <v>101</v>
      </c>
      <c r="B102" s="137" t="s">
        <v>231</v>
      </c>
      <c r="C102" s="126" t="s">
        <v>2666</v>
      </c>
      <c r="D102" s="126" t="s">
        <v>2665</v>
      </c>
      <c r="E102" s="127" t="s">
        <v>813</v>
      </c>
      <c r="F102" s="128" t="s">
        <v>2521</v>
      </c>
      <c r="G102" s="128" t="s">
        <v>3290</v>
      </c>
      <c r="H102" s="125"/>
      <c r="I102" s="125"/>
      <c r="J102" s="132" t="s">
        <v>2520</v>
      </c>
      <c r="K102" s="130"/>
      <c r="L102" s="129"/>
      <c r="M102" s="127" t="s">
        <v>758</v>
      </c>
      <c r="N102" s="127" t="s">
        <v>2520</v>
      </c>
      <c r="O102" s="127" t="s">
        <v>1427</v>
      </c>
      <c r="P102" s="127" t="s">
        <v>1554</v>
      </c>
      <c r="Q102" s="127">
        <v>0</v>
      </c>
      <c r="R102" s="127">
        <v>0</v>
      </c>
      <c r="S102" s="127">
        <v>0</v>
      </c>
      <c r="T102" s="127">
        <v>2</v>
      </c>
      <c r="U102" s="127" t="s">
        <v>1472</v>
      </c>
      <c r="V102" s="127" t="s">
        <v>231</v>
      </c>
      <c r="W102" s="127">
        <v>0</v>
      </c>
      <c r="X102" s="127">
        <v>0</v>
      </c>
      <c r="Y102" s="127">
        <v>0</v>
      </c>
      <c r="Z102" s="127" t="s">
        <v>1568</v>
      </c>
      <c r="AA102" s="127" t="s">
        <v>2511</v>
      </c>
      <c r="AB102" s="131" t="s">
        <v>1025</v>
      </c>
      <c r="AC102" s="127" t="s">
        <v>1832</v>
      </c>
      <c r="AD102" s="131" t="s">
        <v>813</v>
      </c>
      <c r="AE102" s="131" t="e">
        <v>#N/A</v>
      </c>
      <c r="AF102" s="131" t="e">
        <v>#N/A</v>
      </c>
      <c r="AG102" s="131" t="e">
        <v>#REF!</v>
      </c>
    </row>
    <row r="103" spans="1:33" s="131" customFormat="1" ht="18" customHeight="1" x14ac:dyDescent="0.25">
      <c r="A103" s="125">
        <v>102</v>
      </c>
      <c r="B103" s="137" t="s">
        <v>232</v>
      </c>
      <c r="C103" s="126" t="s">
        <v>2667</v>
      </c>
      <c r="D103" s="126" t="s">
        <v>2646</v>
      </c>
      <c r="E103" s="127" t="s">
        <v>339</v>
      </c>
      <c r="F103" s="128" t="s">
        <v>2411</v>
      </c>
      <c r="G103" s="128" t="s">
        <v>3289</v>
      </c>
      <c r="H103" s="125" t="s">
        <v>965</v>
      </c>
      <c r="I103" s="125"/>
      <c r="J103" s="129"/>
      <c r="K103" s="130"/>
      <c r="L103" s="129"/>
      <c r="M103" s="127" t="s">
        <v>761</v>
      </c>
      <c r="N103" s="127" t="s">
        <v>1639</v>
      </c>
      <c r="O103" s="127" t="s">
        <v>1469</v>
      </c>
      <c r="P103" s="127" t="s">
        <v>812</v>
      </c>
      <c r="Q103" s="127">
        <v>0</v>
      </c>
      <c r="R103" s="127">
        <v>0</v>
      </c>
      <c r="S103" s="127">
        <v>0</v>
      </c>
      <c r="T103" s="127">
        <v>0</v>
      </c>
      <c r="U103" s="127">
        <v>0</v>
      </c>
      <c r="V103" s="127">
        <v>0</v>
      </c>
      <c r="W103" s="127">
        <v>0</v>
      </c>
      <c r="X103" s="127">
        <v>0</v>
      </c>
      <c r="Y103" s="127">
        <v>0</v>
      </c>
      <c r="Z103" s="127">
        <v>0</v>
      </c>
      <c r="AA103" s="127" t="s">
        <v>2510</v>
      </c>
      <c r="AB103" s="131" t="s">
        <v>1026</v>
      </c>
      <c r="AC103" s="127" t="s">
        <v>1833</v>
      </c>
      <c r="AD103" s="131" t="s">
        <v>339</v>
      </c>
      <c r="AE103" s="131" t="e">
        <v>#N/A</v>
      </c>
      <c r="AF103" s="131" t="e">
        <v>#N/A</v>
      </c>
      <c r="AG103" s="131" t="e">
        <v>#REF!</v>
      </c>
    </row>
    <row r="104" spans="1:33" s="131" customFormat="1" ht="18" customHeight="1" x14ac:dyDescent="0.25">
      <c r="A104" s="125">
        <v>103</v>
      </c>
      <c r="B104" s="137" t="s">
        <v>233</v>
      </c>
      <c r="C104" s="126" t="s">
        <v>2668</v>
      </c>
      <c r="D104" s="126" t="s">
        <v>2650</v>
      </c>
      <c r="E104" s="127" t="s">
        <v>339</v>
      </c>
      <c r="F104" s="128" t="s">
        <v>2411</v>
      </c>
      <c r="G104" s="128" t="s">
        <v>3289</v>
      </c>
      <c r="H104" s="125"/>
      <c r="I104" s="125"/>
      <c r="J104" s="132"/>
      <c r="K104" s="130"/>
      <c r="L104" s="129"/>
      <c r="M104" s="127" t="s">
        <v>778</v>
      </c>
      <c r="N104" s="127" t="s">
        <v>765</v>
      </c>
      <c r="O104" s="127" t="s">
        <v>1466</v>
      </c>
      <c r="P104" s="127" t="s">
        <v>812</v>
      </c>
      <c r="Q104" s="127">
        <v>0</v>
      </c>
      <c r="R104" s="127">
        <v>0</v>
      </c>
      <c r="S104" s="127">
        <v>0</v>
      </c>
      <c r="T104" s="127">
        <v>0</v>
      </c>
      <c r="U104" s="127">
        <v>0</v>
      </c>
      <c r="V104" s="127">
        <v>0</v>
      </c>
      <c r="W104" s="127">
        <v>0</v>
      </c>
      <c r="X104" s="127">
        <v>0</v>
      </c>
      <c r="Y104" s="127">
        <v>0</v>
      </c>
      <c r="Z104" s="127">
        <v>0</v>
      </c>
      <c r="AA104" s="127" t="s">
        <v>2511</v>
      </c>
      <c r="AB104" s="131" t="s">
        <v>1027</v>
      </c>
      <c r="AC104" s="127" t="s">
        <v>1834</v>
      </c>
      <c r="AD104" s="131" t="s">
        <v>339</v>
      </c>
      <c r="AE104" s="131" t="e">
        <v>#N/A</v>
      </c>
      <c r="AF104" s="131" t="e">
        <v>#N/A</v>
      </c>
      <c r="AG104" s="131" t="e">
        <v>#REF!</v>
      </c>
    </row>
    <row r="105" spans="1:33" s="131" customFormat="1" ht="18" customHeight="1" x14ac:dyDescent="0.25">
      <c r="A105" s="125">
        <v>104</v>
      </c>
      <c r="B105" s="137" t="s">
        <v>234</v>
      </c>
      <c r="C105" s="126" t="s">
        <v>2669</v>
      </c>
      <c r="D105" s="126" t="s">
        <v>2653</v>
      </c>
      <c r="E105" s="127" t="s">
        <v>813</v>
      </c>
      <c r="F105" s="128" t="s">
        <v>2411</v>
      </c>
      <c r="G105" s="128" t="s">
        <v>3290</v>
      </c>
      <c r="H105" s="125"/>
      <c r="I105" s="125" t="s">
        <v>934</v>
      </c>
      <c r="J105" s="132"/>
      <c r="K105" s="130"/>
      <c r="L105" s="129"/>
      <c r="M105" s="127" t="s">
        <v>759</v>
      </c>
      <c r="N105" s="127" t="s">
        <v>770</v>
      </c>
      <c r="O105" s="127" t="s">
        <v>1553</v>
      </c>
      <c r="P105" s="127" t="s">
        <v>1554</v>
      </c>
      <c r="Q105" s="127">
        <v>2</v>
      </c>
      <c r="R105" s="127" t="s">
        <v>1473</v>
      </c>
      <c r="S105" s="127" t="s">
        <v>234</v>
      </c>
      <c r="T105" s="127">
        <v>0</v>
      </c>
      <c r="U105" s="127">
        <v>0</v>
      </c>
      <c r="V105" s="127">
        <v>0</v>
      </c>
      <c r="W105" s="127">
        <v>0</v>
      </c>
      <c r="X105" s="127">
        <v>0</v>
      </c>
      <c r="Y105" s="127">
        <v>0</v>
      </c>
      <c r="Z105" s="127" t="s">
        <v>1568</v>
      </c>
      <c r="AA105" s="127" t="s">
        <v>2511</v>
      </c>
      <c r="AB105" s="131" t="s">
        <v>1028</v>
      </c>
      <c r="AC105" s="127" t="s">
        <v>1835</v>
      </c>
      <c r="AD105" s="131" t="s">
        <v>813</v>
      </c>
      <c r="AE105" s="131" t="e">
        <v>#N/A</v>
      </c>
      <c r="AF105" s="131" t="e">
        <v>#N/A</v>
      </c>
      <c r="AG105" s="131" t="e">
        <v>#REF!</v>
      </c>
    </row>
    <row r="106" spans="1:33" s="131" customFormat="1" ht="18" customHeight="1" x14ac:dyDescent="0.25">
      <c r="A106" s="125">
        <v>105</v>
      </c>
      <c r="B106" s="137" t="s">
        <v>235</v>
      </c>
      <c r="C106" s="126" t="s">
        <v>2670</v>
      </c>
      <c r="D106" s="126" t="s">
        <v>2653</v>
      </c>
      <c r="E106" s="127" t="s">
        <v>813</v>
      </c>
      <c r="F106" s="128" t="s">
        <v>2521</v>
      </c>
      <c r="G106" s="128" t="s">
        <v>3290</v>
      </c>
      <c r="H106" s="125"/>
      <c r="I106" s="125"/>
      <c r="J106" s="132" t="s">
        <v>2520</v>
      </c>
      <c r="K106" s="130"/>
      <c r="L106" s="129"/>
      <c r="M106" s="127" t="s">
        <v>778</v>
      </c>
      <c r="N106" s="127" t="s">
        <v>2520</v>
      </c>
      <c r="O106" s="127" t="s">
        <v>1427</v>
      </c>
      <c r="P106" s="127" t="s">
        <v>1554</v>
      </c>
      <c r="Q106" s="127">
        <v>0</v>
      </c>
      <c r="R106" s="127">
        <v>0</v>
      </c>
      <c r="S106" s="127">
        <v>0</v>
      </c>
      <c r="T106" s="127">
        <v>4</v>
      </c>
      <c r="U106" s="127" t="s">
        <v>1473</v>
      </c>
      <c r="V106" s="127" t="s">
        <v>235</v>
      </c>
      <c r="W106" s="127">
        <v>0</v>
      </c>
      <c r="X106" s="127">
        <v>0</v>
      </c>
      <c r="Y106" s="127">
        <v>0</v>
      </c>
      <c r="Z106" s="127" t="s">
        <v>1568</v>
      </c>
      <c r="AA106" s="127" t="s">
        <v>2511</v>
      </c>
      <c r="AB106" s="131" t="s">
        <v>1029</v>
      </c>
      <c r="AC106" s="127" t="s">
        <v>1836</v>
      </c>
      <c r="AD106" s="131" t="s">
        <v>813</v>
      </c>
      <c r="AE106" s="131" t="e">
        <v>#N/A</v>
      </c>
      <c r="AF106" s="131" t="e">
        <v>#N/A</v>
      </c>
      <c r="AG106" s="131" t="e">
        <v>#REF!</v>
      </c>
    </row>
    <row r="107" spans="1:33" s="131" customFormat="1" ht="18" customHeight="1" x14ac:dyDescent="0.25">
      <c r="A107" s="125">
        <v>106</v>
      </c>
      <c r="B107" s="137" t="s">
        <v>236</v>
      </c>
      <c r="C107" s="126" t="s">
        <v>2671</v>
      </c>
      <c r="D107" s="126" t="s">
        <v>2653</v>
      </c>
      <c r="E107" s="127" t="s">
        <v>813</v>
      </c>
      <c r="F107" s="128" t="s">
        <v>2411</v>
      </c>
      <c r="G107" s="128" t="s">
        <v>3289</v>
      </c>
      <c r="H107" s="125"/>
      <c r="I107" s="125"/>
      <c r="J107" s="132" t="s">
        <v>2520</v>
      </c>
      <c r="K107" s="130"/>
      <c r="L107" s="129"/>
      <c r="M107" s="127" t="s">
        <v>779</v>
      </c>
      <c r="N107" s="127" t="s">
        <v>2520</v>
      </c>
      <c r="O107" s="127" t="s">
        <v>1473</v>
      </c>
      <c r="P107" s="127" t="s">
        <v>812</v>
      </c>
      <c r="Q107" s="127">
        <v>0</v>
      </c>
      <c r="R107" s="127">
        <v>0</v>
      </c>
      <c r="S107" s="127">
        <v>0</v>
      </c>
      <c r="T107" s="127">
        <v>0</v>
      </c>
      <c r="U107" s="127">
        <v>0</v>
      </c>
      <c r="V107" s="127">
        <v>0</v>
      </c>
      <c r="W107" s="127">
        <v>0</v>
      </c>
      <c r="X107" s="127">
        <v>0</v>
      </c>
      <c r="Y107" s="127">
        <v>0</v>
      </c>
      <c r="Z107" s="127">
        <v>0</v>
      </c>
      <c r="AA107" s="127" t="s">
        <v>2511</v>
      </c>
      <c r="AB107" s="131" t="s">
        <v>1030</v>
      </c>
      <c r="AC107" s="127" t="s">
        <v>1837</v>
      </c>
      <c r="AD107" s="131" t="s">
        <v>813</v>
      </c>
      <c r="AE107" s="131" t="e">
        <v>#N/A</v>
      </c>
      <c r="AF107" s="131" t="e">
        <v>#N/A</v>
      </c>
      <c r="AG107" s="131" t="e">
        <v>#REF!</v>
      </c>
    </row>
    <row r="108" spans="1:33" s="131" customFormat="1" ht="18" customHeight="1" x14ac:dyDescent="0.25">
      <c r="A108" s="125">
        <v>107</v>
      </c>
      <c r="B108" s="137" t="s">
        <v>237</v>
      </c>
      <c r="C108" s="126" t="s">
        <v>2672</v>
      </c>
      <c r="D108" s="126" t="s">
        <v>2650</v>
      </c>
      <c r="E108" s="127" t="s">
        <v>339</v>
      </c>
      <c r="F108" s="128" t="s">
        <v>2410</v>
      </c>
      <c r="G108" s="128" t="s">
        <v>3290</v>
      </c>
      <c r="H108" s="125"/>
      <c r="I108" s="125"/>
      <c r="J108" s="132" t="s">
        <v>2520</v>
      </c>
      <c r="K108" s="130" t="s">
        <v>233</v>
      </c>
      <c r="L108" s="129"/>
      <c r="M108" s="127" t="s">
        <v>779</v>
      </c>
      <c r="N108" s="127" t="s">
        <v>2520</v>
      </c>
      <c r="O108" s="127" t="s">
        <v>1427</v>
      </c>
      <c r="P108" s="127" t="s">
        <v>1554</v>
      </c>
      <c r="Q108" s="127">
        <v>0</v>
      </c>
      <c r="R108" s="127">
        <v>0</v>
      </c>
      <c r="S108" s="127">
        <v>0</v>
      </c>
      <c r="T108" s="127">
        <v>2</v>
      </c>
      <c r="U108" s="127" t="s">
        <v>1466</v>
      </c>
      <c r="V108" s="127" t="s">
        <v>237</v>
      </c>
      <c r="W108" s="127">
        <v>0</v>
      </c>
      <c r="X108" s="127">
        <v>0</v>
      </c>
      <c r="Y108" s="127">
        <v>0</v>
      </c>
      <c r="Z108" s="127" t="s">
        <v>1568</v>
      </c>
      <c r="AA108" s="127" t="s">
        <v>2511</v>
      </c>
      <c r="AB108" s="131" t="s">
        <v>1031</v>
      </c>
      <c r="AC108" s="127" t="s">
        <v>1838</v>
      </c>
      <c r="AD108" s="131" t="s">
        <v>339</v>
      </c>
      <c r="AE108" s="131" t="e">
        <v>#N/A</v>
      </c>
      <c r="AF108" s="131" t="e">
        <v>#N/A</v>
      </c>
      <c r="AG108" s="131" t="e">
        <v>#REF!</v>
      </c>
    </row>
    <row r="109" spans="1:33" s="131" customFormat="1" ht="18" customHeight="1" x14ac:dyDescent="0.25">
      <c r="A109" s="125">
        <v>108</v>
      </c>
      <c r="B109" s="137" t="s">
        <v>238</v>
      </c>
      <c r="C109" s="126" t="s">
        <v>2673</v>
      </c>
      <c r="D109" s="126" t="s">
        <v>2643</v>
      </c>
      <c r="E109" s="127" t="s">
        <v>813</v>
      </c>
      <c r="F109" s="128" t="s">
        <v>2521</v>
      </c>
      <c r="G109" s="128" t="s">
        <v>3290</v>
      </c>
      <c r="H109" s="125"/>
      <c r="I109" s="125"/>
      <c r="J109" s="132" t="s">
        <v>2520</v>
      </c>
      <c r="K109" s="130"/>
      <c r="L109" s="129"/>
      <c r="M109" s="127" t="s">
        <v>779</v>
      </c>
      <c r="N109" s="127" t="s">
        <v>2520</v>
      </c>
      <c r="O109" s="127" t="s">
        <v>1427</v>
      </c>
      <c r="P109" s="127" t="s">
        <v>1554</v>
      </c>
      <c r="Q109" s="127">
        <v>0</v>
      </c>
      <c r="R109" s="127">
        <v>0</v>
      </c>
      <c r="S109" s="127">
        <v>0</v>
      </c>
      <c r="T109" s="127">
        <v>2</v>
      </c>
      <c r="U109" s="127" t="s">
        <v>1468</v>
      </c>
      <c r="V109" s="127" t="s">
        <v>238</v>
      </c>
      <c r="W109" s="127">
        <v>0</v>
      </c>
      <c r="X109" s="127">
        <v>0</v>
      </c>
      <c r="Y109" s="127">
        <v>0</v>
      </c>
      <c r="Z109" s="127" t="s">
        <v>1568</v>
      </c>
      <c r="AA109" s="127" t="s">
        <v>2511</v>
      </c>
      <c r="AB109" s="131" t="s">
        <v>1032</v>
      </c>
      <c r="AC109" s="127" t="s">
        <v>1839</v>
      </c>
      <c r="AD109" s="131" t="s">
        <v>813</v>
      </c>
      <c r="AE109" s="131" t="e">
        <v>#N/A</v>
      </c>
      <c r="AF109" s="131" t="e">
        <v>#N/A</v>
      </c>
      <c r="AG109" s="131" t="e">
        <v>#REF!</v>
      </c>
    </row>
    <row r="110" spans="1:33" s="131" customFormat="1" ht="18" customHeight="1" x14ac:dyDescent="0.25">
      <c r="A110" s="125">
        <v>109</v>
      </c>
      <c r="B110" s="126" t="s">
        <v>334</v>
      </c>
      <c r="C110" s="126" t="s">
        <v>2674</v>
      </c>
      <c r="D110" s="126" t="s">
        <v>2653</v>
      </c>
      <c r="E110" s="127" t="s">
        <v>813</v>
      </c>
      <c r="F110" s="128" t="s">
        <v>2411</v>
      </c>
      <c r="G110" s="128" t="s">
        <v>3289</v>
      </c>
      <c r="H110" s="125"/>
      <c r="I110" s="125" t="s">
        <v>934</v>
      </c>
      <c r="J110" s="132"/>
      <c r="K110" s="130"/>
      <c r="L110" s="129"/>
      <c r="M110" s="127" t="s">
        <v>759</v>
      </c>
      <c r="N110" s="127" t="s">
        <v>770</v>
      </c>
      <c r="O110" s="127" t="s">
        <v>2360</v>
      </c>
      <c r="P110" s="127" t="s">
        <v>812</v>
      </c>
      <c r="Q110" s="127">
        <v>0</v>
      </c>
      <c r="R110" s="127">
        <v>0</v>
      </c>
      <c r="S110" s="127">
        <v>0</v>
      </c>
      <c r="T110" s="127">
        <v>0</v>
      </c>
      <c r="U110" s="127">
        <v>0</v>
      </c>
      <c r="V110" s="127">
        <v>0</v>
      </c>
      <c r="W110" s="127">
        <v>0</v>
      </c>
      <c r="X110" s="127">
        <v>0</v>
      </c>
      <c r="Y110" s="127">
        <v>0</v>
      </c>
      <c r="Z110" s="127" t="s">
        <v>1568</v>
      </c>
      <c r="AA110" s="127" t="s">
        <v>2511</v>
      </c>
      <c r="AB110" s="131" t="s">
        <v>1033</v>
      </c>
      <c r="AC110" s="127" t="s">
        <v>1840</v>
      </c>
      <c r="AD110" s="131" t="s">
        <v>813</v>
      </c>
      <c r="AE110" s="131" t="e">
        <v>#N/A</v>
      </c>
      <c r="AF110" s="131" t="e">
        <v>#N/A</v>
      </c>
      <c r="AG110" s="131" t="e">
        <v>#REF!</v>
      </c>
    </row>
    <row r="111" spans="1:33" s="131" customFormat="1" ht="18" customHeight="1" x14ac:dyDescent="0.25">
      <c r="A111" s="125">
        <v>110</v>
      </c>
      <c r="B111" s="126" t="s">
        <v>335</v>
      </c>
      <c r="C111" s="126" t="s">
        <v>2675</v>
      </c>
      <c r="D111" s="126" t="s">
        <v>2650</v>
      </c>
      <c r="E111" s="127" t="s">
        <v>813</v>
      </c>
      <c r="F111" s="128" t="s">
        <v>2410</v>
      </c>
      <c r="G111" s="128" t="s">
        <v>3294</v>
      </c>
      <c r="H111" s="125" t="s">
        <v>1732</v>
      </c>
      <c r="I111" s="125"/>
      <c r="J111" s="129"/>
      <c r="K111" s="130" t="s">
        <v>216</v>
      </c>
      <c r="L111" s="129"/>
      <c r="M111" s="127" t="s">
        <v>2334</v>
      </c>
      <c r="N111" s="127" t="s">
        <v>1639</v>
      </c>
      <c r="O111" s="127" t="s">
        <v>1427</v>
      </c>
      <c r="P111" s="127">
        <v>0</v>
      </c>
      <c r="Q111" s="127">
        <v>0</v>
      </c>
      <c r="R111" s="127">
        <v>0</v>
      </c>
      <c r="S111" s="127">
        <v>0</v>
      </c>
      <c r="T111" s="127">
        <v>2</v>
      </c>
      <c r="U111" s="127" t="s">
        <v>1468</v>
      </c>
      <c r="V111" s="127" t="s">
        <v>335</v>
      </c>
      <c r="W111" s="127" t="s">
        <v>798</v>
      </c>
      <c r="X111" s="127" t="s">
        <v>335</v>
      </c>
      <c r="Y111" s="127" t="s">
        <v>1454</v>
      </c>
      <c r="Z111" s="127">
        <v>0</v>
      </c>
      <c r="AA111" s="127" t="s">
        <v>2511</v>
      </c>
      <c r="AB111" s="131" t="s">
        <v>1034</v>
      </c>
      <c r="AC111" s="127" t="s">
        <v>1841</v>
      </c>
      <c r="AD111" s="131" t="s">
        <v>813</v>
      </c>
      <c r="AE111" s="131" t="e">
        <v>#N/A</v>
      </c>
      <c r="AF111" s="131" t="e">
        <v>#N/A</v>
      </c>
      <c r="AG111" s="131" t="e">
        <v>#REF!</v>
      </c>
    </row>
    <row r="112" spans="1:33" s="131" customFormat="1" ht="18" customHeight="1" x14ac:dyDescent="0.25">
      <c r="A112" s="125">
        <v>111</v>
      </c>
      <c r="B112" s="126" t="s">
        <v>336</v>
      </c>
      <c r="C112" s="126" t="s">
        <v>2676</v>
      </c>
      <c r="D112" s="126" t="s">
        <v>2657</v>
      </c>
      <c r="E112" s="127" t="s">
        <v>339</v>
      </c>
      <c r="F112" s="128"/>
      <c r="G112" s="128" t="s">
        <v>3290</v>
      </c>
      <c r="H112" s="125" t="s">
        <v>965</v>
      </c>
      <c r="I112" s="125"/>
      <c r="J112" s="132"/>
      <c r="K112" s="130"/>
      <c r="L112" s="129"/>
      <c r="M112" s="127" t="s">
        <v>759</v>
      </c>
      <c r="N112" s="127" t="s">
        <v>1639</v>
      </c>
      <c r="O112" s="127" t="s">
        <v>1427</v>
      </c>
      <c r="P112" s="127">
        <v>0</v>
      </c>
      <c r="Q112" s="127">
        <v>0</v>
      </c>
      <c r="R112" s="127">
        <v>0</v>
      </c>
      <c r="S112" s="127">
        <v>0</v>
      </c>
      <c r="T112" s="127">
        <v>2</v>
      </c>
      <c r="U112" s="127" t="s">
        <v>1470</v>
      </c>
      <c r="V112" s="127" t="s">
        <v>336</v>
      </c>
      <c r="W112" s="127" t="s">
        <v>1472</v>
      </c>
      <c r="X112" s="127" t="s">
        <v>336</v>
      </c>
      <c r="Y112" s="127" t="s">
        <v>1461</v>
      </c>
      <c r="Z112" s="127" t="s">
        <v>1568</v>
      </c>
      <c r="AA112" s="127" t="s">
        <v>2510</v>
      </c>
      <c r="AB112" s="131" t="s">
        <v>1035</v>
      </c>
      <c r="AC112" s="127" t="s">
        <v>1842</v>
      </c>
      <c r="AD112" s="131" t="s">
        <v>339</v>
      </c>
      <c r="AE112" s="131" t="e">
        <v>#N/A</v>
      </c>
      <c r="AF112" s="131" t="e">
        <v>#N/A</v>
      </c>
      <c r="AG112" s="131" t="e">
        <v>#REF!</v>
      </c>
    </row>
    <row r="113" spans="1:33" s="131" customFormat="1" ht="15.75" x14ac:dyDescent="0.25">
      <c r="A113" s="125">
        <v>112</v>
      </c>
      <c r="B113" s="126" t="s">
        <v>333</v>
      </c>
      <c r="C113" s="126" t="s">
        <v>2677</v>
      </c>
      <c r="D113" s="126" t="s">
        <v>2653</v>
      </c>
      <c r="E113" s="127" t="s">
        <v>813</v>
      </c>
      <c r="F113" s="128" t="s">
        <v>2411</v>
      </c>
      <c r="G113" s="128" t="s">
        <v>3290</v>
      </c>
      <c r="H113" s="125" t="s">
        <v>1325</v>
      </c>
      <c r="I113" s="125"/>
      <c r="J113" s="129"/>
      <c r="K113" s="130"/>
      <c r="L113" s="129"/>
      <c r="M113" s="127" t="s">
        <v>761</v>
      </c>
      <c r="N113" s="127" t="s">
        <v>1639</v>
      </c>
      <c r="O113" s="127" t="s">
        <v>1553</v>
      </c>
      <c r="P113" s="127" t="s">
        <v>1554</v>
      </c>
      <c r="Q113" s="127">
        <v>2</v>
      </c>
      <c r="R113" s="127" t="s">
        <v>1468</v>
      </c>
      <c r="S113" s="127" t="s">
        <v>333</v>
      </c>
      <c r="T113" s="127">
        <v>0</v>
      </c>
      <c r="U113" s="127">
        <v>0</v>
      </c>
      <c r="V113" s="127">
        <v>0</v>
      </c>
      <c r="W113" s="127" t="s">
        <v>798</v>
      </c>
      <c r="X113" s="127" t="s">
        <v>333</v>
      </c>
      <c r="Y113" s="127" t="s">
        <v>1576</v>
      </c>
      <c r="Z113" s="127">
        <v>0</v>
      </c>
      <c r="AA113" s="127" t="s">
        <v>2511</v>
      </c>
      <c r="AB113" s="131" t="s">
        <v>1036</v>
      </c>
      <c r="AC113" s="127" t="s">
        <v>1843</v>
      </c>
      <c r="AD113" s="131" t="s">
        <v>813</v>
      </c>
      <c r="AE113" s="131" t="e">
        <v>#N/A</v>
      </c>
      <c r="AF113" s="131" t="e">
        <v>#N/A</v>
      </c>
      <c r="AG113" s="131" t="e">
        <v>#REF!</v>
      </c>
    </row>
    <row r="114" spans="1:33" s="131" customFormat="1" ht="15.75" x14ac:dyDescent="0.25">
      <c r="A114" s="125">
        <v>113</v>
      </c>
      <c r="B114" s="126" t="s">
        <v>337</v>
      </c>
      <c r="C114" s="126" t="s">
        <v>2678</v>
      </c>
      <c r="D114" s="126" t="s">
        <v>2650</v>
      </c>
      <c r="E114" s="127" t="s">
        <v>339</v>
      </c>
      <c r="F114" s="128" t="s">
        <v>2411</v>
      </c>
      <c r="G114" s="128" t="s">
        <v>3290</v>
      </c>
      <c r="H114" s="125" t="s">
        <v>1732</v>
      </c>
      <c r="I114" s="125"/>
      <c r="J114" s="129"/>
      <c r="K114" s="130"/>
      <c r="L114" s="129"/>
      <c r="M114" s="127" t="s">
        <v>761</v>
      </c>
      <c r="N114" s="127" t="s">
        <v>1639</v>
      </c>
      <c r="O114" s="127" t="s">
        <v>1553</v>
      </c>
      <c r="P114" s="127" t="s">
        <v>1554</v>
      </c>
      <c r="Q114" s="127">
        <v>2</v>
      </c>
      <c r="R114" s="127" t="s">
        <v>1467</v>
      </c>
      <c r="S114" s="127" t="s">
        <v>337</v>
      </c>
      <c r="T114" s="127">
        <v>0</v>
      </c>
      <c r="U114" s="127">
        <v>0</v>
      </c>
      <c r="V114" s="127">
        <v>0</v>
      </c>
      <c r="W114" s="127">
        <v>0</v>
      </c>
      <c r="X114" s="127">
        <v>0</v>
      </c>
      <c r="Y114" s="127">
        <v>0</v>
      </c>
      <c r="Z114" s="127" t="s">
        <v>1568</v>
      </c>
      <c r="AA114" s="127" t="s">
        <v>2511</v>
      </c>
      <c r="AB114" s="131" t="s">
        <v>1038</v>
      </c>
      <c r="AC114" s="127" t="s">
        <v>1844</v>
      </c>
      <c r="AD114" s="131" t="s">
        <v>339</v>
      </c>
      <c r="AE114" s="131" t="e">
        <v>#N/A</v>
      </c>
      <c r="AF114" s="131" t="e">
        <v>#N/A</v>
      </c>
      <c r="AG114" s="131" t="e">
        <v>#REF!</v>
      </c>
    </row>
    <row r="115" spans="1:33" s="131" customFormat="1" ht="15.75" x14ac:dyDescent="0.25">
      <c r="A115" s="125">
        <v>114</v>
      </c>
      <c r="B115" s="126" t="s">
        <v>328</v>
      </c>
      <c r="C115" s="126" t="s">
        <v>2679</v>
      </c>
      <c r="D115" s="126" t="s">
        <v>2650</v>
      </c>
      <c r="E115" s="127" t="s">
        <v>339</v>
      </c>
      <c r="F115" s="128" t="s">
        <v>2411</v>
      </c>
      <c r="G115" s="128" t="s">
        <v>3290</v>
      </c>
      <c r="H115" s="125" t="s">
        <v>986</v>
      </c>
      <c r="I115" s="125"/>
      <c r="J115" s="129"/>
      <c r="K115" s="130"/>
      <c r="L115" s="129"/>
      <c r="M115" s="127" t="s">
        <v>761</v>
      </c>
      <c r="N115" s="127" t="s">
        <v>1639</v>
      </c>
      <c r="O115" s="127" t="s">
        <v>1427</v>
      </c>
      <c r="P115" s="127" t="s">
        <v>1554</v>
      </c>
      <c r="Q115" s="127">
        <v>0</v>
      </c>
      <c r="R115" s="127">
        <v>0</v>
      </c>
      <c r="S115" s="127">
        <v>0</v>
      </c>
      <c r="T115" s="127">
        <v>2</v>
      </c>
      <c r="U115" s="127" t="s">
        <v>1469</v>
      </c>
      <c r="V115" s="127" t="s">
        <v>328</v>
      </c>
      <c r="W115" s="127">
        <v>0</v>
      </c>
      <c r="X115" s="127">
        <v>0</v>
      </c>
      <c r="Y115" s="127">
        <v>0</v>
      </c>
      <c r="Z115" s="127" t="s">
        <v>1568</v>
      </c>
      <c r="AA115" s="127" t="s">
        <v>2511</v>
      </c>
      <c r="AB115" s="131" t="s">
        <v>1039</v>
      </c>
      <c r="AC115" s="127" t="s">
        <v>1845</v>
      </c>
      <c r="AD115" s="131" t="s">
        <v>339</v>
      </c>
      <c r="AE115" s="131" t="e">
        <v>#N/A</v>
      </c>
      <c r="AF115" s="131" t="e">
        <v>#N/A</v>
      </c>
      <c r="AG115" s="131" t="e">
        <v>#REF!</v>
      </c>
    </row>
    <row r="116" spans="1:33" s="131" customFormat="1" ht="18" customHeight="1" x14ac:dyDescent="0.25">
      <c r="A116" s="125">
        <v>115</v>
      </c>
      <c r="B116" s="137" t="s">
        <v>325</v>
      </c>
      <c r="C116" s="126" t="s">
        <v>2680</v>
      </c>
      <c r="D116" s="126" t="s">
        <v>2665</v>
      </c>
      <c r="E116" s="127" t="s">
        <v>813</v>
      </c>
      <c r="F116" s="128" t="s">
        <v>2521</v>
      </c>
      <c r="G116" s="128" t="s">
        <v>3289</v>
      </c>
      <c r="H116" s="125"/>
      <c r="I116" s="125"/>
      <c r="J116" s="132" t="s">
        <v>2520</v>
      </c>
      <c r="K116" s="130"/>
      <c r="L116" s="129"/>
      <c r="M116" s="127" t="s">
        <v>758</v>
      </c>
      <c r="N116" s="127" t="s">
        <v>2520</v>
      </c>
      <c r="O116" s="127" t="s">
        <v>2361</v>
      </c>
      <c r="P116" s="127" t="s">
        <v>812</v>
      </c>
      <c r="Q116" s="127">
        <v>0</v>
      </c>
      <c r="R116" s="127">
        <v>0</v>
      </c>
      <c r="S116" s="127">
        <v>0</v>
      </c>
      <c r="T116" s="127">
        <v>0</v>
      </c>
      <c r="U116" s="127">
        <v>0</v>
      </c>
      <c r="V116" s="127">
        <v>0</v>
      </c>
      <c r="W116" s="127">
        <v>0</v>
      </c>
      <c r="X116" s="127">
        <v>0</v>
      </c>
      <c r="Y116" s="127">
        <v>0</v>
      </c>
      <c r="Z116" s="127" t="s">
        <v>1568</v>
      </c>
      <c r="AA116" s="127" t="s">
        <v>2511</v>
      </c>
      <c r="AB116" s="131" t="s">
        <v>1040</v>
      </c>
      <c r="AC116" s="127" t="s">
        <v>1846</v>
      </c>
      <c r="AD116" s="131" t="s">
        <v>813</v>
      </c>
      <c r="AE116" s="131" t="e">
        <v>#N/A</v>
      </c>
      <c r="AF116" s="131" t="e">
        <v>#N/A</v>
      </c>
      <c r="AG116" s="131" t="e">
        <v>#REF!</v>
      </c>
    </row>
    <row r="117" spans="1:33" s="131" customFormat="1" ht="15.75" x14ac:dyDescent="0.25">
      <c r="A117" s="125">
        <v>116</v>
      </c>
      <c r="B117" s="126" t="s">
        <v>542</v>
      </c>
      <c r="C117" s="126" t="s">
        <v>2681</v>
      </c>
      <c r="D117" s="126" t="s">
        <v>2653</v>
      </c>
      <c r="E117" s="127" t="s">
        <v>813</v>
      </c>
      <c r="F117" s="128" t="s">
        <v>2410</v>
      </c>
      <c r="G117" s="128" t="s">
        <v>3289</v>
      </c>
      <c r="H117" s="125" t="s">
        <v>1732</v>
      </c>
      <c r="I117" s="125"/>
      <c r="J117" s="129"/>
      <c r="K117" s="130" t="s">
        <v>9</v>
      </c>
      <c r="L117" s="129"/>
      <c r="M117" s="127" t="s">
        <v>759</v>
      </c>
      <c r="N117" s="127" t="s">
        <v>1639</v>
      </c>
      <c r="O117" s="127" t="s">
        <v>1427</v>
      </c>
      <c r="P117" s="127">
        <v>0</v>
      </c>
      <c r="Q117" s="127">
        <v>0</v>
      </c>
      <c r="R117" s="127">
        <v>0</v>
      </c>
      <c r="S117" s="127">
        <v>0</v>
      </c>
      <c r="T117" s="127">
        <v>2</v>
      </c>
      <c r="U117" s="127" t="s">
        <v>798</v>
      </c>
      <c r="V117" s="127" t="s">
        <v>542</v>
      </c>
      <c r="W117" s="127" t="s">
        <v>1577</v>
      </c>
      <c r="X117" s="127" t="s">
        <v>542</v>
      </c>
      <c r="Y117" s="127" t="s">
        <v>1573</v>
      </c>
      <c r="Z117" s="127">
        <v>0</v>
      </c>
      <c r="AA117" s="127" t="s">
        <v>2511</v>
      </c>
      <c r="AB117" s="131" t="s">
        <v>627</v>
      </c>
      <c r="AC117" s="127" t="s">
        <v>1847</v>
      </c>
      <c r="AD117" s="131" t="s">
        <v>813</v>
      </c>
      <c r="AE117" s="131" t="s">
        <v>9</v>
      </c>
      <c r="AF117" s="131" t="b">
        <v>1</v>
      </c>
      <c r="AG117" s="131" t="e">
        <v>#REF!</v>
      </c>
    </row>
    <row r="118" spans="1:33" s="131" customFormat="1" ht="18" customHeight="1" x14ac:dyDescent="0.25">
      <c r="A118" s="125">
        <v>117</v>
      </c>
      <c r="B118" s="126" t="s">
        <v>496</v>
      </c>
      <c r="C118" s="126" t="s">
        <v>2682</v>
      </c>
      <c r="D118" s="126" t="s">
        <v>2643</v>
      </c>
      <c r="E118" s="127" t="s">
        <v>813</v>
      </c>
      <c r="F118" s="128"/>
      <c r="G118" s="128" t="s">
        <v>3290</v>
      </c>
      <c r="H118" s="125" t="s">
        <v>1732</v>
      </c>
      <c r="I118" s="125"/>
      <c r="J118" s="129"/>
      <c r="K118" s="130"/>
      <c r="L118" s="129"/>
      <c r="M118" s="127" t="s">
        <v>759</v>
      </c>
      <c r="N118" s="127" t="s">
        <v>1639</v>
      </c>
      <c r="O118" s="127" t="s">
        <v>1427</v>
      </c>
      <c r="P118" s="127">
        <v>0</v>
      </c>
      <c r="Q118" s="127">
        <v>0</v>
      </c>
      <c r="R118" s="127">
        <v>0</v>
      </c>
      <c r="S118" s="127">
        <v>0</v>
      </c>
      <c r="T118" s="127">
        <v>2</v>
      </c>
      <c r="U118" s="127" t="s">
        <v>1578</v>
      </c>
      <c r="V118" s="127" t="s">
        <v>496</v>
      </c>
      <c r="W118" s="127" t="s">
        <v>798</v>
      </c>
      <c r="X118" s="127" t="s">
        <v>496</v>
      </c>
      <c r="Y118" s="127" t="s">
        <v>1570</v>
      </c>
      <c r="Z118" s="127">
        <v>0</v>
      </c>
      <c r="AA118" s="127" t="s">
        <v>2511</v>
      </c>
      <c r="AB118" s="131" t="s">
        <v>628</v>
      </c>
      <c r="AC118" s="127" t="s">
        <v>1848</v>
      </c>
      <c r="AD118" s="131" t="s">
        <v>813</v>
      </c>
      <c r="AE118" s="131" t="e">
        <v>#N/A</v>
      </c>
      <c r="AF118" s="131" t="e">
        <v>#N/A</v>
      </c>
      <c r="AG118" s="131" t="e">
        <v>#REF!</v>
      </c>
    </row>
    <row r="119" spans="1:33" s="131" customFormat="1" ht="18" customHeight="1" x14ac:dyDescent="0.25">
      <c r="A119" s="125">
        <v>118</v>
      </c>
      <c r="B119" s="126" t="s">
        <v>497</v>
      </c>
      <c r="C119" s="126" t="s">
        <v>2683</v>
      </c>
      <c r="D119" s="126" t="s">
        <v>2665</v>
      </c>
      <c r="E119" s="127" t="s">
        <v>813</v>
      </c>
      <c r="F119" s="128"/>
      <c r="G119" s="128" t="s">
        <v>3290</v>
      </c>
      <c r="H119" s="125" t="s">
        <v>952</v>
      </c>
      <c r="I119" s="125"/>
      <c r="J119" s="129"/>
      <c r="K119" s="130"/>
      <c r="L119" s="129"/>
      <c r="M119" s="127" t="s">
        <v>759</v>
      </c>
      <c r="N119" s="127" t="s">
        <v>1639</v>
      </c>
      <c r="O119" s="127" t="s">
        <v>1553</v>
      </c>
      <c r="P119" s="127">
        <v>0</v>
      </c>
      <c r="Q119" s="127">
        <v>2</v>
      </c>
      <c r="R119" s="127" t="s">
        <v>798</v>
      </c>
      <c r="S119" s="127" t="s">
        <v>497</v>
      </c>
      <c r="T119" s="127">
        <v>0</v>
      </c>
      <c r="U119" s="127">
        <v>0</v>
      </c>
      <c r="V119" s="127">
        <v>0</v>
      </c>
      <c r="W119" s="127">
        <v>0</v>
      </c>
      <c r="X119" s="127">
        <v>0</v>
      </c>
      <c r="Y119" s="127">
        <v>0</v>
      </c>
      <c r="Z119" s="127">
        <v>0</v>
      </c>
      <c r="AA119" s="127" t="s">
        <v>2511</v>
      </c>
      <c r="AB119" s="131" t="s">
        <v>629</v>
      </c>
      <c r="AC119" s="127" t="s">
        <v>1849</v>
      </c>
      <c r="AD119" s="131" t="s">
        <v>813</v>
      </c>
      <c r="AE119" s="131" t="e">
        <v>#N/A</v>
      </c>
      <c r="AF119" s="131" t="e">
        <v>#N/A</v>
      </c>
      <c r="AG119" s="131" t="e">
        <v>#REF!</v>
      </c>
    </row>
    <row r="120" spans="1:33" s="131" customFormat="1" ht="18" customHeight="1" x14ac:dyDescent="0.25">
      <c r="A120" s="125">
        <v>119</v>
      </c>
      <c r="B120" s="126" t="s">
        <v>517</v>
      </c>
      <c r="C120" s="126" t="s">
        <v>2684</v>
      </c>
      <c r="D120" s="126" t="s">
        <v>2657</v>
      </c>
      <c r="E120" s="127" t="s">
        <v>813</v>
      </c>
      <c r="F120" s="128"/>
      <c r="G120" s="128" t="s">
        <v>3290</v>
      </c>
      <c r="H120" s="125" t="s">
        <v>1086</v>
      </c>
      <c r="I120" s="125"/>
      <c r="J120" s="129"/>
      <c r="K120" s="130"/>
      <c r="L120" s="129"/>
      <c r="M120" s="127" t="s">
        <v>759</v>
      </c>
      <c r="N120" s="127" t="s">
        <v>1639</v>
      </c>
      <c r="O120" s="127" t="s">
        <v>1427</v>
      </c>
      <c r="P120" s="127">
        <v>0</v>
      </c>
      <c r="Q120" s="127">
        <v>0</v>
      </c>
      <c r="R120" s="127">
        <v>0</v>
      </c>
      <c r="S120" s="127">
        <v>0</v>
      </c>
      <c r="T120" s="127">
        <v>2</v>
      </c>
      <c r="U120" s="127" t="s">
        <v>1470</v>
      </c>
      <c r="V120" s="127" t="s">
        <v>517</v>
      </c>
      <c r="W120" s="127">
        <v>0</v>
      </c>
      <c r="X120" s="127">
        <v>0</v>
      </c>
      <c r="Y120" s="127">
        <v>0</v>
      </c>
      <c r="Z120" s="127">
        <v>0</v>
      </c>
      <c r="AA120" s="127" t="s">
        <v>2511</v>
      </c>
      <c r="AB120" s="131" t="s">
        <v>630</v>
      </c>
      <c r="AC120" s="127" t="s">
        <v>1850</v>
      </c>
      <c r="AD120" s="131" t="s">
        <v>813</v>
      </c>
      <c r="AE120" s="131" t="e">
        <v>#N/A</v>
      </c>
      <c r="AF120" s="131" t="e">
        <v>#N/A</v>
      </c>
      <c r="AG120" s="131" t="e">
        <v>#REF!</v>
      </c>
    </row>
    <row r="121" spans="1:33" s="131" customFormat="1" ht="15.75" x14ac:dyDescent="0.25">
      <c r="A121" s="125">
        <v>120</v>
      </c>
      <c r="B121" s="126" t="s">
        <v>518</v>
      </c>
      <c r="C121" s="126" t="s">
        <v>2685</v>
      </c>
      <c r="D121" s="126" t="s">
        <v>2643</v>
      </c>
      <c r="E121" s="127" t="s">
        <v>813</v>
      </c>
      <c r="F121" s="128"/>
      <c r="G121" s="128" t="s">
        <v>3290</v>
      </c>
      <c r="H121" s="125" t="s">
        <v>2393</v>
      </c>
      <c r="I121" s="125"/>
      <c r="J121" s="129" t="s">
        <v>1641</v>
      </c>
      <c r="K121" s="130"/>
      <c r="L121" s="129"/>
      <c r="M121" s="127" t="s">
        <v>759</v>
      </c>
      <c r="N121" s="127" t="s">
        <v>1641</v>
      </c>
      <c r="O121" s="127" t="s">
        <v>1427</v>
      </c>
      <c r="P121" s="127">
        <v>0</v>
      </c>
      <c r="Q121" s="127">
        <v>0</v>
      </c>
      <c r="R121" s="127">
        <v>0</v>
      </c>
      <c r="S121" s="127">
        <v>0</v>
      </c>
      <c r="T121" s="127">
        <v>2</v>
      </c>
      <c r="U121" s="127" t="s">
        <v>1579</v>
      </c>
      <c r="V121" s="127" t="s">
        <v>518</v>
      </c>
      <c r="W121" s="127">
        <v>0</v>
      </c>
      <c r="X121" s="127">
        <v>0</v>
      </c>
      <c r="Y121" s="127">
        <v>0</v>
      </c>
      <c r="Z121" s="127">
        <v>0</v>
      </c>
      <c r="AA121" s="127" t="s">
        <v>2511</v>
      </c>
      <c r="AB121" s="131" t="s">
        <v>631</v>
      </c>
      <c r="AC121" s="127" t="s">
        <v>1851</v>
      </c>
      <c r="AD121" s="131" t="s">
        <v>813</v>
      </c>
      <c r="AE121" s="131" t="e">
        <v>#N/A</v>
      </c>
      <c r="AF121" s="131" t="e">
        <v>#N/A</v>
      </c>
      <c r="AG121" s="131" t="e">
        <v>#REF!</v>
      </c>
    </row>
    <row r="122" spans="1:33" s="131" customFormat="1" ht="15.75" x14ac:dyDescent="0.25">
      <c r="A122" s="125">
        <v>121</v>
      </c>
      <c r="B122" s="126" t="s">
        <v>519</v>
      </c>
      <c r="C122" s="126" t="s">
        <v>2686</v>
      </c>
      <c r="D122" s="126" t="s">
        <v>2657</v>
      </c>
      <c r="E122" s="127" t="s">
        <v>339</v>
      </c>
      <c r="F122" s="128"/>
      <c r="G122" s="128" t="s">
        <v>3289</v>
      </c>
      <c r="H122" s="125" t="s">
        <v>1732</v>
      </c>
      <c r="I122" s="125"/>
      <c r="J122" s="129"/>
      <c r="K122" s="130"/>
      <c r="L122" s="129"/>
      <c r="M122" s="127" t="s">
        <v>759</v>
      </c>
      <c r="N122" s="127" t="s">
        <v>1639</v>
      </c>
      <c r="O122" s="127" t="s">
        <v>1427</v>
      </c>
      <c r="P122" s="127">
        <v>0</v>
      </c>
      <c r="Q122" s="127">
        <v>0</v>
      </c>
      <c r="R122" s="127">
        <v>0</v>
      </c>
      <c r="S122" s="127">
        <v>0</v>
      </c>
      <c r="T122" s="127">
        <v>2</v>
      </c>
      <c r="U122" s="127" t="s">
        <v>1470</v>
      </c>
      <c r="V122" s="127" t="s">
        <v>519</v>
      </c>
      <c r="W122" s="127" t="s">
        <v>1470</v>
      </c>
      <c r="X122" s="127" t="s">
        <v>519</v>
      </c>
      <c r="Y122" s="127" t="s">
        <v>1570</v>
      </c>
      <c r="Z122" s="127">
        <v>0</v>
      </c>
      <c r="AA122" s="127" t="s">
        <v>2511</v>
      </c>
      <c r="AB122" s="131" t="s">
        <v>632</v>
      </c>
      <c r="AC122" s="127" t="s">
        <v>1852</v>
      </c>
      <c r="AD122" s="131" t="s">
        <v>339</v>
      </c>
      <c r="AE122" s="131" t="e">
        <v>#N/A</v>
      </c>
      <c r="AF122" s="131" t="e">
        <v>#N/A</v>
      </c>
      <c r="AG122" s="131" t="e">
        <v>#REF!</v>
      </c>
    </row>
    <row r="123" spans="1:33" s="131" customFormat="1" ht="18" customHeight="1" x14ac:dyDescent="0.25">
      <c r="A123" s="125">
        <v>122</v>
      </c>
      <c r="B123" s="126" t="s">
        <v>516</v>
      </c>
      <c r="C123" s="126" t="s">
        <v>2687</v>
      </c>
      <c r="D123" s="126" t="s">
        <v>2643</v>
      </c>
      <c r="E123" s="127" t="s">
        <v>813</v>
      </c>
      <c r="F123" s="128" t="s">
        <v>2411</v>
      </c>
      <c r="G123" s="128" t="s">
        <v>3289</v>
      </c>
      <c r="H123" s="125" t="s">
        <v>1086</v>
      </c>
      <c r="I123" s="125"/>
      <c r="J123" s="129"/>
      <c r="K123" s="130"/>
      <c r="L123" s="129"/>
      <c r="M123" s="127" t="s">
        <v>759</v>
      </c>
      <c r="N123" s="127" t="s">
        <v>1639</v>
      </c>
      <c r="O123" s="127" t="s">
        <v>1471</v>
      </c>
      <c r="P123" s="127" t="s">
        <v>812</v>
      </c>
      <c r="Q123" s="127">
        <v>0</v>
      </c>
      <c r="R123" s="127">
        <v>0</v>
      </c>
      <c r="S123" s="127">
        <v>0</v>
      </c>
      <c r="T123" s="127">
        <v>0</v>
      </c>
      <c r="U123" s="127">
        <v>0</v>
      </c>
      <c r="V123" s="127">
        <v>0</v>
      </c>
      <c r="W123" s="127">
        <v>0</v>
      </c>
      <c r="X123" s="127">
        <v>0</v>
      </c>
      <c r="Y123" s="127">
        <v>0</v>
      </c>
      <c r="Z123" s="127">
        <v>0</v>
      </c>
      <c r="AA123" s="127" t="s">
        <v>2511</v>
      </c>
      <c r="AB123" s="131" t="s">
        <v>633</v>
      </c>
      <c r="AC123" s="127" t="s">
        <v>1853</v>
      </c>
      <c r="AD123" s="131" t="s">
        <v>813</v>
      </c>
      <c r="AE123" s="131" t="e">
        <v>#N/A</v>
      </c>
      <c r="AF123" s="131" t="e">
        <v>#N/A</v>
      </c>
      <c r="AG123" s="131" t="e">
        <v>#REF!</v>
      </c>
    </row>
    <row r="124" spans="1:33" s="131" customFormat="1" ht="18" customHeight="1" x14ac:dyDescent="0.25">
      <c r="A124" s="125">
        <v>123</v>
      </c>
      <c r="B124" s="126" t="s">
        <v>520</v>
      </c>
      <c r="C124" s="126" t="s">
        <v>2688</v>
      </c>
      <c r="D124" s="126" t="s">
        <v>2643</v>
      </c>
      <c r="E124" s="127" t="s">
        <v>813</v>
      </c>
      <c r="F124" s="128" t="s">
        <v>2410</v>
      </c>
      <c r="G124" s="128" t="s">
        <v>3294</v>
      </c>
      <c r="H124" s="125" t="s">
        <v>1732</v>
      </c>
      <c r="I124" s="125"/>
      <c r="J124" s="129"/>
      <c r="K124" s="130" t="s">
        <v>216</v>
      </c>
      <c r="L124" s="129"/>
      <c r="M124" s="127" t="s">
        <v>759</v>
      </c>
      <c r="N124" s="127" t="s">
        <v>1639</v>
      </c>
      <c r="O124" s="127" t="s">
        <v>1553</v>
      </c>
      <c r="P124" s="127">
        <v>0</v>
      </c>
      <c r="Q124" s="127">
        <v>2</v>
      </c>
      <c r="R124" s="127" t="s">
        <v>1468</v>
      </c>
      <c r="S124" s="127" t="s">
        <v>520</v>
      </c>
      <c r="T124" s="127">
        <v>0</v>
      </c>
      <c r="U124" s="127">
        <v>0</v>
      </c>
      <c r="V124" s="127">
        <v>0</v>
      </c>
      <c r="W124" s="127">
        <v>0</v>
      </c>
      <c r="X124" s="127">
        <v>0</v>
      </c>
      <c r="Y124" s="127">
        <v>0</v>
      </c>
      <c r="Z124" s="127">
        <v>0</v>
      </c>
      <c r="AA124" s="127" t="s">
        <v>2511</v>
      </c>
      <c r="AB124" s="131" t="s">
        <v>634</v>
      </c>
      <c r="AC124" s="127" t="s">
        <v>1854</v>
      </c>
      <c r="AD124" s="131" t="s">
        <v>813</v>
      </c>
      <c r="AE124" s="131" t="s">
        <v>216</v>
      </c>
      <c r="AF124" s="131" t="b">
        <v>1</v>
      </c>
      <c r="AG124" s="131" t="e">
        <v>#REF!</v>
      </c>
    </row>
    <row r="125" spans="1:33" s="131" customFormat="1" ht="18" customHeight="1" x14ac:dyDescent="0.25">
      <c r="A125" s="125">
        <v>124</v>
      </c>
      <c r="B125" s="126" t="s">
        <v>554</v>
      </c>
      <c r="C125" s="126" t="s">
        <v>2689</v>
      </c>
      <c r="D125" s="126" t="s">
        <v>2653</v>
      </c>
      <c r="E125" s="127" t="s">
        <v>813</v>
      </c>
      <c r="F125" s="128"/>
      <c r="G125" s="128" t="s">
        <v>3294</v>
      </c>
      <c r="H125" s="125"/>
      <c r="I125" s="125"/>
      <c r="J125" s="129" t="s">
        <v>1641</v>
      </c>
      <c r="K125" s="130"/>
      <c r="L125" s="129"/>
      <c r="M125" s="127" t="s">
        <v>757</v>
      </c>
      <c r="N125" s="127" t="s">
        <v>1641</v>
      </c>
      <c r="O125" s="127" t="s">
        <v>1427</v>
      </c>
      <c r="P125" s="127">
        <v>0</v>
      </c>
      <c r="Q125" s="127">
        <v>0</v>
      </c>
      <c r="R125" s="127">
        <v>0</v>
      </c>
      <c r="S125" s="127">
        <v>0</v>
      </c>
      <c r="T125" s="127">
        <v>2</v>
      </c>
      <c r="U125" s="127" t="s">
        <v>1473</v>
      </c>
      <c r="V125" s="127" t="s">
        <v>554</v>
      </c>
      <c r="W125" s="127" t="s">
        <v>1473</v>
      </c>
      <c r="X125" s="127" t="s">
        <v>554</v>
      </c>
      <c r="Y125" s="127" t="s">
        <v>1573</v>
      </c>
      <c r="Z125" s="127">
        <v>0</v>
      </c>
      <c r="AA125" s="127" t="s">
        <v>2511</v>
      </c>
      <c r="AB125" s="131" t="s">
        <v>635</v>
      </c>
      <c r="AC125" s="127" t="s">
        <v>1855</v>
      </c>
      <c r="AD125" s="131" t="s">
        <v>813</v>
      </c>
      <c r="AE125" s="131" t="e">
        <v>#N/A</v>
      </c>
      <c r="AF125" s="131" t="e">
        <v>#N/A</v>
      </c>
      <c r="AG125" s="131" t="e">
        <v>#REF!</v>
      </c>
    </row>
    <row r="126" spans="1:33" s="131" customFormat="1" ht="15.75" x14ac:dyDescent="0.25">
      <c r="A126" s="125">
        <v>125</v>
      </c>
      <c r="B126" s="126" t="s">
        <v>564</v>
      </c>
      <c r="C126" s="126" t="s">
        <v>2690</v>
      </c>
      <c r="D126" s="126" t="s">
        <v>2643</v>
      </c>
      <c r="E126" s="127" t="s">
        <v>813</v>
      </c>
      <c r="F126" s="128"/>
      <c r="G126" s="128" t="s">
        <v>3290</v>
      </c>
      <c r="H126" s="125" t="s">
        <v>2393</v>
      </c>
      <c r="I126" s="125"/>
      <c r="J126" s="129" t="s">
        <v>1641</v>
      </c>
      <c r="K126" s="130"/>
      <c r="L126" s="129"/>
      <c r="M126" s="127" t="s">
        <v>759</v>
      </c>
      <c r="N126" s="127" t="s">
        <v>1641</v>
      </c>
      <c r="O126" s="127" t="s">
        <v>1427</v>
      </c>
      <c r="P126" s="127">
        <v>0</v>
      </c>
      <c r="Q126" s="127">
        <v>0</v>
      </c>
      <c r="R126" s="127">
        <v>0</v>
      </c>
      <c r="S126" s="127">
        <v>0</v>
      </c>
      <c r="T126" s="127">
        <v>2</v>
      </c>
      <c r="U126" s="127" t="s">
        <v>1468</v>
      </c>
      <c r="V126" s="127" t="s">
        <v>564</v>
      </c>
      <c r="W126" s="127" t="s">
        <v>798</v>
      </c>
      <c r="X126" s="127" t="s">
        <v>564</v>
      </c>
      <c r="Y126" s="127" t="s">
        <v>1573</v>
      </c>
      <c r="Z126" s="127">
        <v>0</v>
      </c>
      <c r="AA126" s="127" t="s">
        <v>2511</v>
      </c>
      <c r="AB126" s="131" t="s">
        <v>636</v>
      </c>
      <c r="AC126" s="127" t="s">
        <v>1856</v>
      </c>
      <c r="AD126" s="131" t="s">
        <v>813</v>
      </c>
      <c r="AE126" s="131" t="e">
        <v>#N/A</v>
      </c>
      <c r="AF126" s="131" t="e">
        <v>#N/A</v>
      </c>
      <c r="AG126" s="131" t="e">
        <v>#REF!</v>
      </c>
    </row>
    <row r="127" spans="1:33" s="131" customFormat="1" ht="15.75" x14ac:dyDescent="0.25">
      <c r="A127" s="125">
        <v>126</v>
      </c>
      <c r="B127" s="126" t="s">
        <v>573</v>
      </c>
      <c r="C127" s="126" t="s">
        <v>2691</v>
      </c>
      <c r="D127" s="126" t="s">
        <v>2657</v>
      </c>
      <c r="E127" s="127" t="s">
        <v>813</v>
      </c>
      <c r="F127" s="128" t="s">
        <v>2410</v>
      </c>
      <c r="G127" s="128" t="s">
        <v>3294</v>
      </c>
      <c r="H127" s="125" t="s">
        <v>2393</v>
      </c>
      <c r="I127" s="125"/>
      <c r="J127" s="129" t="s">
        <v>1641</v>
      </c>
      <c r="K127" s="130" t="s">
        <v>516</v>
      </c>
      <c r="L127" s="129"/>
      <c r="M127" s="127" t="s">
        <v>759</v>
      </c>
      <c r="N127" s="127" t="s">
        <v>1641</v>
      </c>
      <c r="O127" s="127" t="s">
        <v>1427</v>
      </c>
      <c r="P127" s="127">
        <v>0</v>
      </c>
      <c r="Q127" s="127">
        <v>0</v>
      </c>
      <c r="R127" s="127">
        <v>0</v>
      </c>
      <c r="S127" s="127">
        <v>0</v>
      </c>
      <c r="T127" s="127">
        <v>2</v>
      </c>
      <c r="U127" s="127" t="s">
        <v>1471</v>
      </c>
      <c r="V127" s="127" t="s">
        <v>573</v>
      </c>
      <c r="W127" s="127">
        <v>0</v>
      </c>
      <c r="X127" s="127">
        <v>0</v>
      </c>
      <c r="Y127" s="127">
        <v>0</v>
      </c>
      <c r="Z127" s="127">
        <v>0</v>
      </c>
      <c r="AA127" s="127" t="s">
        <v>2511</v>
      </c>
      <c r="AB127" s="131" t="s">
        <v>637</v>
      </c>
      <c r="AC127" s="127" t="s">
        <v>1857</v>
      </c>
      <c r="AD127" s="131" t="s">
        <v>813</v>
      </c>
      <c r="AE127" s="131" t="s">
        <v>516</v>
      </c>
      <c r="AF127" s="131" t="b">
        <v>1</v>
      </c>
      <c r="AG127" s="131" t="e">
        <v>#REF!</v>
      </c>
    </row>
    <row r="128" spans="1:33" s="131" customFormat="1" ht="15.75" x14ac:dyDescent="0.25">
      <c r="A128" s="125">
        <v>127</v>
      </c>
      <c r="B128" s="126" t="s">
        <v>574</v>
      </c>
      <c r="C128" s="126" t="s">
        <v>2692</v>
      </c>
      <c r="D128" s="126" t="s">
        <v>2650</v>
      </c>
      <c r="E128" s="127" t="s">
        <v>339</v>
      </c>
      <c r="F128" s="128" t="s">
        <v>2410</v>
      </c>
      <c r="G128" s="128" t="s">
        <v>3294</v>
      </c>
      <c r="H128" s="125" t="s">
        <v>2393</v>
      </c>
      <c r="I128" s="125"/>
      <c r="J128" s="129" t="s">
        <v>1641</v>
      </c>
      <c r="K128" s="130" t="s">
        <v>237</v>
      </c>
      <c r="L128" s="129"/>
      <c r="M128" s="127" t="s">
        <v>759</v>
      </c>
      <c r="N128" s="127" t="s">
        <v>1641</v>
      </c>
      <c r="O128" s="127" t="s">
        <v>1427</v>
      </c>
      <c r="P128" s="127">
        <v>0</v>
      </c>
      <c r="Q128" s="127">
        <v>0</v>
      </c>
      <c r="R128" s="127">
        <v>0</v>
      </c>
      <c r="S128" s="127">
        <v>0</v>
      </c>
      <c r="T128" s="127">
        <v>2</v>
      </c>
      <c r="U128" s="127" t="s">
        <v>1580</v>
      </c>
      <c r="V128" s="127" t="s">
        <v>574</v>
      </c>
      <c r="W128" s="127">
        <v>0</v>
      </c>
      <c r="X128" s="127">
        <v>0</v>
      </c>
      <c r="Y128" s="127">
        <v>0</v>
      </c>
      <c r="Z128" s="127">
        <v>0</v>
      </c>
      <c r="AA128" s="127" t="s">
        <v>2511</v>
      </c>
      <c r="AB128" s="131" t="s">
        <v>638</v>
      </c>
      <c r="AC128" s="127" t="s">
        <v>1858</v>
      </c>
      <c r="AD128" s="131" t="s">
        <v>339</v>
      </c>
      <c r="AE128" s="131" t="s">
        <v>237</v>
      </c>
      <c r="AF128" s="131" t="b">
        <v>1</v>
      </c>
      <c r="AG128" s="131" t="e">
        <v>#REF!</v>
      </c>
    </row>
    <row r="129" spans="1:33" s="131" customFormat="1" ht="18" customHeight="1" x14ac:dyDescent="0.25">
      <c r="A129" s="125">
        <v>128</v>
      </c>
      <c r="B129" s="126" t="s">
        <v>575</v>
      </c>
      <c r="C129" s="126" t="s">
        <v>2693</v>
      </c>
      <c r="D129" s="126" t="s">
        <v>2657</v>
      </c>
      <c r="E129" s="127" t="s">
        <v>339</v>
      </c>
      <c r="F129" s="128" t="s">
        <v>2410</v>
      </c>
      <c r="G129" s="128" t="s">
        <v>3294</v>
      </c>
      <c r="H129" s="125" t="s">
        <v>1086</v>
      </c>
      <c r="I129" s="125"/>
      <c r="J129" s="129"/>
      <c r="K129" s="130" t="s">
        <v>354</v>
      </c>
      <c r="L129" s="129"/>
      <c r="M129" s="127" t="s">
        <v>759</v>
      </c>
      <c r="N129" s="127" t="s">
        <v>1639</v>
      </c>
      <c r="O129" s="127" t="s">
        <v>1427</v>
      </c>
      <c r="P129" s="127">
        <v>0</v>
      </c>
      <c r="Q129" s="127">
        <v>0</v>
      </c>
      <c r="R129" s="127">
        <v>0</v>
      </c>
      <c r="S129" s="127">
        <v>0</v>
      </c>
      <c r="T129" s="127">
        <v>2</v>
      </c>
      <c r="U129" s="127" t="s">
        <v>519</v>
      </c>
      <c r="V129" s="127" t="s">
        <v>575</v>
      </c>
      <c r="W129" s="127">
        <v>0</v>
      </c>
      <c r="X129" s="127">
        <v>0</v>
      </c>
      <c r="Y129" s="127">
        <v>0</v>
      </c>
      <c r="Z129" s="127">
        <v>0</v>
      </c>
      <c r="AA129" s="127" t="s">
        <v>2511</v>
      </c>
      <c r="AB129" s="131" t="s">
        <v>639</v>
      </c>
      <c r="AC129" s="127" t="s">
        <v>1859</v>
      </c>
      <c r="AD129" s="131" t="s">
        <v>339</v>
      </c>
      <c r="AE129" s="131" t="e">
        <v>#N/A</v>
      </c>
      <c r="AF129" s="131" t="e">
        <v>#N/A</v>
      </c>
      <c r="AG129" s="131" t="e">
        <v>#REF!</v>
      </c>
    </row>
    <row r="130" spans="1:33" s="131" customFormat="1" ht="18" customHeight="1" x14ac:dyDescent="0.25">
      <c r="A130" s="125">
        <v>129</v>
      </c>
      <c r="B130" s="126" t="s">
        <v>584</v>
      </c>
      <c r="C130" s="126" t="s">
        <v>2694</v>
      </c>
      <c r="D130" s="126" t="s">
        <v>2646</v>
      </c>
      <c r="E130" s="127" t="s">
        <v>339</v>
      </c>
      <c r="F130" s="128" t="s">
        <v>2410</v>
      </c>
      <c r="G130" s="128" t="s">
        <v>3294</v>
      </c>
      <c r="H130" s="125" t="s">
        <v>1732</v>
      </c>
      <c r="I130" s="125"/>
      <c r="J130" s="129"/>
      <c r="K130" s="130" t="s">
        <v>232</v>
      </c>
      <c r="L130" s="129"/>
      <c r="M130" s="127" t="s">
        <v>759</v>
      </c>
      <c r="N130" s="127" t="s">
        <v>1639</v>
      </c>
      <c r="O130" s="127" t="s">
        <v>1427</v>
      </c>
      <c r="P130" s="127">
        <v>0</v>
      </c>
      <c r="Q130" s="127">
        <v>0</v>
      </c>
      <c r="R130" s="127">
        <v>0</v>
      </c>
      <c r="S130" s="127">
        <v>0</v>
      </c>
      <c r="T130" s="127">
        <v>2</v>
      </c>
      <c r="U130" s="127" t="s">
        <v>1469</v>
      </c>
      <c r="V130" s="127" t="s">
        <v>584</v>
      </c>
      <c r="W130" s="127">
        <v>0</v>
      </c>
      <c r="X130" s="127">
        <v>0</v>
      </c>
      <c r="Y130" s="127">
        <v>0</v>
      </c>
      <c r="Z130" s="127">
        <v>0</v>
      </c>
      <c r="AA130" s="127" t="s">
        <v>2511</v>
      </c>
      <c r="AB130" s="131" t="s">
        <v>640</v>
      </c>
      <c r="AC130" s="127" t="s">
        <v>1860</v>
      </c>
      <c r="AD130" s="131" t="s">
        <v>339</v>
      </c>
      <c r="AE130" s="131" t="s">
        <v>232</v>
      </c>
      <c r="AF130" s="131" t="b">
        <v>1</v>
      </c>
      <c r="AG130" s="131" t="e">
        <v>#REF!</v>
      </c>
    </row>
    <row r="131" spans="1:33" s="131" customFormat="1" ht="18" customHeight="1" x14ac:dyDescent="0.25">
      <c r="A131" s="125">
        <v>130</v>
      </c>
      <c r="B131" s="133" t="s">
        <v>596</v>
      </c>
      <c r="C131" s="126" t="s">
        <v>2695</v>
      </c>
      <c r="D131" s="126" t="s">
        <v>2653</v>
      </c>
      <c r="E131" s="127" t="s">
        <v>813</v>
      </c>
      <c r="F131" s="128"/>
      <c r="G131" s="128" t="s">
        <v>3290</v>
      </c>
      <c r="H131" s="125" t="s">
        <v>1732</v>
      </c>
      <c r="I131" s="125"/>
      <c r="J131" s="129"/>
      <c r="K131" s="130"/>
      <c r="L131" s="129"/>
      <c r="M131" s="127" t="s">
        <v>759</v>
      </c>
      <c r="N131" s="127" t="s">
        <v>1639</v>
      </c>
      <c r="O131" s="127" t="s">
        <v>1427</v>
      </c>
      <c r="P131" s="127">
        <v>0</v>
      </c>
      <c r="Q131" s="127">
        <v>0</v>
      </c>
      <c r="R131" s="127">
        <v>0</v>
      </c>
      <c r="S131" s="127">
        <v>0</v>
      </c>
      <c r="T131" s="127">
        <v>2</v>
      </c>
      <c r="U131" s="127" t="s">
        <v>1545</v>
      </c>
      <c r="V131" s="127" t="s">
        <v>596</v>
      </c>
      <c r="W131" s="127" t="s">
        <v>1581</v>
      </c>
      <c r="X131" s="127" t="s">
        <v>596</v>
      </c>
      <c r="Y131" s="127" t="s">
        <v>1573</v>
      </c>
      <c r="Z131" s="127">
        <v>0</v>
      </c>
      <c r="AA131" s="127" t="s">
        <v>2511</v>
      </c>
      <c r="AB131" s="131" t="s">
        <v>738</v>
      </c>
      <c r="AC131" s="127" t="s">
        <v>1861</v>
      </c>
      <c r="AD131" s="131" t="s">
        <v>813</v>
      </c>
      <c r="AE131" s="131" t="e">
        <v>#N/A</v>
      </c>
      <c r="AF131" s="131" t="e">
        <v>#N/A</v>
      </c>
      <c r="AG131" s="131" t="e">
        <v>#REF!</v>
      </c>
    </row>
    <row r="132" spans="1:33" s="131" customFormat="1" ht="18" customHeight="1" x14ac:dyDescent="0.25">
      <c r="A132" s="125">
        <v>131</v>
      </c>
      <c r="B132" s="126" t="s">
        <v>829</v>
      </c>
      <c r="C132" s="126" t="s">
        <v>2696</v>
      </c>
      <c r="D132" s="126" t="s">
        <v>2650</v>
      </c>
      <c r="E132" s="127" t="s">
        <v>339</v>
      </c>
      <c r="F132" s="128" t="s">
        <v>2410</v>
      </c>
      <c r="G132" s="128" t="s">
        <v>3294</v>
      </c>
      <c r="H132" s="125"/>
      <c r="I132" s="125"/>
      <c r="J132" s="129" t="s">
        <v>1641</v>
      </c>
      <c r="K132" s="130" t="s">
        <v>233</v>
      </c>
      <c r="L132" s="129"/>
      <c r="M132" s="127" t="s">
        <v>759</v>
      </c>
      <c r="N132" s="127" t="s">
        <v>1641</v>
      </c>
      <c r="O132" s="127" t="s">
        <v>1427</v>
      </c>
      <c r="P132" s="127">
        <v>0</v>
      </c>
      <c r="Q132" s="127">
        <v>0</v>
      </c>
      <c r="R132" s="127">
        <v>0</v>
      </c>
      <c r="S132" s="127">
        <v>0</v>
      </c>
      <c r="T132" s="127">
        <v>2</v>
      </c>
      <c r="U132" s="127" t="s">
        <v>1466</v>
      </c>
      <c r="V132" s="127" t="s">
        <v>829</v>
      </c>
      <c r="W132" s="127">
        <v>0</v>
      </c>
      <c r="X132" s="127">
        <v>0</v>
      </c>
      <c r="Y132" s="127">
        <v>0</v>
      </c>
      <c r="Z132" s="127">
        <v>0</v>
      </c>
      <c r="AA132" s="127" t="s">
        <v>2511</v>
      </c>
      <c r="AB132" s="131" t="s">
        <v>1650</v>
      </c>
      <c r="AC132" s="127" t="s">
        <v>1738</v>
      </c>
      <c r="AD132" s="131" t="s">
        <v>339</v>
      </c>
      <c r="AE132" s="131" t="s">
        <v>233</v>
      </c>
      <c r="AF132" s="131" t="b">
        <v>1</v>
      </c>
      <c r="AG132" s="131" t="e">
        <v>#REF!</v>
      </c>
    </row>
    <row r="133" spans="1:33" s="131" customFormat="1" ht="18" customHeight="1" x14ac:dyDescent="0.25">
      <c r="A133" s="125">
        <v>132</v>
      </c>
      <c r="B133" s="126" t="s">
        <v>846</v>
      </c>
      <c r="C133" s="126" t="s">
        <v>2697</v>
      </c>
      <c r="D133" s="126" t="s">
        <v>2657</v>
      </c>
      <c r="E133" s="127" t="s">
        <v>339</v>
      </c>
      <c r="F133" s="128" t="s">
        <v>2410</v>
      </c>
      <c r="G133" s="128" t="s">
        <v>3294</v>
      </c>
      <c r="H133" s="125"/>
      <c r="I133" s="125"/>
      <c r="J133" s="129" t="s">
        <v>1641</v>
      </c>
      <c r="K133" s="130" t="s">
        <v>354</v>
      </c>
      <c r="L133" s="129"/>
      <c r="M133" s="127" t="s">
        <v>759</v>
      </c>
      <c r="N133" s="127" t="s">
        <v>1641</v>
      </c>
      <c r="O133" s="127" t="s">
        <v>1427</v>
      </c>
      <c r="P133" s="127">
        <v>0</v>
      </c>
      <c r="Q133" s="127">
        <v>0</v>
      </c>
      <c r="R133" s="127">
        <v>0</v>
      </c>
      <c r="S133" s="127">
        <v>0</v>
      </c>
      <c r="T133" s="127">
        <v>2</v>
      </c>
      <c r="U133" s="127" t="s">
        <v>1470</v>
      </c>
      <c r="V133" s="127" t="s">
        <v>846</v>
      </c>
      <c r="W133" s="127" t="s">
        <v>1582</v>
      </c>
      <c r="X133" s="127" t="s">
        <v>846</v>
      </c>
      <c r="Y133" s="127" t="s">
        <v>1573</v>
      </c>
      <c r="Z133" s="127">
        <v>0</v>
      </c>
      <c r="AA133" s="127" t="s">
        <v>2511</v>
      </c>
      <c r="AB133" s="131" t="s">
        <v>1652</v>
      </c>
      <c r="AC133" s="127" t="s">
        <v>1739</v>
      </c>
      <c r="AD133" s="131" t="s">
        <v>339</v>
      </c>
      <c r="AE133" s="131" t="s">
        <v>354</v>
      </c>
      <c r="AF133" s="131" t="b">
        <v>1</v>
      </c>
      <c r="AG133" s="131" t="e">
        <v>#REF!</v>
      </c>
    </row>
    <row r="134" spans="1:33" s="131" customFormat="1" ht="18" customHeight="1" x14ac:dyDescent="0.25">
      <c r="A134" s="125">
        <v>133</v>
      </c>
      <c r="B134" s="126" t="s">
        <v>845</v>
      </c>
      <c r="C134" s="126" t="s">
        <v>2698</v>
      </c>
      <c r="D134" s="126" t="s">
        <v>2657</v>
      </c>
      <c r="E134" s="127" t="s">
        <v>813</v>
      </c>
      <c r="F134" s="128" t="s">
        <v>2410</v>
      </c>
      <c r="G134" s="128" t="s">
        <v>3294</v>
      </c>
      <c r="H134" s="125" t="s">
        <v>986</v>
      </c>
      <c r="I134" s="125"/>
      <c r="J134" s="129"/>
      <c r="K134" s="130" t="s">
        <v>354</v>
      </c>
      <c r="L134" s="129"/>
      <c r="M134" s="127" t="s">
        <v>759</v>
      </c>
      <c r="N134" s="127" t="s">
        <v>1639</v>
      </c>
      <c r="O134" s="127" t="s">
        <v>1427</v>
      </c>
      <c r="P134" s="127">
        <v>0</v>
      </c>
      <c r="Q134" s="127">
        <v>0</v>
      </c>
      <c r="R134" s="127">
        <v>0</v>
      </c>
      <c r="S134" s="127">
        <v>0</v>
      </c>
      <c r="T134" s="127">
        <v>2</v>
      </c>
      <c r="U134" s="127" t="s">
        <v>517</v>
      </c>
      <c r="V134" s="127" t="s">
        <v>845</v>
      </c>
      <c r="W134" s="127" t="s">
        <v>798</v>
      </c>
      <c r="X134" s="127" t="s">
        <v>845</v>
      </c>
      <c r="Y134" s="127" t="s">
        <v>2375</v>
      </c>
      <c r="Z134" s="127">
        <v>0</v>
      </c>
      <c r="AA134" s="127" t="s">
        <v>2511</v>
      </c>
      <c r="AB134" s="131" t="s">
        <v>1651</v>
      </c>
      <c r="AC134" s="127" t="s">
        <v>2267</v>
      </c>
      <c r="AD134" s="131" t="s">
        <v>813</v>
      </c>
      <c r="AE134" s="131" t="s">
        <v>277</v>
      </c>
      <c r="AF134" s="131" t="b">
        <v>0</v>
      </c>
      <c r="AG134" s="131" t="e">
        <v>#REF!</v>
      </c>
    </row>
    <row r="135" spans="1:33" s="131" customFormat="1" ht="15.75" x14ac:dyDescent="0.25">
      <c r="A135" s="125">
        <v>134</v>
      </c>
      <c r="B135" s="126" t="s">
        <v>863</v>
      </c>
      <c r="C135" s="126" t="s">
        <v>2699</v>
      </c>
      <c r="D135" s="126" t="s">
        <v>2650</v>
      </c>
      <c r="E135" s="127" t="s">
        <v>339</v>
      </c>
      <c r="F135" s="128" t="s">
        <v>2410</v>
      </c>
      <c r="G135" s="128" t="s">
        <v>3289</v>
      </c>
      <c r="H135" s="125"/>
      <c r="I135" s="125"/>
      <c r="J135" s="129" t="s">
        <v>1641</v>
      </c>
      <c r="K135" s="130" t="s">
        <v>237</v>
      </c>
      <c r="L135" s="129"/>
      <c r="M135" s="127" t="s">
        <v>759</v>
      </c>
      <c r="N135" s="127" t="s">
        <v>1641</v>
      </c>
      <c r="O135" s="127" t="s">
        <v>1427</v>
      </c>
      <c r="P135" s="127">
        <v>0</v>
      </c>
      <c r="Q135" s="127">
        <v>0</v>
      </c>
      <c r="R135" s="127">
        <v>0</v>
      </c>
      <c r="S135" s="127">
        <v>0</v>
      </c>
      <c r="T135" s="127">
        <v>2</v>
      </c>
      <c r="U135" s="127" t="s">
        <v>1580</v>
      </c>
      <c r="V135" s="127" t="s">
        <v>863</v>
      </c>
      <c r="W135" s="127">
        <v>0</v>
      </c>
      <c r="X135" s="127">
        <v>0</v>
      </c>
      <c r="Y135" s="127">
        <v>0</v>
      </c>
      <c r="Z135" s="127">
        <v>0</v>
      </c>
      <c r="AA135" s="127" t="s">
        <v>2511</v>
      </c>
      <c r="AB135" s="131" t="s">
        <v>1664</v>
      </c>
      <c r="AC135" s="127" t="s">
        <v>1740</v>
      </c>
      <c r="AD135" s="131" t="s">
        <v>339</v>
      </c>
      <c r="AE135" s="131" t="s">
        <v>237</v>
      </c>
      <c r="AF135" s="131" t="b">
        <v>1</v>
      </c>
      <c r="AG135" s="131" t="e">
        <v>#REF!</v>
      </c>
    </row>
    <row r="136" spans="1:33" s="131" customFormat="1" ht="18" customHeight="1" x14ac:dyDescent="0.25">
      <c r="A136" s="125">
        <v>135</v>
      </c>
      <c r="B136" s="126" t="s">
        <v>1630</v>
      </c>
      <c r="C136" s="126" t="s">
        <v>2700</v>
      </c>
      <c r="D136" s="126" t="s">
        <v>2657</v>
      </c>
      <c r="E136" s="127" t="s">
        <v>339</v>
      </c>
      <c r="F136" s="128"/>
      <c r="G136" s="128" t="s">
        <v>3294</v>
      </c>
      <c r="H136" s="125"/>
      <c r="I136" s="125"/>
      <c r="J136" s="132" t="s">
        <v>1641</v>
      </c>
      <c r="K136" s="130"/>
      <c r="L136" s="129"/>
      <c r="M136" s="127" t="s">
        <v>757</v>
      </c>
      <c r="N136" s="127" t="s">
        <v>1641</v>
      </c>
      <c r="O136" s="127" t="s">
        <v>1553</v>
      </c>
      <c r="P136" s="127">
        <v>0</v>
      </c>
      <c r="Q136" s="127">
        <v>2</v>
      </c>
      <c r="R136" s="127" t="s">
        <v>1517</v>
      </c>
      <c r="S136" s="127" t="s">
        <v>1630</v>
      </c>
      <c r="T136" s="127">
        <v>0</v>
      </c>
      <c r="U136" s="127">
        <v>0</v>
      </c>
      <c r="V136" s="127">
        <v>0</v>
      </c>
      <c r="W136" s="127">
        <v>0</v>
      </c>
      <c r="X136" s="127">
        <v>0</v>
      </c>
      <c r="Y136" s="127">
        <v>0</v>
      </c>
      <c r="Z136" s="127">
        <v>0</v>
      </c>
      <c r="AA136" s="127" t="s">
        <v>2511</v>
      </c>
      <c r="AB136" s="131" t="e">
        <v>#N/A</v>
      </c>
      <c r="AC136" s="127" t="s">
        <v>2288</v>
      </c>
      <c r="AD136" s="131" t="s">
        <v>339</v>
      </c>
      <c r="AE136" s="131" t="e">
        <v>#N/A</v>
      </c>
      <c r="AF136" s="131" t="e">
        <v>#N/A</v>
      </c>
      <c r="AG136" s="131" t="e">
        <v>#REF!</v>
      </c>
    </row>
    <row r="137" spans="1:33" s="131" customFormat="1" ht="15.75" x14ac:dyDescent="0.25">
      <c r="A137" s="125">
        <v>136</v>
      </c>
      <c r="B137" s="126" t="s">
        <v>2325</v>
      </c>
      <c r="C137" s="126" t="s">
        <v>2701</v>
      </c>
      <c r="D137" s="126" t="s">
        <v>2643</v>
      </c>
      <c r="E137" s="127" t="s">
        <v>813</v>
      </c>
      <c r="F137" s="134" t="s">
        <v>2410</v>
      </c>
      <c r="G137" s="128" t="s">
        <v>3294</v>
      </c>
      <c r="H137" s="125"/>
      <c r="I137" s="125"/>
      <c r="J137" s="132" t="s">
        <v>1641</v>
      </c>
      <c r="K137" s="130" t="s">
        <v>238</v>
      </c>
      <c r="L137" s="129"/>
      <c r="M137" s="127" t="s">
        <v>759</v>
      </c>
      <c r="N137" s="127" t="s">
        <v>1641</v>
      </c>
      <c r="O137" s="127" t="s">
        <v>1427</v>
      </c>
      <c r="P137" s="127">
        <v>0</v>
      </c>
      <c r="Q137" s="127">
        <v>0</v>
      </c>
      <c r="R137" s="127">
        <v>0</v>
      </c>
      <c r="S137" s="127">
        <v>0</v>
      </c>
      <c r="T137" s="127">
        <v>2</v>
      </c>
      <c r="U137" s="127" t="s">
        <v>238</v>
      </c>
      <c r="V137" s="127" t="s">
        <v>2325</v>
      </c>
      <c r="W137" s="127">
        <v>0</v>
      </c>
      <c r="X137" s="127">
        <v>0</v>
      </c>
      <c r="Y137" s="127">
        <v>0</v>
      </c>
      <c r="Z137" s="127">
        <v>0</v>
      </c>
      <c r="AA137" s="127" t="s">
        <v>2511</v>
      </c>
      <c r="AB137" s="131" t="s">
        <v>2347</v>
      </c>
      <c r="AC137" s="127"/>
      <c r="AD137" s="131" t="s">
        <v>813</v>
      </c>
      <c r="AE137" s="131" t="e">
        <v>#N/A</v>
      </c>
      <c r="AF137" s="131" t="e">
        <v>#N/A</v>
      </c>
      <c r="AG137" s="131" t="e">
        <v>#REF!</v>
      </c>
    </row>
    <row r="138" spans="1:33" s="131" customFormat="1" ht="15.75" x14ac:dyDescent="0.25">
      <c r="A138" s="125">
        <v>137</v>
      </c>
      <c r="B138" s="126" t="s">
        <v>2514</v>
      </c>
      <c r="C138" s="126" t="s">
        <v>2702</v>
      </c>
      <c r="D138" s="126" t="s">
        <v>2657</v>
      </c>
      <c r="E138" s="127" t="s">
        <v>813</v>
      </c>
      <c r="F138" s="134"/>
      <c r="G138" s="128" t="s">
        <v>3294</v>
      </c>
      <c r="H138" s="125"/>
      <c r="I138" s="125"/>
      <c r="J138" s="132" t="s">
        <v>1641</v>
      </c>
      <c r="K138" s="130" t="s">
        <v>519</v>
      </c>
      <c r="L138" s="129"/>
      <c r="M138" s="127" t="s">
        <v>759</v>
      </c>
      <c r="N138" s="127" t="s">
        <v>1641</v>
      </c>
      <c r="O138" s="127" t="s">
        <v>1427</v>
      </c>
      <c r="P138" s="127">
        <v>0</v>
      </c>
      <c r="Q138" s="127">
        <v>0</v>
      </c>
      <c r="R138" s="127">
        <v>0</v>
      </c>
      <c r="S138" s="127">
        <v>0</v>
      </c>
      <c r="T138" s="127">
        <v>1</v>
      </c>
      <c r="U138" s="127" t="s">
        <v>2515</v>
      </c>
      <c r="V138" s="127" t="s">
        <v>2514</v>
      </c>
      <c r="W138" s="127" t="e">
        <v>#N/A</v>
      </c>
      <c r="X138" s="127" t="e">
        <v>#N/A</v>
      </c>
      <c r="Y138" s="127" t="e">
        <v>#N/A</v>
      </c>
      <c r="Z138" s="127"/>
      <c r="AA138" s="127" t="s">
        <v>2511</v>
      </c>
      <c r="AB138" s="131" t="s">
        <v>1681</v>
      </c>
      <c r="AC138" s="127"/>
    </row>
    <row r="139" spans="1:33" s="131" customFormat="1" ht="18" customHeight="1" x14ac:dyDescent="0.25">
      <c r="A139" s="125">
        <v>138</v>
      </c>
      <c r="B139" s="126" t="s">
        <v>1618</v>
      </c>
      <c r="C139" s="126" t="s">
        <v>2703</v>
      </c>
      <c r="D139" s="126" t="s">
        <v>2657</v>
      </c>
      <c r="E139" s="127" t="s">
        <v>339</v>
      </c>
      <c r="F139" s="128" t="s">
        <v>2410</v>
      </c>
      <c r="G139" s="128" t="s">
        <v>3294</v>
      </c>
      <c r="H139" s="125"/>
      <c r="I139" s="125"/>
      <c r="J139" s="132" t="s">
        <v>1641</v>
      </c>
      <c r="K139" s="130" t="s">
        <v>575</v>
      </c>
      <c r="L139" s="129"/>
      <c r="M139" s="127" t="s">
        <v>759</v>
      </c>
      <c r="N139" s="127" t="s">
        <v>1641</v>
      </c>
      <c r="O139" s="127" t="s">
        <v>1427</v>
      </c>
      <c r="P139" s="127">
        <v>0</v>
      </c>
      <c r="Q139" s="127">
        <v>0</v>
      </c>
      <c r="R139" s="127">
        <v>0</v>
      </c>
      <c r="S139" s="127">
        <v>0</v>
      </c>
      <c r="T139" s="127">
        <v>2</v>
      </c>
      <c r="U139" s="127" t="s">
        <v>575</v>
      </c>
      <c r="V139" s="127" t="s">
        <v>1618</v>
      </c>
      <c r="W139" s="127">
        <v>0</v>
      </c>
      <c r="X139" s="127">
        <v>0</v>
      </c>
      <c r="Y139" s="127">
        <v>0</v>
      </c>
      <c r="Z139" s="127">
        <v>0</v>
      </c>
      <c r="AA139" s="127" t="s">
        <v>2511</v>
      </c>
      <c r="AB139" s="131" t="s">
        <v>1686</v>
      </c>
      <c r="AC139" s="127" t="s">
        <v>2268</v>
      </c>
      <c r="AD139" s="131" t="s">
        <v>339</v>
      </c>
      <c r="AE139" s="131" t="s">
        <v>3297</v>
      </c>
      <c r="AF139" s="131" t="b">
        <v>0</v>
      </c>
      <c r="AG139" s="131" t="e">
        <v>#REF!</v>
      </c>
    </row>
    <row r="140" spans="1:33" s="131" customFormat="1" ht="15.75" x14ac:dyDescent="0.25">
      <c r="A140" s="125">
        <v>139</v>
      </c>
      <c r="B140" s="138" t="s">
        <v>1632</v>
      </c>
      <c r="C140" s="126" t="s">
        <v>2704</v>
      </c>
      <c r="D140" s="126" t="s">
        <v>2657</v>
      </c>
      <c r="E140" s="127" t="s">
        <v>339</v>
      </c>
      <c r="F140" s="134" t="s">
        <v>2410</v>
      </c>
      <c r="G140" s="128" t="s">
        <v>3294</v>
      </c>
      <c r="H140" s="125"/>
      <c r="I140" s="125"/>
      <c r="J140" s="132" t="s">
        <v>1641</v>
      </c>
      <c r="K140" s="130" t="s">
        <v>1630</v>
      </c>
      <c r="L140" s="129"/>
      <c r="M140" s="127" t="s">
        <v>759</v>
      </c>
      <c r="N140" s="127" t="s">
        <v>1641</v>
      </c>
      <c r="O140" s="127" t="s">
        <v>1427</v>
      </c>
      <c r="P140" s="127">
        <v>0</v>
      </c>
      <c r="Q140" s="127">
        <v>0</v>
      </c>
      <c r="R140" s="127">
        <v>0</v>
      </c>
      <c r="S140" s="127">
        <v>0</v>
      </c>
      <c r="T140" s="127">
        <v>2</v>
      </c>
      <c r="U140" s="127" t="s">
        <v>1630</v>
      </c>
      <c r="V140" s="127" t="s">
        <v>1632</v>
      </c>
      <c r="W140" s="127">
        <v>0</v>
      </c>
      <c r="X140" s="127">
        <v>0</v>
      </c>
      <c r="Y140" s="127">
        <v>0</v>
      </c>
      <c r="Z140" s="127">
        <v>0</v>
      </c>
      <c r="AA140" s="127" t="s">
        <v>2511</v>
      </c>
      <c r="AB140" s="131" t="s">
        <v>1694</v>
      </c>
      <c r="AC140" s="127" t="s">
        <v>2317</v>
      </c>
      <c r="AD140" s="131" t="s">
        <v>339</v>
      </c>
      <c r="AE140" s="131" t="s">
        <v>3297</v>
      </c>
      <c r="AF140" s="131" t="b">
        <v>0</v>
      </c>
      <c r="AG140" s="131" t="e">
        <v>#REF!</v>
      </c>
    </row>
    <row r="141" spans="1:33" s="131" customFormat="1" ht="18" customHeight="1" x14ac:dyDescent="0.25">
      <c r="A141" s="125">
        <v>140</v>
      </c>
      <c r="B141" s="126" t="s">
        <v>187</v>
      </c>
      <c r="C141" s="126" t="s">
        <v>2705</v>
      </c>
      <c r="D141" s="126" t="s">
        <v>2706</v>
      </c>
      <c r="E141" s="127" t="s">
        <v>2397</v>
      </c>
      <c r="F141" s="128"/>
      <c r="G141" s="128" t="s">
        <v>3290</v>
      </c>
      <c r="H141" s="125"/>
      <c r="I141" s="125" t="s">
        <v>934</v>
      </c>
      <c r="J141" s="132"/>
      <c r="K141" s="130"/>
      <c r="L141" s="129"/>
      <c r="M141" s="127" t="s">
        <v>759</v>
      </c>
      <c r="N141" s="127" t="s">
        <v>770</v>
      </c>
      <c r="O141" s="127" t="s">
        <v>1553</v>
      </c>
      <c r="P141" s="127">
        <v>0</v>
      </c>
      <c r="Q141" s="127">
        <v>2</v>
      </c>
      <c r="R141" s="127" t="s">
        <v>1474</v>
      </c>
      <c r="S141" s="127" t="s">
        <v>187</v>
      </c>
      <c r="T141" s="127">
        <v>0</v>
      </c>
      <c r="U141" s="127">
        <v>0</v>
      </c>
      <c r="V141" s="127">
        <v>0</v>
      </c>
      <c r="W141" s="127" t="s">
        <v>1475</v>
      </c>
      <c r="X141" s="127" t="s">
        <v>187</v>
      </c>
      <c r="Y141" s="127" t="s">
        <v>1436</v>
      </c>
      <c r="Z141" s="127" t="s">
        <v>1568</v>
      </c>
      <c r="AA141" s="127" t="s">
        <v>2510</v>
      </c>
      <c r="AB141" s="131" t="s">
        <v>1041</v>
      </c>
      <c r="AC141" s="127" t="s">
        <v>1862</v>
      </c>
      <c r="AD141" s="131" t="s">
        <v>2397</v>
      </c>
      <c r="AE141" s="131" t="e">
        <v>#N/A</v>
      </c>
      <c r="AF141" s="131" t="e">
        <v>#N/A</v>
      </c>
      <c r="AG141" s="131" t="e">
        <v>#REF!</v>
      </c>
    </row>
    <row r="142" spans="1:33" s="131" customFormat="1" ht="18" customHeight="1" x14ac:dyDescent="0.25">
      <c r="A142" s="125">
        <v>141</v>
      </c>
      <c r="B142" s="126" t="s">
        <v>127</v>
      </c>
      <c r="C142" s="126" t="s">
        <v>2707</v>
      </c>
      <c r="D142" s="126" t="s">
        <v>2706</v>
      </c>
      <c r="E142" s="127" t="s">
        <v>2397</v>
      </c>
      <c r="F142" s="128" t="s">
        <v>2411</v>
      </c>
      <c r="G142" s="128" t="s">
        <v>3289</v>
      </c>
      <c r="H142" s="125"/>
      <c r="I142" s="125"/>
      <c r="J142" s="132"/>
      <c r="K142" s="130"/>
      <c r="L142" s="129"/>
      <c r="M142" s="127" t="s">
        <v>758</v>
      </c>
      <c r="N142" s="127" t="s">
        <v>765</v>
      </c>
      <c r="O142" s="127" t="s">
        <v>1478</v>
      </c>
      <c r="P142" s="127" t="s">
        <v>812</v>
      </c>
      <c r="Q142" s="127">
        <v>0</v>
      </c>
      <c r="R142" s="127">
        <v>0</v>
      </c>
      <c r="S142" s="127">
        <v>0</v>
      </c>
      <c r="T142" s="127">
        <v>0</v>
      </c>
      <c r="U142" s="127">
        <v>0</v>
      </c>
      <c r="V142" s="127">
        <v>0</v>
      </c>
      <c r="W142" s="127">
        <v>0</v>
      </c>
      <c r="X142" s="127">
        <v>0</v>
      </c>
      <c r="Y142" s="127">
        <v>0</v>
      </c>
      <c r="Z142" s="127">
        <v>0</v>
      </c>
      <c r="AA142" s="127" t="s">
        <v>2511</v>
      </c>
      <c r="AB142" s="131" t="s">
        <v>1043</v>
      </c>
      <c r="AC142" s="127" t="s">
        <v>1863</v>
      </c>
      <c r="AD142" s="131" t="s">
        <v>2397</v>
      </c>
      <c r="AE142" s="131" t="e">
        <v>#N/A</v>
      </c>
      <c r="AF142" s="131" t="e">
        <v>#N/A</v>
      </c>
      <c r="AG142" s="131" t="e">
        <v>#REF!</v>
      </c>
    </row>
    <row r="143" spans="1:33" s="131" customFormat="1" ht="15.75" x14ac:dyDescent="0.25">
      <c r="A143" s="125">
        <v>142</v>
      </c>
      <c r="B143" s="126" t="s">
        <v>188</v>
      </c>
      <c r="C143" s="126" t="s">
        <v>2708</v>
      </c>
      <c r="D143" s="126" t="s">
        <v>2706</v>
      </c>
      <c r="E143" s="127" t="s">
        <v>2397</v>
      </c>
      <c r="F143" s="128"/>
      <c r="G143" s="128" t="s">
        <v>3290</v>
      </c>
      <c r="H143" s="125"/>
      <c r="I143" s="125"/>
      <c r="J143" s="132" t="s">
        <v>2520</v>
      </c>
      <c r="K143" s="130"/>
      <c r="L143" s="129"/>
      <c r="M143" s="127" t="s">
        <v>758</v>
      </c>
      <c r="N143" s="127" t="s">
        <v>2520</v>
      </c>
      <c r="O143" s="127" t="s">
        <v>1553</v>
      </c>
      <c r="P143" s="127">
        <v>0</v>
      </c>
      <c r="Q143" s="127">
        <v>2</v>
      </c>
      <c r="R143" s="127" t="s">
        <v>1476</v>
      </c>
      <c r="S143" s="127" t="s">
        <v>188</v>
      </c>
      <c r="T143" s="127">
        <v>0</v>
      </c>
      <c r="U143" s="127">
        <v>0</v>
      </c>
      <c r="V143" s="127">
        <v>0</v>
      </c>
      <c r="W143" s="127" t="s">
        <v>1475</v>
      </c>
      <c r="X143" s="127" t="s">
        <v>188</v>
      </c>
      <c r="Y143" s="127" t="s">
        <v>1454</v>
      </c>
      <c r="Z143" s="127" t="s">
        <v>1568</v>
      </c>
      <c r="AA143" s="127" t="s">
        <v>2510</v>
      </c>
      <c r="AB143" s="131" t="s">
        <v>1044</v>
      </c>
      <c r="AC143" s="127" t="s">
        <v>1864</v>
      </c>
      <c r="AD143" s="131" t="s">
        <v>2397</v>
      </c>
      <c r="AE143" s="131" t="e">
        <v>#N/A</v>
      </c>
      <c r="AF143" s="131" t="e">
        <v>#N/A</v>
      </c>
      <c r="AG143" s="131" t="e">
        <v>#REF!</v>
      </c>
    </row>
    <row r="144" spans="1:33" s="131" customFormat="1" ht="15.75" x14ac:dyDescent="0.25">
      <c r="A144" s="125">
        <v>143</v>
      </c>
      <c r="B144" s="126" t="s">
        <v>189</v>
      </c>
      <c r="C144" s="126" t="s">
        <v>2709</v>
      </c>
      <c r="D144" s="126" t="s">
        <v>2710</v>
      </c>
      <c r="E144" s="127" t="s">
        <v>2397</v>
      </c>
      <c r="F144" s="128" t="s">
        <v>2411</v>
      </c>
      <c r="G144" s="128" t="s">
        <v>3290</v>
      </c>
      <c r="H144" s="125"/>
      <c r="I144" s="125" t="s">
        <v>2453</v>
      </c>
      <c r="J144" s="132"/>
      <c r="K144" s="130"/>
      <c r="L144" s="129"/>
      <c r="M144" s="127" t="s">
        <v>759</v>
      </c>
      <c r="N144" s="127" t="s">
        <v>770</v>
      </c>
      <c r="O144" s="127" t="s">
        <v>1553</v>
      </c>
      <c r="P144" s="127" t="s">
        <v>1554</v>
      </c>
      <c r="Q144" s="127">
        <v>2</v>
      </c>
      <c r="R144" s="127" t="s">
        <v>1477</v>
      </c>
      <c r="S144" s="127" t="s">
        <v>189</v>
      </c>
      <c r="T144" s="127">
        <v>0</v>
      </c>
      <c r="U144" s="127">
        <v>0</v>
      </c>
      <c r="V144" s="127">
        <v>0</v>
      </c>
      <c r="W144" s="127">
        <v>0</v>
      </c>
      <c r="X144" s="127">
        <v>0</v>
      </c>
      <c r="Y144" s="127">
        <v>0</v>
      </c>
      <c r="Z144" s="127" t="s">
        <v>1568</v>
      </c>
      <c r="AA144" s="127" t="s">
        <v>2511</v>
      </c>
      <c r="AB144" s="131" t="s">
        <v>1045</v>
      </c>
      <c r="AC144" s="127" t="s">
        <v>1892</v>
      </c>
      <c r="AD144" s="131" t="s">
        <v>2397</v>
      </c>
      <c r="AE144" s="131" t="e">
        <v>#N/A</v>
      </c>
      <c r="AF144" s="131" t="e">
        <v>#N/A</v>
      </c>
      <c r="AG144" s="131" t="e">
        <v>#REF!</v>
      </c>
    </row>
    <row r="145" spans="1:33" s="131" customFormat="1" ht="18" customHeight="1" x14ac:dyDescent="0.25">
      <c r="A145" s="125">
        <v>144</v>
      </c>
      <c r="B145" s="126" t="s">
        <v>190</v>
      </c>
      <c r="C145" s="126" t="s">
        <v>2711</v>
      </c>
      <c r="D145" s="126" t="s">
        <v>2710</v>
      </c>
      <c r="E145" s="127" t="s">
        <v>2397</v>
      </c>
      <c r="F145" s="128" t="s">
        <v>2411</v>
      </c>
      <c r="G145" s="128" t="s">
        <v>3289</v>
      </c>
      <c r="H145" s="125"/>
      <c r="I145" s="125"/>
      <c r="J145" s="132"/>
      <c r="K145" s="130"/>
      <c r="L145" s="129"/>
      <c r="M145" s="127" t="s">
        <v>758</v>
      </c>
      <c r="N145" s="127" t="s">
        <v>765</v>
      </c>
      <c r="O145" s="127" t="s">
        <v>1490</v>
      </c>
      <c r="P145" s="127" t="s">
        <v>812</v>
      </c>
      <c r="Q145" s="127">
        <v>0</v>
      </c>
      <c r="R145" s="127">
        <v>0</v>
      </c>
      <c r="S145" s="127">
        <v>0</v>
      </c>
      <c r="T145" s="127">
        <v>0</v>
      </c>
      <c r="U145" s="127">
        <v>0</v>
      </c>
      <c r="V145" s="127">
        <v>0</v>
      </c>
      <c r="W145" s="127">
        <v>0</v>
      </c>
      <c r="X145" s="127">
        <v>0</v>
      </c>
      <c r="Y145" s="127">
        <v>0</v>
      </c>
      <c r="Z145" s="127">
        <v>0</v>
      </c>
      <c r="AA145" s="127" t="s">
        <v>2511</v>
      </c>
      <c r="AB145" s="131" t="s">
        <v>1046</v>
      </c>
      <c r="AC145" s="127" t="s">
        <v>1866</v>
      </c>
      <c r="AD145" s="131" t="s">
        <v>2397</v>
      </c>
      <c r="AE145" s="131" t="e">
        <v>#N/A</v>
      </c>
      <c r="AF145" s="131" t="e">
        <v>#N/A</v>
      </c>
      <c r="AG145" s="131" t="e">
        <v>#REF!</v>
      </c>
    </row>
    <row r="146" spans="1:33" s="131" customFormat="1" ht="18" customHeight="1" x14ac:dyDescent="0.25">
      <c r="A146" s="125">
        <v>145</v>
      </c>
      <c r="B146" s="126" t="s">
        <v>128</v>
      </c>
      <c r="C146" s="126" t="s">
        <v>2712</v>
      </c>
      <c r="D146" s="126" t="s">
        <v>2706</v>
      </c>
      <c r="E146" s="127" t="s">
        <v>2397</v>
      </c>
      <c r="F146" s="128" t="s">
        <v>2411</v>
      </c>
      <c r="G146" s="128" t="s">
        <v>3290</v>
      </c>
      <c r="H146" s="125"/>
      <c r="I146" s="125"/>
      <c r="J146" s="132" t="s">
        <v>760</v>
      </c>
      <c r="K146" s="130"/>
      <c r="L146" s="129"/>
      <c r="M146" s="127" t="s">
        <v>760</v>
      </c>
      <c r="N146" s="127" t="s">
        <v>760</v>
      </c>
      <c r="O146" s="127" t="s">
        <v>1553</v>
      </c>
      <c r="P146" s="127" t="s">
        <v>1554</v>
      </c>
      <c r="Q146" s="127">
        <v>2</v>
      </c>
      <c r="R146" s="127" t="s">
        <v>1478</v>
      </c>
      <c r="S146" s="127" t="s">
        <v>128</v>
      </c>
      <c r="T146" s="127">
        <v>0</v>
      </c>
      <c r="U146" s="127">
        <v>0</v>
      </c>
      <c r="V146" s="127">
        <v>0</v>
      </c>
      <c r="W146" s="127">
        <v>0</v>
      </c>
      <c r="X146" s="127">
        <v>0</v>
      </c>
      <c r="Y146" s="127">
        <v>0</v>
      </c>
      <c r="Z146" s="127" t="s">
        <v>1568</v>
      </c>
      <c r="AA146" s="127" t="s">
        <v>2510</v>
      </c>
      <c r="AB146" s="131" t="s">
        <v>1047</v>
      </c>
      <c r="AC146" s="127" t="e">
        <v>#N/A</v>
      </c>
      <c r="AD146" s="131" t="s">
        <v>2397</v>
      </c>
      <c r="AE146" s="131" t="e">
        <v>#N/A</v>
      </c>
      <c r="AF146" s="131" t="e">
        <v>#N/A</v>
      </c>
      <c r="AG146" s="131" t="e">
        <v>#REF!</v>
      </c>
    </row>
    <row r="147" spans="1:33" s="131" customFormat="1" ht="18" customHeight="1" x14ac:dyDescent="0.25">
      <c r="A147" s="125">
        <v>146</v>
      </c>
      <c r="B147" s="126" t="s">
        <v>123</v>
      </c>
      <c r="C147" s="126" t="s">
        <v>2713</v>
      </c>
      <c r="D147" s="126" t="s">
        <v>2706</v>
      </c>
      <c r="E147" s="127" t="s">
        <v>2397</v>
      </c>
      <c r="F147" s="128" t="s">
        <v>2411</v>
      </c>
      <c r="G147" s="128" t="s">
        <v>3289</v>
      </c>
      <c r="H147" s="125"/>
      <c r="I147" s="125"/>
      <c r="J147" s="132"/>
      <c r="K147" s="130"/>
      <c r="L147" s="129"/>
      <c r="M147" s="127" t="s">
        <v>758</v>
      </c>
      <c r="N147" s="127" t="s">
        <v>765</v>
      </c>
      <c r="O147" s="127" t="s">
        <v>2518</v>
      </c>
      <c r="P147" s="127" t="s">
        <v>812</v>
      </c>
      <c r="Q147" s="127">
        <v>0</v>
      </c>
      <c r="R147" s="127">
        <v>0</v>
      </c>
      <c r="S147" s="127">
        <v>0</v>
      </c>
      <c r="T147" s="127">
        <v>0</v>
      </c>
      <c r="U147" s="127">
        <v>0</v>
      </c>
      <c r="V147" s="127">
        <v>0</v>
      </c>
      <c r="W147" s="127">
        <v>0</v>
      </c>
      <c r="X147" s="127">
        <v>0</v>
      </c>
      <c r="Y147" s="127">
        <v>0</v>
      </c>
      <c r="Z147" s="127">
        <v>0</v>
      </c>
      <c r="AA147" s="127" t="s">
        <v>2510</v>
      </c>
      <c r="AB147" s="131" t="s">
        <v>1048</v>
      </c>
      <c r="AC147" s="127" t="s">
        <v>1867</v>
      </c>
      <c r="AD147" s="131" t="s">
        <v>2397</v>
      </c>
      <c r="AE147" s="131" t="e">
        <v>#N/A</v>
      </c>
      <c r="AF147" s="131" t="e">
        <v>#N/A</v>
      </c>
      <c r="AG147" s="131" t="e">
        <v>#REF!</v>
      </c>
    </row>
    <row r="148" spans="1:33" s="131" customFormat="1" ht="18" customHeight="1" x14ac:dyDescent="0.25">
      <c r="A148" s="125">
        <v>147</v>
      </c>
      <c r="B148" s="126" t="s">
        <v>191</v>
      </c>
      <c r="C148" s="126" t="s">
        <v>2714</v>
      </c>
      <c r="D148" s="126" t="s">
        <v>2706</v>
      </c>
      <c r="E148" s="127" t="s">
        <v>2397</v>
      </c>
      <c r="F148" s="128" t="s">
        <v>2411</v>
      </c>
      <c r="G148" s="128" t="s">
        <v>3289</v>
      </c>
      <c r="H148" s="125"/>
      <c r="I148" s="125"/>
      <c r="J148" s="132"/>
      <c r="K148" s="130"/>
      <c r="L148" s="129"/>
      <c r="M148" s="127" t="s">
        <v>758</v>
      </c>
      <c r="N148" s="127" t="s">
        <v>765</v>
      </c>
      <c r="O148" s="127" t="s">
        <v>1489</v>
      </c>
      <c r="P148" s="127" t="s">
        <v>812</v>
      </c>
      <c r="Q148" s="127">
        <v>0</v>
      </c>
      <c r="R148" s="127">
        <v>0</v>
      </c>
      <c r="S148" s="127">
        <v>0</v>
      </c>
      <c r="T148" s="127">
        <v>0</v>
      </c>
      <c r="U148" s="127">
        <v>0</v>
      </c>
      <c r="V148" s="127">
        <v>0</v>
      </c>
      <c r="W148" s="127">
        <v>0</v>
      </c>
      <c r="X148" s="127">
        <v>0</v>
      </c>
      <c r="Y148" s="127">
        <v>0</v>
      </c>
      <c r="Z148" s="127">
        <v>0</v>
      </c>
      <c r="AA148" s="127" t="s">
        <v>2511</v>
      </c>
      <c r="AB148" s="131" t="s">
        <v>1049</v>
      </c>
      <c r="AC148" s="127" t="s">
        <v>1868</v>
      </c>
      <c r="AD148" s="131" t="s">
        <v>2397</v>
      </c>
      <c r="AE148" s="131" t="e">
        <v>#N/A</v>
      </c>
      <c r="AF148" s="131" t="e">
        <v>#N/A</v>
      </c>
      <c r="AG148" s="131" t="e">
        <v>#REF!</v>
      </c>
    </row>
    <row r="149" spans="1:33" s="131" customFormat="1" ht="18" customHeight="1" x14ac:dyDescent="0.25">
      <c r="A149" s="125">
        <v>148</v>
      </c>
      <c r="B149" s="126" t="s">
        <v>192</v>
      </c>
      <c r="C149" s="126" t="s">
        <v>2715</v>
      </c>
      <c r="D149" s="126" t="s">
        <v>2710</v>
      </c>
      <c r="E149" s="127" t="s">
        <v>2397</v>
      </c>
      <c r="F149" s="128" t="s">
        <v>2411</v>
      </c>
      <c r="G149" s="128" t="s">
        <v>3289</v>
      </c>
      <c r="H149" s="125"/>
      <c r="I149" s="125"/>
      <c r="J149" s="132"/>
      <c r="K149" s="130"/>
      <c r="L149" s="129"/>
      <c r="M149" s="127" t="s">
        <v>758</v>
      </c>
      <c r="N149" s="127" t="s">
        <v>765</v>
      </c>
      <c r="O149" s="127" t="s">
        <v>1481</v>
      </c>
      <c r="P149" s="127" t="s">
        <v>812</v>
      </c>
      <c r="Q149" s="127">
        <v>0</v>
      </c>
      <c r="R149" s="127">
        <v>0</v>
      </c>
      <c r="S149" s="127">
        <v>0</v>
      </c>
      <c r="T149" s="127">
        <v>0</v>
      </c>
      <c r="U149" s="127">
        <v>0</v>
      </c>
      <c r="V149" s="127">
        <v>0</v>
      </c>
      <c r="W149" s="127">
        <v>0</v>
      </c>
      <c r="X149" s="127">
        <v>0</v>
      </c>
      <c r="Y149" s="127">
        <v>0</v>
      </c>
      <c r="Z149" s="127">
        <v>0</v>
      </c>
      <c r="AA149" s="127" t="s">
        <v>2510</v>
      </c>
      <c r="AB149" s="131" t="s">
        <v>1050</v>
      </c>
      <c r="AC149" s="127" t="s">
        <v>1869</v>
      </c>
      <c r="AD149" s="131" t="s">
        <v>2397</v>
      </c>
      <c r="AE149" s="131" t="e">
        <v>#N/A</v>
      </c>
      <c r="AF149" s="131" t="e">
        <v>#N/A</v>
      </c>
      <c r="AG149" s="131" t="e">
        <v>#REF!</v>
      </c>
    </row>
    <row r="150" spans="1:33" s="131" customFormat="1" ht="18" customHeight="1" x14ac:dyDescent="0.25">
      <c r="A150" s="125">
        <v>149</v>
      </c>
      <c r="B150" s="126" t="s">
        <v>193</v>
      </c>
      <c r="C150" s="126" t="s">
        <v>2716</v>
      </c>
      <c r="D150" s="126" t="s">
        <v>2706</v>
      </c>
      <c r="E150" s="127" t="s">
        <v>2397</v>
      </c>
      <c r="F150" s="128" t="s">
        <v>2521</v>
      </c>
      <c r="G150" s="128" t="s">
        <v>3290</v>
      </c>
      <c r="H150" s="125"/>
      <c r="I150" s="125"/>
      <c r="J150" s="132" t="s">
        <v>2520</v>
      </c>
      <c r="K150" s="130"/>
      <c r="L150" s="129"/>
      <c r="M150" s="127" t="s">
        <v>758</v>
      </c>
      <c r="N150" s="127" t="s">
        <v>2520</v>
      </c>
      <c r="O150" s="127" t="s">
        <v>1553</v>
      </c>
      <c r="P150" s="127" t="s">
        <v>1554</v>
      </c>
      <c r="Q150" s="127">
        <v>2</v>
      </c>
      <c r="R150" s="127" t="s">
        <v>1479</v>
      </c>
      <c r="S150" s="127" t="s">
        <v>193</v>
      </c>
      <c r="T150" s="127">
        <v>0</v>
      </c>
      <c r="U150" s="127">
        <v>0</v>
      </c>
      <c r="V150" s="127">
        <v>0</v>
      </c>
      <c r="W150" s="127" t="s">
        <v>1479</v>
      </c>
      <c r="X150" s="127" t="s">
        <v>193</v>
      </c>
      <c r="Y150" s="127" t="s">
        <v>1583</v>
      </c>
      <c r="Z150" s="127">
        <v>0</v>
      </c>
      <c r="AA150" s="127" t="s">
        <v>2510</v>
      </c>
      <c r="AB150" s="131" t="s">
        <v>1051</v>
      </c>
      <c r="AC150" s="127" t="s">
        <v>1870</v>
      </c>
      <c r="AD150" s="131" t="s">
        <v>2397</v>
      </c>
      <c r="AE150" s="131" t="e">
        <v>#N/A</v>
      </c>
      <c r="AF150" s="131" t="e">
        <v>#N/A</v>
      </c>
      <c r="AG150" s="131" t="e">
        <v>#REF!</v>
      </c>
    </row>
    <row r="151" spans="1:33" s="131" customFormat="1" ht="18" customHeight="1" x14ac:dyDescent="0.25">
      <c r="A151" s="125">
        <v>150</v>
      </c>
      <c r="B151" s="126" t="s">
        <v>194</v>
      </c>
      <c r="C151" s="126" t="s">
        <v>2717</v>
      </c>
      <c r="D151" s="126" t="s">
        <v>2706</v>
      </c>
      <c r="E151" s="127" t="s">
        <v>2397</v>
      </c>
      <c r="F151" s="128" t="s">
        <v>2411</v>
      </c>
      <c r="G151" s="128" t="s">
        <v>3289</v>
      </c>
      <c r="H151" s="125"/>
      <c r="I151" s="125"/>
      <c r="J151" s="132"/>
      <c r="K151" s="130"/>
      <c r="L151" s="129"/>
      <c r="M151" s="127" t="s">
        <v>758</v>
      </c>
      <c r="N151" s="127" t="s">
        <v>765</v>
      </c>
      <c r="O151" s="127" t="s">
        <v>1476</v>
      </c>
      <c r="P151" s="127" t="s">
        <v>812</v>
      </c>
      <c r="Q151" s="127">
        <v>0</v>
      </c>
      <c r="R151" s="127">
        <v>0</v>
      </c>
      <c r="S151" s="127">
        <v>0</v>
      </c>
      <c r="T151" s="127">
        <v>0</v>
      </c>
      <c r="U151" s="127">
        <v>0</v>
      </c>
      <c r="V151" s="127">
        <v>0</v>
      </c>
      <c r="W151" s="127">
        <v>0</v>
      </c>
      <c r="X151" s="127">
        <v>0</v>
      </c>
      <c r="Y151" s="127">
        <v>0</v>
      </c>
      <c r="Z151" s="127">
        <v>0</v>
      </c>
      <c r="AA151" s="127" t="s">
        <v>2511</v>
      </c>
      <c r="AB151" s="131" t="s">
        <v>1052</v>
      </c>
      <c r="AC151" s="127" t="s">
        <v>1871</v>
      </c>
      <c r="AD151" s="131" t="s">
        <v>2397</v>
      </c>
      <c r="AE151" s="131" t="e">
        <v>#N/A</v>
      </c>
      <c r="AF151" s="131" t="e">
        <v>#N/A</v>
      </c>
      <c r="AG151" s="131" t="e">
        <v>#REF!</v>
      </c>
    </row>
    <row r="152" spans="1:33" s="131" customFormat="1" ht="18" customHeight="1" x14ac:dyDescent="0.25">
      <c r="A152" s="125">
        <v>151</v>
      </c>
      <c r="B152" s="126" t="s">
        <v>195</v>
      </c>
      <c r="C152" s="126" t="s">
        <v>2718</v>
      </c>
      <c r="D152" s="126" t="s">
        <v>2719</v>
      </c>
      <c r="E152" s="127" t="s">
        <v>2397</v>
      </c>
      <c r="F152" s="128"/>
      <c r="G152" s="128" t="s">
        <v>3290</v>
      </c>
      <c r="H152" s="125"/>
      <c r="I152" s="125"/>
      <c r="J152" s="132" t="s">
        <v>2520</v>
      </c>
      <c r="K152" s="130"/>
      <c r="L152" s="129"/>
      <c r="M152" s="127" t="s">
        <v>758</v>
      </c>
      <c r="N152" s="127" t="s">
        <v>2520</v>
      </c>
      <c r="O152" s="127" t="s">
        <v>1553</v>
      </c>
      <c r="P152" s="127" t="s">
        <v>1554</v>
      </c>
      <c r="Q152" s="127">
        <v>2</v>
      </c>
      <c r="R152" s="127" t="s">
        <v>1476</v>
      </c>
      <c r="S152" s="127" t="s">
        <v>195</v>
      </c>
      <c r="T152" s="127">
        <v>0</v>
      </c>
      <c r="U152" s="127">
        <v>0</v>
      </c>
      <c r="V152" s="127">
        <v>0</v>
      </c>
      <c r="W152" s="127" t="s">
        <v>1480</v>
      </c>
      <c r="X152" s="127" t="s">
        <v>195</v>
      </c>
      <c r="Y152" s="127" t="s">
        <v>1569</v>
      </c>
      <c r="Z152" s="127">
        <v>0</v>
      </c>
      <c r="AA152" s="127" t="s">
        <v>2511</v>
      </c>
      <c r="AB152" s="131" t="s">
        <v>1053</v>
      </c>
      <c r="AC152" s="127" t="s">
        <v>1872</v>
      </c>
      <c r="AD152" s="131" t="s">
        <v>2397</v>
      </c>
      <c r="AE152" s="131" t="e">
        <v>#N/A</v>
      </c>
      <c r="AF152" s="131" t="e">
        <v>#N/A</v>
      </c>
      <c r="AG152" s="131" t="e">
        <v>#REF!</v>
      </c>
    </row>
    <row r="153" spans="1:33" s="131" customFormat="1" ht="18" customHeight="1" x14ac:dyDescent="0.25">
      <c r="A153" s="125">
        <v>152</v>
      </c>
      <c r="B153" s="126" t="s">
        <v>196</v>
      </c>
      <c r="C153" s="126" t="s">
        <v>2720</v>
      </c>
      <c r="D153" s="126" t="s">
        <v>2706</v>
      </c>
      <c r="E153" s="127" t="s">
        <v>2397</v>
      </c>
      <c r="F153" s="128" t="s">
        <v>2411</v>
      </c>
      <c r="G153" s="128" t="s">
        <v>3289</v>
      </c>
      <c r="H153" s="125"/>
      <c r="I153" s="125"/>
      <c r="J153" s="132"/>
      <c r="K153" s="130"/>
      <c r="L153" s="129"/>
      <c r="M153" s="127" t="s">
        <v>758</v>
      </c>
      <c r="N153" s="127" t="s">
        <v>765</v>
      </c>
      <c r="O153" s="127" t="s">
        <v>3298</v>
      </c>
      <c r="P153" s="127" t="s">
        <v>812</v>
      </c>
      <c r="Q153" s="127">
        <v>0</v>
      </c>
      <c r="R153" s="127">
        <v>0</v>
      </c>
      <c r="S153" s="127">
        <v>0</v>
      </c>
      <c r="T153" s="127">
        <v>0</v>
      </c>
      <c r="U153" s="127">
        <v>0</v>
      </c>
      <c r="V153" s="127">
        <v>0</v>
      </c>
      <c r="W153" s="127">
        <v>0</v>
      </c>
      <c r="X153" s="127">
        <v>0</v>
      </c>
      <c r="Y153" s="127">
        <v>0</v>
      </c>
      <c r="Z153" s="127">
        <v>0</v>
      </c>
      <c r="AA153" s="127" t="s">
        <v>2511</v>
      </c>
      <c r="AB153" s="131" t="s">
        <v>1054</v>
      </c>
      <c r="AC153" s="127" t="s">
        <v>1873</v>
      </c>
      <c r="AD153" s="131" t="s">
        <v>2397</v>
      </c>
      <c r="AE153" s="131" t="e">
        <v>#N/A</v>
      </c>
      <c r="AF153" s="131" t="e">
        <v>#N/A</v>
      </c>
      <c r="AG153" s="131" t="e">
        <v>#REF!</v>
      </c>
    </row>
    <row r="154" spans="1:33" s="131" customFormat="1" ht="18" customHeight="1" x14ac:dyDescent="0.25">
      <c r="A154" s="125">
        <v>153</v>
      </c>
      <c r="B154" s="126" t="s">
        <v>197</v>
      </c>
      <c r="C154" s="126" t="s">
        <v>2721</v>
      </c>
      <c r="D154" s="126" t="s">
        <v>2710</v>
      </c>
      <c r="E154" s="127" t="s">
        <v>2397</v>
      </c>
      <c r="F154" s="128" t="s">
        <v>2411</v>
      </c>
      <c r="G154" s="128" t="s">
        <v>3290</v>
      </c>
      <c r="H154" s="125" t="s">
        <v>1732</v>
      </c>
      <c r="I154" s="125"/>
      <c r="J154" s="129"/>
      <c r="K154" s="130"/>
      <c r="L154" s="129"/>
      <c r="M154" s="127" t="s">
        <v>759</v>
      </c>
      <c r="N154" s="127" t="s">
        <v>1639</v>
      </c>
      <c r="O154" s="127" t="s">
        <v>1553</v>
      </c>
      <c r="P154" s="127" t="s">
        <v>1554</v>
      </c>
      <c r="Q154" s="127">
        <v>2</v>
      </c>
      <c r="R154" s="127" t="s">
        <v>1477</v>
      </c>
      <c r="S154" s="127" t="s">
        <v>197</v>
      </c>
      <c r="T154" s="127">
        <v>0</v>
      </c>
      <c r="U154" s="127">
        <v>0</v>
      </c>
      <c r="V154" s="127">
        <v>0</v>
      </c>
      <c r="W154" s="127" t="s">
        <v>1481</v>
      </c>
      <c r="X154" s="127" t="s">
        <v>197</v>
      </c>
      <c r="Y154" s="127" t="s">
        <v>1573</v>
      </c>
      <c r="Z154" s="127">
        <v>0</v>
      </c>
      <c r="AA154" s="127" t="s">
        <v>2511</v>
      </c>
      <c r="AB154" s="131" t="s">
        <v>1055</v>
      </c>
      <c r="AC154" s="127" t="s">
        <v>1874</v>
      </c>
      <c r="AD154" s="131" t="s">
        <v>2397</v>
      </c>
      <c r="AE154" s="131" t="e">
        <v>#N/A</v>
      </c>
      <c r="AF154" s="131" t="e">
        <v>#N/A</v>
      </c>
      <c r="AG154" s="131" t="e">
        <v>#REF!</v>
      </c>
    </row>
    <row r="155" spans="1:33" s="131" customFormat="1" ht="18" customHeight="1" x14ac:dyDescent="0.25">
      <c r="A155" s="125">
        <v>154</v>
      </c>
      <c r="B155" s="126" t="s">
        <v>198</v>
      </c>
      <c r="C155" s="126" t="s">
        <v>2722</v>
      </c>
      <c r="D155" s="126" t="s">
        <v>2706</v>
      </c>
      <c r="E155" s="127" t="s">
        <v>2397</v>
      </c>
      <c r="F155" s="128" t="s">
        <v>2411</v>
      </c>
      <c r="G155" s="128" t="s">
        <v>3289</v>
      </c>
      <c r="H155" s="125"/>
      <c r="I155" s="125" t="s">
        <v>934</v>
      </c>
      <c r="J155" s="132"/>
      <c r="K155" s="130"/>
      <c r="L155" s="129" t="s">
        <v>2551</v>
      </c>
      <c r="M155" s="127" t="s">
        <v>759</v>
      </c>
      <c r="N155" s="127" t="s">
        <v>2549</v>
      </c>
      <c r="O155" s="127" t="s">
        <v>1486</v>
      </c>
      <c r="P155" s="127" t="s">
        <v>812</v>
      </c>
      <c r="Q155" s="127">
        <v>0</v>
      </c>
      <c r="R155" s="127">
        <v>0</v>
      </c>
      <c r="S155" s="127">
        <v>0</v>
      </c>
      <c r="T155" s="127">
        <v>0</v>
      </c>
      <c r="U155" s="127">
        <v>0</v>
      </c>
      <c r="V155" s="127">
        <v>0</v>
      </c>
      <c r="W155" s="127">
        <v>0</v>
      </c>
      <c r="X155" s="127">
        <v>0</v>
      </c>
      <c r="Y155" s="127">
        <v>0</v>
      </c>
      <c r="Z155" s="127">
        <v>0</v>
      </c>
      <c r="AA155" s="127" t="s">
        <v>2511</v>
      </c>
      <c r="AB155" s="131" t="s">
        <v>1056</v>
      </c>
      <c r="AC155" s="127" t="s">
        <v>1875</v>
      </c>
      <c r="AD155" s="131" t="s">
        <v>2397</v>
      </c>
      <c r="AE155" s="131" t="e">
        <v>#N/A</v>
      </c>
      <c r="AF155" s="131" t="e">
        <v>#N/A</v>
      </c>
      <c r="AG155" s="131" t="e">
        <v>#REF!</v>
      </c>
    </row>
    <row r="156" spans="1:33" s="131" customFormat="1" ht="18" customHeight="1" x14ac:dyDescent="0.25">
      <c r="A156" s="125">
        <v>155</v>
      </c>
      <c r="B156" s="126" t="s">
        <v>199</v>
      </c>
      <c r="C156" s="126" t="s">
        <v>2723</v>
      </c>
      <c r="D156" s="126" t="s">
        <v>2710</v>
      </c>
      <c r="E156" s="127" t="s">
        <v>2397</v>
      </c>
      <c r="F156" s="128" t="s">
        <v>2411</v>
      </c>
      <c r="G156" s="128" t="s">
        <v>3289</v>
      </c>
      <c r="H156" s="125" t="s">
        <v>927</v>
      </c>
      <c r="I156" s="125"/>
      <c r="J156" s="129"/>
      <c r="K156" s="130"/>
      <c r="L156" s="129"/>
      <c r="M156" s="127" t="s">
        <v>759</v>
      </c>
      <c r="N156" s="127" t="s">
        <v>1639</v>
      </c>
      <c r="O156" s="127" t="s">
        <v>1482</v>
      </c>
      <c r="P156" s="127" t="s">
        <v>812</v>
      </c>
      <c r="Q156" s="127">
        <v>0</v>
      </c>
      <c r="R156" s="127">
        <v>0</v>
      </c>
      <c r="S156" s="127">
        <v>0</v>
      </c>
      <c r="T156" s="127">
        <v>0</v>
      </c>
      <c r="U156" s="127">
        <v>0</v>
      </c>
      <c r="V156" s="127">
        <v>0</v>
      </c>
      <c r="W156" s="127">
        <v>0</v>
      </c>
      <c r="X156" s="127">
        <v>0</v>
      </c>
      <c r="Y156" s="127">
        <v>0</v>
      </c>
      <c r="Z156" s="127">
        <v>0</v>
      </c>
      <c r="AA156" s="127" t="s">
        <v>2510</v>
      </c>
      <c r="AB156" s="131" t="s">
        <v>1057</v>
      </c>
      <c r="AC156" s="127" t="s">
        <v>1876</v>
      </c>
      <c r="AD156" s="131" t="s">
        <v>2397</v>
      </c>
      <c r="AE156" s="131" t="e">
        <v>#N/A</v>
      </c>
      <c r="AF156" s="131" t="e">
        <v>#N/A</v>
      </c>
      <c r="AG156" s="131" t="e">
        <v>#REF!</v>
      </c>
    </row>
    <row r="157" spans="1:33" s="131" customFormat="1" ht="18" customHeight="1" x14ac:dyDescent="0.25">
      <c r="A157" s="125">
        <v>156</v>
      </c>
      <c r="B157" s="126" t="s">
        <v>200</v>
      </c>
      <c r="C157" s="126" t="s">
        <v>2724</v>
      </c>
      <c r="D157" s="126" t="s">
        <v>2710</v>
      </c>
      <c r="E157" s="127" t="s">
        <v>2397</v>
      </c>
      <c r="F157" s="128" t="s">
        <v>2410</v>
      </c>
      <c r="G157" s="128" t="s">
        <v>3290</v>
      </c>
      <c r="H157" s="125"/>
      <c r="I157" s="125"/>
      <c r="J157" s="132" t="s">
        <v>1641</v>
      </c>
      <c r="K157" s="130" t="s">
        <v>536</v>
      </c>
      <c r="L157" s="129"/>
      <c r="M157" s="127" t="s">
        <v>759</v>
      </c>
      <c r="N157" s="127" t="s">
        <v>1641</v>
      </c>
      <c r="O157" s="127" t="s">
        <v>1427</v>
      </c>
      <c r="P157" s="127">
        <v>0</v>
      </c>
      <c r="Q157" s="127">
        <v>0</v>
      </c>
      <c r="R157" s="127">
        <v>0</v>
      </c>
      <c r="S157" s="127">
        <v>0</v>
      </c>
      <c r="T157" s="127">
        <v>2</v>
      </c>
      <c r="U157" s="127" t="s">
        <v>1584</v>
      </c>
      <c r="V157" s="127" t="s">
        <v>200</v>
      </c>
      <c r="W157" s="127" t="s">
        <v>1482</v>
      </c>
      <c r="X157" s="127" t="s">
        <v>200</v>
      </c>
      <c r="Y157" s="127" t="s">
        <v>1436</v>
      </c>
      <c r="Z157" s="127">
        <v>0</v>
      </c>
      <c r="AA157" s="127" t="s">
        <v>2511</v>
      </c>
      <c r="AB157" s="131" t="s">
        <v>1059</v>
      </c>
      <c r="AC157" s="127" t="s">
        <v>1877</v>
      </c>
      <c r="AD157" s="131" t="s">
        <v>2397</v>
      </c>
      <c r="AE157" s="131" t="e">
        <v>#N/A</v>
      </c>
      <c r="AF157" s="131" t="e">
        <v>#N/A</v>
      </c>
      <c r="AG157" s="131" t="e">
        <v>#REF!</v>
      </c>
    </row>
    <row r="158" spans="1:33" s="131" customFormat="1" ht="18" customHeight="1" x14ac:dyDescent="0.25">
      <c r="A158" s="125">
        <v>157</v>
      </c>
      <c r="B158" s="126" t="s">
        <v>80</v>
      </c>
      <c r="C158" s="126" t="s">
        <v>2725</v>
      </c>
      <c r="D158" s="126" t="s">
        <v>2710</v>
      </c>
      <c r="E158" s="127" t="s">
        <v>2322</v>
      </c>
      <c r="F158" s="128" t="s">
        <v>2521</v>
      </c>
      <c r="G158" s="128" t="s">
        <v>3290</v>
      </c>
      <c r="H158" s="125"/>
      <c r="I158" s="125"/>
      <c r="J158" s="132" t="s">
        <v>2520</v>
      </c>
      <c r="K158" s="130"/>
      <c r="L158" s="129"/>
      <c r="M158" s="127" t="s">
        <v>758</v>
      </c>
      <c r="N158" s="127" t="s">
        <v>2520</v>
      </c>
      <c r="O158" s="127" t="s">
        <v>1553</v>
      </c>
      <c r="P158" s="127" t="s">
        <v>1554</v>
      </c>
      <c r="Q158" s="127">
        <v>2</v>
      </c>
      <c r="R158" s="127" t="s">
        <v>1483</v>
      </c>
      <c r="S158" s="127" t="s">
        <v>80</v>
      </c>
      <c r="T158" s="127">
        <v>0</v>
      </c>
      <c r="U158" s="127">
        <v>0</v>
      </c>
      <c r="V158" s="127">
        <v>0</v>
      </c>
      <c r="W158" s="127">
        <v>0</v>
      </c>
      <c r="X158" s="127">
        <v>0</v>
      </c>
      <c r="Y158" s="127">
        <v>0</v>
      </c>
      <c r="Z158" s="127" t="s">
        <v>1568</v>
      </c>
      <c r="AA158" s="127" t="s">
        <v>2510</v>
      </c>
      <c r="AB158" s="131" t="s">
        <v>1061</v>
      </c>
      <c r="AC158" s="127" t="s">
        <v>1878</v>
      </c>
      <c r="AD158" s="131" t="s">
        <v>2322</v>
      </c>
      <c r="AE158" s="131" t="e">
        <v>#N/A</v>
      </c>
      <c r="AF158" s="131" t="e">
        <v>#N/A</v>
      </c>
      <c r="AG158" s="131" t="e">
        <v>#REF!</v>
      </c>
    </row>
    <row r="159" spans="1:33" s="131" customFormat="1" ht="18" customHeight="1" x14ac:dyDescent="0.25">
      <c r="A159" s="125">
        <v>158</v>
      </c>
      <c r="B159" s="126" t="s">
        <v>81</v>
      </c>
      <c r="C159" s="126" t="s">
        <v>2726</v>
      </c>
      <c r="D159" s="126" t="s">
        <v>2710</v>
      </c>
      <c r="E159" s="127" t="s">
        <v>2322</v>
      </c>
      <c r="F159" s="128" t="s">
        <v>2411</v>
      </c>
      <c r="G159" s="128" t="s">
        <v>3289</v>
      </c>
      <c r="H159" s="125"/>
      <c r="I159" s="125"/>
      <c r="J159" s="132"/>
      <c r="K159" s="130"/>
      <c r="L159" s="129"/>
      <c r="M159" s="127" t="s">
        <v>758</v>
      </c>
      <c r="N159" s="127" t="s">
        <v>765</v>
      </c>
      <c r="O159" s="127" t="s">
        <v>1556</v>
      </c>
      <c r="P159" s="127" t="s">
        <v>812</v>
      </c>
      <c r="Q159" s="127">
        <v>0</v>
      </c>
      <c r="R159" s="127">
        <v>0</v>
      </c>
      <c r="S159" s="127">
        <v>0</v>
      </c>
      <c r="T159" s="127">
        <v>0</v>
      </c>
      <c r="U159" s="127">
        <v>0</v>
      </c>
      <c r="V159" s="127">
        <v>0</v>
      </c>
      <c r="W159" s="127">
        <v>0</v>
      </c>
      <c r="X159" s="127">
        <v>0</v>
      </c>
      <c r="Y159" s="127">
        <v>0</v>
      </c>
      <c r="Z159" s="127" t="s">
        <v>1568</v>
      </c>
      <c r="AA159" s="127" t="s">
        <v>2511</v>
      </c>
      <c r="AB159" s="131" t="s">
        <v>1062</v>
      </c>
      <c r="AC159" s="127" t="s">
        <v>1879</v>
      </c>
      <c r="AD159" s="131" t="s">
        <v>2322</v>
      </c>
      <c r="AE159" s="131" t="e">
        <v>#N/A</v>
      </c>
      <c r="AF159" s="131" t="e">
        <v>#N/A</v>
      </c>
      <c r="AG159" s="131" t="e">
        <v>#REF!</v>
      </c>
    </row>
    <row r="160" spans="1:33" s="131" customFormat="1" ht="18" customHeight="1" x14ac:dyDescent="0.25">
      <c r="A160" s="125">
        <v>159</v>
      </c>
      <c r="B160" s="126" t="s">
        <v>82</v>
      </c>
      <c r="C160" s="126" t="s">
        <v>2727</v>
      </c>
      <c r="D160" s="126" t="s">
        <v>2710</v>
      </c>
      <c r="E160" s="127" t="s">
        <v>2322</v>
      </c>
      <c r="F160" s="128" t="s">
        <v>2411</v>
      </c>
      <c r="G160" s="128" t="s">
        <v>3289</v>
      </c>
      <c r="H160" s="125"/>
      <c r="I160" s="125"/>
      <c r="J160" s="132"/>
      <c r="K160" s="130"/>
      <c r="L160" s="129"/>
      <c r="M160" s="127" t="s">
        <v>758</v>
      </c>
      <c r="N160" s="127" t="s">
        <v>765</v>
      </c>
      <c r="O160" s="127" t="s">
        <v>1483</v>
      </c>
      <c r="P160" s="127" t="s">
        <v>812</v>
      </c>
      <c r="Q160" s="127">
        <v>0</v>
      </c>
      <c r="R160" s="127">
        <v>0</v>
      </c>
      <c r="S160" s="127">
        <v>0</v>
      </c>
      <c r="T160" s="127">
        <v>0</v>
      </c>
      <c r="U160" s="127">
        <v>0</v>
      </c>
      <c r="V160" s="127">
        <v>0</v>
      </c>
      <c r="W160" s="127">
        <v>0</v>
      </c>
      <c r="X160" s="127">
        <v>0</v>
      </c>
      <c r="Y160" s="127">
        <v>0</v>
      </c>
      <c r="Z160" s="127">
        <v>0</v>
      </c>
      <c r="AA160" s="127" t="s">
        <v>2510</v>
      </c>
      <c r="AB160" s="131" t="s">
        <v>1063</v>
      </c>
      <c r="AC160" s="127" t="s">
        <v>1880</v>
      </c>
      <c r="AD160" s="131" t="s">
        <v>2322</v>
      </c>
      <c r="AE160" s="131" t="e">
        <v>#N/A</v>
      </c>
      <c r="AF160" s="131" t="e">
        <v>#N/A</v>
      </c>
      <c r="AG160" s="131" t="e">
        <v>#REF!</v>
      </c>
    </row>
    <row r="161" spans="1:33" s="131" customFormat="1" ht="15.75" x14ac:dyDescent="0.25">
      <c r="A161" s="125">
        <v>160</v>
      </c>
      <c r="B161" s="126" t="s">
        <v>201</v>
      </c>
      <c r="C161" s="126" t="s">
        <v>2728</v>
      </c>
      <c r="D161" s="126" t="s">
        <v>2706</v>
      </c>
      <c r="E161" s="127" t="s">
        <v>2397</v>
      </c>
      <c r="F161" s="128" t="s">
        <v>2411</v>
      </c>
      <c r="G161" s="128" t="s">
        <v>3289</v>
      </c>
      <c r="H161" s="125" t="s">
        <v>965</v>
      </c>
      <c r="I161" s="125"/>
      <c r="J161" s="129"/>
      <c r="K161" s="130"/>
      <c r="L161" s="129"/>
      <c r="M161" s="127" t="s">
        <v>761</v>
      </c>
      <c r="N161" s="127" t="s">
        <v>1639</v>
      </c>
      <c r="O161" s="127" t="s">
        <v>1475</v>
      </c>
      <c r="P161" s="127" t="s">
        <v>812</v>
      </c>
      <c r="Q161" s="127">
        <v>0</v>
      </c>
      <c r="R161" s="127">
        <v>0</v>
      </c>
      <c r="S161" s="127">
        <v>0</v>
      </c>
      <c r="T161" s="127">
        <v>0</v>
      </c>
      <c r="U161" s="127">
        <v>0</v>
      </c>
      <c r="V161" s="127">
        <v>0</v>
      </c>
      <c r="W161" s="127">
        <v>0</v>
      </c>
      <c r="X161" s="127">
        <v>0</v>
      </c>
      <c r="Y161" s="127">
        <v>0</v>
      </c>
      <c r="Z161" s="127">
        <v>0</v>
      </c>
      <c r="AA161" s="127" t="s">
        <v>2510</v>
      </c>
      <c r="AB161" s="131" t="s">
        <v>1064</v>
      </c>
      <c r="AC161" s="127" t="s">
        <v>1741</v>
      </c>
      <c r="AD161" s="131" t="s">
        <v>2397</v>
      </c>
      <c r="AE161" s="131" t="e">
        <v>#N/A</v>
      </c>
      <c r="AF161" s="131" t="e">
        <v>#N/A</v>
      </c>
      <c r="AG161" s="131" t="e">
        <v>#REF!</v>
      </c>
    </row>
    <row r="162" spans="1:33" s="131" customFormat="1" ht="18" customHeight="1" x14ac:dyDescent="0.25">
      <c r="A162" s="125">
        <v>161</v>
      </c>
      <c r="B162" s="126" t="s">
        <v>202</v>
      </c>
      <c r="C162" s="126" t="s">
        <v>2729</v>
      </c>
      <c r="D162" s="126" t="s">
        <v>2706</v>
      </c>
      <c r="E162" s="127" t="s">
        <v>2397</v>
      </c>
      <c r="F162" s="128" t="s">
        <v>2411</v>
      </c>
      <c r="G162" s="128" t="s">
        <v>3289</v>
      </c>
      <c r="H162" s="125" t="s">
        <v>1732</v>
      </c>
      <c r="I162" s="125"/>
      <c r="J162" s="129"/>
      <c r="K162" s="130"/>
      <c r="L162" s="129"/>
      <c r="M162" s="127" t="s">
        <v>761</v>
      </c>
      <c r="N162" s="127" t="s">
        <v>1639</v>
      </c>
      <c r="O162" s="127" t="s">
        <v>1474</v>
      </c>
      <c r="P162" s="127" t="s">
        <v>812</v>
      </c>
      <c r="Q162" s="127">
        <v>0</v>
      </c>
      <c r="R162" s="127">
        <v>0</v>
      </c>
      <c r="S162" s="127">
        <v>0</v>
      </c>
      <c r="T162" s="127">
        <v>0</v>
      </c>
      <c r="U162" s="127">
        <v>0</v>
      </c>
      <c r="V162" s="127">
        <v>0</v>
      </c>
      <c r="W162" s="127">
        <v>0</v>
      </c>
      <c r="X162" s="127">
        <v>0</v>
      </c>
      <c r="Y162" s="127">
        <v>0</v>
      </c>
      <c r="Z162" s="127">
        <v>0</v>
      </c>
      <c r="AA162" s="127" t="s">
        <v>2510</v>
      </c>
      <c r="AB162" s="131" t="s">
        <v>1066</v>
      </c>
      <c r="AC162" s="127" t="s">
        <v>1881</v>
      </c>
      <c r="AD162" s="131" t="s">
        <v>2397</v>
      </c>
      <c r="AE162" s="131" t="e">
        <v>#N/A</v>
      </c>
      <c r="AF162" s="131" t="e">
        <v>#N/A</v>
      </c>
      <c r="AG162" s="131" t="e">
        <v>#REF!</v>
      </c>
    </row>
    <row r="163" spans="1:33" s="131" customFormat="1" ht="15.75" x14ac:dyDescent="0.25">
      <c r="A163" s="125">
        <v>162</v>
      </c>
      <c r="B163" s="126" t="s">
        <v>5</v>
      </c>
      <c r="C163" s="126" t="s">
        <v>2730</v>
      </c>
      <c r="D163" s="126" t="s">
        <v>2706</v>
      </c>
      <c r="E163" s="127" t="s">
        <v>766</v>
      </c>
      <c r="F163" s="128" t="s">
        <v>2410</v>
      </c>
      <c r="G163" s="128" t="s">
        <v>3290</v>
      </c>
      <c r="H163" s="125"/>
      <c r="I163" s="125"/>
      <c r="J163" s="132" t="s">
        <v>1641</v>
      </c>
      <c r="K163" s="130" t="s">
        <v>203</v>
      </c>
      <c r="L163" s="129"/>
      <c r="M163" s="127" t="s">
        <v>759</v>
      </c>
      <c r="N163" s="127" t="s">
        <v>1641</v>
      </c>
      <c r="O163" s="127" t="s">
        <v>1427</v>
      </c>
      <c r="P163" s="127">
        <v>0</v>
      </c>
      <c r="Q163" s="127">
        <v>0</v>
      </c>
      <c r="R163" s="127">
        <v>0</v>
      </c>
      <c r="S163" s="127">
        <v>0</v>
      </c>
      <c r="T163" s="127">
        <v>2</v>
      </c>
      <c r="U163" s="127" t="s">
        <v>1485</v>
      </c>
      <c r="V163" s="127" t="s">
        <v>5</v>
      </c>
      <c r="W163" s="127">
        <v>0</v>
      </c>
      <c r="X163" s="127">
        <v>0</v>
      </c>
      <c r="Y163" s="127">
        <v>0</v>
      </c>
      <c r="Z163" s="127">
        <v>0</v>
      </c>
      <c r="AA163" s="127" t="s">
        <v>2511</v>
      </c>
      <c r="AB163" s="131" t="s">
        <v>1068</v>
      </c>
      <c r="AC163" s="127" t="s">
        <v>1882</v>
      </c>
      <c r="AD163" s="131" t="s">
        <v>766</v>
      </c>
      <c r="AE163" s="131" t="e">
        <v>#N/A</v>
      </c>
      <c r="AF163" s="131" t="e">
        <v>#N/A</v>
      </c>
      <c r="AG163" s="131" t="e">
        <v>#REF!</v>
      </c>
    </row>
    <row r="164" spans="1:33" s="131" customFormat="1" ht="18" customHeight="1" x14ac:dyDescent="0.25">
      <c r="A164" s="125">
        <v>163</v>
      </c>
      <c r="B164" s="126" t="s">
        <v>203</v>
      </c>
      <c r="C164" s="126" t="s">
        <v>2731</v>
      </c>
      <c r="D164" s="126" t="s">
        <v>2710</v>
      </c>
      <c r="E164" s="127" t="s">
        <v>2322</v>
      </c>
      <c r="F164" s="128" t="s">
        <v>2411</v>
      </c>
      <c r="G164" s="128" t="s">
        <v>3289</v>
      </c>
      <c r="H164" s="125"/>
      <c r="I164" s="125"/>
      <c r="J164" s="132"/>
      <c r="K164" s="130"/>
      <c r="L164" s="129"/>
      <c r="M164" s="127" t="s">
        <v>774</v>
      </c>
      <c r="N164" s="127" t="s">
        <v>765</v>
      </c>
      <c r="O164" s="127" t="s">
        <v>1485</v>
      </c>
      <c r="P164" s="127" t="s">
        <v>812</v>
      </c>
      <c r="Q164" s="127">
        <v>0</v>
      </c>
      <c r="R164" s="127">
        <v>0</v>
      </c>
      <c r="S164" s="127">
        <v>0</v>
      </c>
      <c r="T164" s="127">
        <v>0</v>
      </c>
      <c r="U164" s="127">
        <v>0</v>
      </c>
      <c r="V164" s="127">
        <v>0</v>
      </c>
      <c r="W164" s="127">
        <v>0</v>
      </c>
      <c r="X164" s="127">
        <v>0</v>
      </c>
      <c r="Y164" s="127">
        <v>0</v>
      </c>
      <c r="Z164" s="127">
        <v>0</v>
      </c>
      <c r="AA164" s="127" t="s">
        <v>2511</v>
      </c>
      <c r="AB164" s="131" t="s">
        <v>1069</v>
      </c>
      <c r="AC164" s="127" t="s">
        <v>1883</v>
      </c>
      <c r="AD164" s="131" t="s">
        <v>2322</v>
      </c>
      <c r="AE164" s="131" t="e">
        <v>#N/A</v>
      </c>
      <c r="AF164" s="131" t="e">
        <v>#N/A</v>
      </c>
      <c r="AG164" s="131" t="e">
        <v>#REF!</v>
      </c>
    </row>
    <row r="165" spans="1:33" s="131" customFormat="1" ht="15.75" x14ac:dyDescent="0.25">
      <c r="A165" s="125">
        <v>164</v>
      </c>
      <c r="B165" s="126" t="s">
        <v>204</v>
      </c>
      <c r="C165" s="126" t="s">
        <v>2732</v>
      </c>
      <c r="D165" s="126" t="s">
        <v>2706</v>
      </c>
      <c r="E165" s="127" t="s">
        <v>2322</v>
      </c>
      <c r="F165" s="128"/>
      <c r="G165" s="128" t="s">
        <v>3290</v>
      </c>
      <c r="H165" s="125"/>
      <c r="I165" s="125"/>
      <c r="J165" s="132" t="s">
        <v>2520</v>
      </c>
      <c r="K165" s="130"/>
      <c r="L165" s="129"/>
      <c r="M165" s="127" t="s">
        <v>774</v>
      </c>
      <c r="N165" s="127" t="s">
        <v>2520</v>
      </c>
      <c r="O165" s="127" t="s">
        <v>1427</v>
      </c>
      <c r="P165" s="127">
        <v>0</v>
      </c>
      <c r="Q165" s="127">
        <v>0</v>
      </c>
      <c r="R165" s="127">
        <v>0</v>
      </c>
      <c r="S165" s="127">
        <v>0</v>
      </c>
      <c r="T165" s="127">
        <v>2</v>
      </c>
      <c r="U165" s="127" t="s">
        <v>1486</v>
      </c>
      <c r="V165" s="127" t="s">
        <v>204</v>
      </c>
      <c r="W165" s="127" t="s">
        <v>1484</v>
      </c>
      <c r="X165" s="127" t="s">
        <v>204</v>
      </c>
      <c r="Y165" s="127" t="s">
        <v>1574</v>
      </c>
      <c r="Z165" s="127" t="s">
        <v>1568</v>
      </c>
      <c r="AA165" s="127" t="s">
        <v>2511</v>
      </c>
      <c r="AB165" s="131" t="s">
        <v>1070</v>
      </c>
      <c r="AC165" s="127" t="s">
        <v>1884</v>
      </c>
      <c r="AD165" s="131" t="s">
        <v>2322</v>
      </c>
      <c r="AE165" s="131" t="e">
        <v>#N/A</v>
      </c>
      <c r="AF165" s="131" t="e">
        <v>#N/A</v>
      </c>
      <c r="AG165" s="131" t="e">
        <v>#REF!</v>
      </c>
    </row>
    <row r="166" spans="1:33" s="131" customFormat="1" ht="18" customHeight="1" x14ac:dyDescent="0.25">
      <c r="A166" s="125">
        <v>165</v>
      </c>
      <c r="B166" s="126" t="s">
        <v>129</v>
      </c>
      <c r="C166" s="126" t="s">
        <v>2733</v>
      </c>
      <c r="D166" s="126" t="s">
        <v>2706</v>
      </c>
      <c r="E166" s="127" t="s">
        <v>2397</v>
      </c>
      <c r="F166" s="128" t="s">
        <v>2410</v>
      </c>
      <c r="G166" s="128" t="s">
        <v>3294</v>
      </c>
      <c r="H166" s="125"/>
      <c r="I166" s="125"/>
      <c r="J166" s="132" t="s">
        <v>2520</v>
      </c>
      <c r="K166" s="130" t="s">
        <v>127</v>
      </c>
      <c r="L166" s="129"/>
      <c r="M166" s="127" t="s">
        <v>758</v>
      </c>
      <c r="N166" s="127" t="s">
        <v>2520</v>
      </c>
      <c r="O166" s="127" t="s">
        <v>1553</v>
      </c>
      <c r="P166" s="127">
        <v>0</v>
      </c>
      <c r="Q166" s="127">
        <v>2</v>
      </c>
      <c r="R166" s="127" t="s">
        <v>1478</v>
      </c>
      <c r="S166" s="127" t="s">
        <v>129</v>
      </c>
      <c r="T166" s="127">
        <v>0</v>
      </c>
      <c r="U166" s="127">
        <v>0</v>
      </c>
      <c r="V166" s="127">
        <v>0</v>
      </c>
      <c r="W166" s="127">
        <v>0</v>
      </c>
      <c r="X166" s="127">
        <v>0</v>
      </c>
      <c r="Y166" s="127">
        <v>0</v>
      </c>
      <c r="Z166" s="127">
        <v>0</v>
      </c>
      <c r="AA166" s="127" t="s">
        <v>2511</v>
      </c>
      <c r="AB166" s="131" t="s">
        <v>1071</v>
      </c>
      <c r="AC166" s="127" t="s">
        <v>1885</v>
      </c>
      <c r="AD166" s="131" t="s">
        <v>2397</v>
      </c>
      <c r="AE166" s="131" t="e">
        <v>#N/A</v>
      </c>
      <c r="AF166" s="131" t="e">
        <v>#N/A</v>
      </c>
      <c r="AG166" s="131" t="e">
        <v>#REF!</v>
      </c>
    </row>
    <row r="167" spans="1:33" s="131" customFormat="1" ht="18" customHeight="1" x14ac:dyDescent="0.25">
      <c r="A167" s="125">
        <v>166</v>
      </c>
      <c r="B167" s="126" t="s">
        <v>205</v>
      </c>
      <c r="C167" s="126" t="s">
        <v>2734</v>
      </c>
      <c r="D167" s="126" t="s">
        <v>2710</v>
      </c>
      <c r="E167" s="127" t="s">
        <v>2397</v>
      </c>
      <c r="F167" s="128"/>
      <c r="G167" s="128" t="s">
        <v>3290</v>
      </c>
      <c r="H167" s="125"/>
      <c r="I167" s="125"/>
      <c r="J167" s="132" t="s">
        <v>2520</v>
      </c>
      <c r="K167" s="130"/>
      <c r="L167" s="129"/>
      <c r="M167" s="127" t="s">
        <v>772</v>
      </c>
      <c r="N167" s="127" t="s">
        <v>2520</v>
      </c>
      <c r="O167" s="127" t="s">
        <v>1427</v>
      </c>
      <c r="P167" s="127">
        <v>0</v>
      </c>
      <c r="Q167" s="127">
        <v>0</v>
      </c>
      <c r="R167" s="127">
        <v>0</v>
      </c>
      <c r="S167" s="127">
        <v>0</v>
      </c>
      <c r="T167" s="127">
        <v>2</v>
      </c>
      <c r="U167" s="127" t="s">
        <v>1585</v>
      </c>
      <c r="V167" s="127" t="s">
        <v>205</v>
      </c>
      <c r="W167" s="127" t="s">
        <v>1484</v>
      </c>
      <c r="X167" s="127" t="s">
        <v>205</v>
      </c>
      <c r="Y167" s="127" t="s">
        <v>1454</v>
      </c>
      <c r="Z167" s="127" t="s">
        <v>1568</v>
      </c>
      <c r="AA167" s="127" t="s">
        <v>2510</v>
      </c>
      <c r="AB167" s="131" t="s">
        <v>1072</v>
      </c>
      <c r="AC167" s="127" t="s">
        <v>1886</v>
      </c>
      <c r="AD167" s="131" t="s">
        <v>2397</v>
      </c>
      <c r="AE167" s="131" t="e">
        <v>#N/A</v>
      </c>
      <c r="AF167" s="131" t="e">
        <v>#N/A</v>
      </c>
      <c r="AG167" s="131" t="e">
        <v>#REF!</v>
      </c>
    </row>
    <row r="168" spans="1:33" s="131" customFormat="1" ht="18" customHeight="1" x14ac:dyDescent="0.25">
      <c r="A168" s="125">
        <v>167</v>
      </c>
      <c r="B168" s="126" t="s">
        <v>206</v>
      </c>
      <c r="C168" s="126" t="s">
        <v>2735</v>
      </c>
      <c r="D168" s="126" t="s">
        <v>2710</v>
      </c>
      <c r="E168" s="127" t="s">
        <v>2397</v>
      </c>
      <c r="F168" s="128" t="s">
        <v>2521</v>
      </c>
      <c r="G168" s="128" t="s">
        <v>3290</v>
      </c>
      <c r="H168" s="125"/>
      <c r="I168" s="125"/>
      <c r="J168" s="132" t="s">
        <v>2520</v>
      </c>
      <c r="K168" s="130"/>
      <c r="L168" s="129"/>
      <c r="M168" s="127" t="s">
        <v>772</v>
      </c>
      <c r="N168" s="127" t="s">
        <v>2520</v>
      </c>
      <c r="O168" s="127" t="s">
        <v>1553</v>
      </c>
      <c r="P168" s="127" t="s">
        <v>1554</v>
      </c>
      <c r="Q168" s="127">
        <v>2</v>
      </c>
      <c r="R168" s="127" t="s">
        <v>1481</v>
      </c>
      <c r="S168" s="127" t="s">
        <v>206</v>
      </c>
      <c r="T168" s="127">
        <v>0</v>
      </c>
      <c r="U168" s="127">
        <v>0</v>
      </c>
      <c r="V168" s="127">
        <v>0</v>
      </c>
      <c r="W168" s="127" t="s">
        <v>1481</v>
      </c>
      <c r="X168" s="127" t="s">
        <v>206</v>
      </c>
      <c r="Y168" s="127" t="s">
        <v>1573</v>
      </c>
      <c r="Z168" s="127">
        <v>0</v>
      </c>
      <c r="AA168" s="127" t="s">
        <v>2511</v>
      </c>
      <c r="AB168" s="131" t="s">
        <v>1073</v>
      </c>
      <c r="AC168" s="127" t="s">
        <v>1887</v>
      </c>
      <c r="AD168" s="131" t="s">
        <v>2397</v>
      </c>
      <c r="AE168" s="131" t="e">
        <v>#N/A</v>
      </c>
      <c r="AF168" s="131" t="e">
        <v>#N/A</v>
      </c>
      <c r="AG168" s="131" t="e">
        <v>#REF!</v>
      </c>
    </row>
    <row r="169" spans="1:33" s="131" customFormat="1" ht="18" customHeight="1" x14ac:dyDescent="0.25">
      <c r="A169" s="125">
        <v>168</v>
      </c>
      <c r="B169" s="126" t="s">
        <v>207</v>
      </c>
      <c r="C169" s="126" t="s">
        <v>2736</v>
      </c>
      <c r="D169" s="126" t="s">
        <v>2710</v>
      </c>
      <c r="E169" s="127" t="s">
        <v>2397</v>
      </c>
      <c r="F169" s="128" t="s">
        <v>2411</v>
      </c>
      <c r="G169" s="128" t="s">
        <v>3289</v>
      </c>
      <c r="H169" s="125"/>
      <c r="I169" s="125"/>
      <c r="J169" s="132"/>
      <c r="K169" s="130"/>
      <c r="L169" s="129"/>
      <c r="M169" s="127" t="s">
        <v>772</v>
      </c>
      <c r="N169" s="127" t="s">
        <v>765</v>
      </c>
      <c r="O169" s="127" t="s">
        <v>1477</v>
      </c>
      <c r="P169" s="127" t="s">
        <v>812</v>
      </c>
      <c r="Q169" s="127">
        <v>0</v>
      </c>
      <c r="R169" s="127">
        <v>0</v>
      </c>
      <c r="S169" s="127">
        <v>0</v>
      </c>
      <c r="T169" s="127">
        <v>0</v>
      </c>
      <c r="U169" s="127">
        <v>0</v>
      </c>
      <c r="V169" s="127">
        <v>0</v>
      </c>
      <c r="W169" s="127">
        <v>0</v>
      </c>
      <c r="X169" s="127">
        <v>0</v>
      </c>
      <c r="Y169" s="127">
        <v>0</v>
      </c>
      <c r="Z169" s="127">
        <v>0</v>
      </c>
      <c r="AA169" s="127" t="s">
        <v>2511</v>
      </c>
      <c r="AB169" s="131" t="s">
        <v>1074</v>
      </c>
      <c r="AC169" s="127" t="s">
        <v>1888</v>
      </c>
      <c r="AD169" s="131" t="s">
        <v>2397</v>
      </c>
      <c r="AE169" s="131" t="e">
        <v>#N/A</v>
      </c>
      <c r="AF169" s="131" t="e">
        <v>#N/A</v>
      </c>
      <c r="AG169" s="131" t="e">
        <v>#REF!</v>
      </c>
    </row>
    <row r="170" spans="1:33" s="131" customFormat="1" ht="15.75" x14ac:dyDescent="0.25">
      <c r="A170" s="125">
        <v>169</v>
      </c>
      <c r="B170" s="126" t="s">
        <v>208</v>
      </c>
      <c r="C170" s="126" t="s">
        <v>2737</v>
      </c>
      <c r="D170" s="126" t="s">
        <v>2710</v>
      </c>
      <c r="E170" s="127" t="s">
        <v>2397</v>
      </c>
      <c r="F170" s="128"/>
      <c r="G170" s="128" t="s">
        <v>3290</v>
      </c>
      <c r="H170" s="125"/>
      <c r="I170" s="125"/>
      <c r="J170" s="132" t="s">
        <v>1641</v>
      </c>
      <c r="K170" s="130"/>
      <c r="L170" s="129"/>
      <c r="M170" s="127" t="s">
        <v>759</v>
      </c>
      <c r="N170" s="127" t="s">
        <v>770</v>
      </c>
      <c r="O170" s="127" t="s">
        <v>1427</v>
      </c>
      <c r="P170" s="127">
        <v>0</v>
      </c>
      <c r="Q170" s="127">
        <v>0</v>
      </c>
      <c r="R170" s="127">
        <v>0</v>
      </c>
      <c r="S170" s="127">
        <v>0</v>
      </c>
      <c r="T170" s="127">
        <v>2</v>
      </c>
      <c r="U170" s="127" t="s">
        <v>1482</v>
      </c>
      <c r="V170" s="127" t="s">
        <v>208</v>
      </c>
      <c r="W170" s="127" t="s">
        <v>1475</v>
      </c>
      <c r="X170" s="127" t="s">
        <v>208</v>
      </c>
      <c r="Y170" s="127" t="s">
        <v>1454</v>
      </c>
      <c r="Z170" s="127" t="s">
        <v>1568</v>
      </c>
      <c r="AA170" s="127" t="s">
        <v>2511</v>
      </c>
      <c r="AB170" s="131" t="s">
        <v>1075</v>
      </c>
      <c r="AC170" s="127" t="s">
        <v>1889</v>
      </c>
      <c r="AD170" s="131" t="s">
        <v>2397</v>
      </c>
      <c r="AE170" s="131" t="e">
        <v>#N/A</v>
      </c>
      <c r="AF170" s="131" t="e">
        <v>#N/A</v>
      </c>
      <c r="AG170" s="131" t="e">
        <v>#REF!</v>
      </c>
    </row>
    <row r="171" spans="1:33" s="131" customFormat="1" ht="18" customHeight="1" x14ac:dyDescent="0.25">
      <c r="A171" s="125">
        <v>170</v>
      </c>
      <c r="B171" s="126" t="s">
        <v>83</v>
      </c>
      <c r="C171" s="126" t="s">
        <v>2738</v>
      </c>
      <c r="D171" s="126" t="s">
        <v>2710</v>
      </c>
      <c r="E171" s="127" t="s">
        <v>2322</v>
      </c>
      <c r="F171" s="128"/>
      <c r="G171" s="128" t="s">
        <v>3290</v>
      </c>
      <c r="H171" s="125" t="s">
        <v>927</v>
      </c>
      <c r="I171" s="125"/>
      <c r="J171" s="129"/>
      <c r="K171" s="130"/>
      <c r="L171" s="129"/>
      <c r="M171" s="127" t="s">
        <v>761</v>
      </c>
      <c r="N171" s="127" t="s">
        <v>1639</v>
      </c>
      <c r="O171" s="127" t="s">
        <v>1454</v>
      </c>
      <c r="P171" s="127">
        <v>0</v>
      </c>
      <c r="Q171" s="127">
        <v>0</v>
      </c>
      <c r="R171" s="127">
        <v>0</v>
      </c>
      <c r="S171" s="127">
        <v>0</v>
      </c>
      <c r="T171" s="127">
        <v>0</v>
      </c>
      <c r="U171" s="127">
        <v>0</v>
      </c>
      <c r="V171" s="127">
        <v>0</v>
      </c>
      <c r="W171" s="127" t="s">
        <v>1484</v>
      </c>
      <c r="X171" s="127" t="s">
        <v>83</v>
      </c>
      <c r="Y171" s="127" t="s">
        <v>1454</v>
      </c>
      <c r="Z171" s="127" t="s">
        <v>1568</v>
      </c>
      <c r="AA171" s="127" t="s">
        <v>2511</v>
      </c>
      <c r="AB171" s="131" t="s">
        <v>1076</v>
      </c>
      <c r="AC171" s="127" t="s">
        <v>1890</v>
      </c>
      <c r="AD171" s="131" t="s">
        <v>2322</v>
      </c>
      <c r="AE171" s="131" t="e">
        <v>#N/A</v>
      </c>
      <c r="AF171" s="131" t="e">
        <v>#N/A</v>
      </c>
      <c r="AG171" s="131" t="e">
        <v>#REF!</v>
      </c>
    </row>
    <row r="172" spans="1:33" s="131" customFormat="1" ht="18" customHeight="1" x14ac:dyDescent="0.25">
      <c r="A172" s="125">
        <v>171</v>
      </c>
      <c r="B172" s="126" t="s">
        <v>209</v>
      </c>
      <c r="C172" s="126" t="s">
        <v>2739</v>
      </c>
      <c r="D172" s="126" t="s">
        <v>2706</v>
      </c>
      <c r="E172" s="127" t="s">
        <v>2322</v>
      </c>
      <c r="F172" s="128" t="s">
        <v>2411</v>
      </c>
      <c r="G172" s="128" t="s">
        <v>3289</v>
      </c>
      <c r="H172" s="125"/>
      <c r="I172" s="125" t="s">
        <v>934</v>
      </c>
      <c r="J172" s="132"/>
      <c r="K172" s="130"/>
      <c r="L172" s="129"/>
      <c r="M172" s="127" t="s">
        <v>759</v>
      </c>
      <c r="N172" s="127" t="s">
        <v>770</v>
      </c>
      <c r="O172" s="127" t="s">
        <v>1488</v>
      </c>
      <c r="P172" s="127" t="s">
        <v>812</v>
      </c>
      <c r="Q172" s="127">
        <v>0</v>
      </c>
      <c r="R172" s="127">
        <v>0</v>
      </c>
      <c r="S172" s="127">
        <v>0</v>
      </c>
      <c r="T172" s="127">
        <v>0</v>
      </c>
      <c r="U172" s="127">
        <v>0</v>
      </c>
      <c r="V172" s="127">
        <v>0</v>
      </c>
      <c r="W172" s="127">
        <v>0</v>
      </c>
      <c r="X172" s="127">
        <v>0</v>
      </c>
      <c r="Y172" s="127">
        <v>0</v>
      </c>
      <c r="Z172" s="127">
        <v>0</v>
      </c>
      <c r="AA172" s="127" t="s">
        <v>2510</v>
      </c>
      <c r="AB172" s="131" t="s">
        <v>1077</v>
      </c>
      <c r="AC172" s="127" t="s">
        <v>1891</v>
      </c>
      <c r="AD172" s="131" t="s">
        <v>2322</v>
      </c>
      <c r="AE172" s="131" t="e">
        <v>#N/A</v>
      </c>
      <c r="AF172" s="131" t="e">
        <v>#N/A</v>
      </c>
      <c r="AG172" s="131" t="e">
        <v>#REF!</v>
      </c>
    </row>
    <row r="173" spans="1:33" s="131" customFormat="1" ht="18" customHeight="1" x14ac:dyDescent="0.25">
      <c r="A173" s="125">
        <v>172</v>
      </c>
      <c r="B173" s="126" t="s">
        <v>89</v>
      </c>
      <c r="C173" s="126" t="s">
        <v>2740</v>
      </c>
      <c r="D173" s="126" t="s">
        <v>2710</v>
      </c>
      <c r="E173" s="127" t="s">
        <v>2322</v>
      </c>
      <c r="F173" s="128" t="s">
        <v>2411</v>
      </c>
      <c r="G173" s="128" t="s">
        <v>3290</v>
      </c>
      <c r="H173" s="125"/>
      <c r="I173" s="125"/>
      <c r="J173" s="129" t="s">
        <v>1641</v>
      </c>
      <c r="K173" s="130"/>
      <c r="L173" s="129"/>
      <c r="M173" s="127" t="s">
        <v>759</v>
      </c>
      <c r="N173" s="127" t="s">
        <v>1641</v>
      </c>
      <c r="O173" s="127" t="s">
        <v>1553</v>
      </c>
      <c r="P173" s="127" t="s">
        <v>1554</v>
      </c>
      <c r="Q173" s="127">
        <v>2</v>
      </c>
      <c r="R173" s="127" t="s">
        <v>1487</v>
      </c>
      <c r="S173" s="127" t="s">
        <v>89</v>
      </c>
      <c r="T173" s="127">
        <v>0</v>
      </c>
      <c r="U173" s="127">
        <v>0</v>
      </c>
      <c r="V173" s="127">
        <v>0</v>
      </c>
      <c r="W173" s="127">
        <v>0</v>
      </c>
      <c r="X173" s="127">
        <v>0</v>
      </c>
      <c r="Y173" s="127">
        <v>0</v>
      </c>
      <c r="Z173" s="127" t="s">
        <v>1568</v>
      </c>
      <c r="AA173" s="127" t="s">
        <v>2510</v>
      </c>
      <c r="AB173" s="131" t="s">
        <v>1078</v>
      </c>
      <c r="AC173" s="127" t="s">
        <v>1865</v>
      </c>
      <c r="AD173" s="131" t="s">
        <v>2322</v>
      </c>
      <c r="AE173" s="131" t="e">
        <v>#N/A</v>
      </c>
      <c r="AF173" s="131" t="e">
        <v>#N/A</v>
      </c>
      <c r="AG173" s="131" t="e">
        <v>#REF!</v>
      </c>
    </row>
    <row r="174" spans="1:33" s="131" customFormat="1" ht="18" customHeight="1" x14ac:dyDescent="0.25">
      <c r="A174" s="125">
        <v>173</v>
      </c>
      <c r="B174" s="126" t="s">
        <v>130</v>
      </c>
      <c r="C174" s="126" t="s">
        <v>2741</v>
      </c>
      <c r="D174" s="126" t="s">
        <v>2706</v>
      </c>
      <c r="E174" s="127" t="s">
        <v>2397</v>
      </c>
      <c r="F174" s="128" t="s">
        <v>2411</v>
      </c>
      <c r="G174" s="128" t="s">
        <v>3289</v>
      </c>
      <c r="H174" s="125"/>
      <c r="I174" s="125" t="s">
        <v>934</v>
      </c>
      <c r="J174" s="132"/>
      <c r="K174" s="130"/>
      <c r="L174" s="129"/>
      <c r="M174" s="127" t="s">
        <v>759</v>
      </c>
      <c r="N174" s="127" t="s">
        <v>770</v>
      </c>
      <c r="O174" s="127" t="s">
        <v>2517</v>
      </c>
      <c r="P174" s="127" t="s">
        <v>812</v>
      </c>
      <c r="Q174" s="127">
        <v>0</v>
      </c>
      <c r="R174" s="127">
        <v>0</v>
      </c>
      <c r="S174" s="127">
        <v>0</v>
      </c>
      <c r="T174" s="127">
        <v>0</v>
      </c>
      <c r="U174" s="127">
        <v>0</v>
      </c>
      <c r="V174" s="127">
        <v>0</v>
      </c>
      <c r="W174" s="127">
        <v>0</v>
      </c>
      <c r="X174" s="127">
        <v>0</v>
      </c>
      <c r="Y174" s="127">
        <v>0</v>
      </c>
      <c r="Z174" s="127">
        <v>0</v>
      </c>
      <c r="AA174" s="127" t="s">
        <v>2511</v>
      </c>
      <c r="AB174" s="131" t="s">
        <v>1079</v>
      </c>
      <c r="AC174" s="127" t="s">
        <v>1893</v>
      </c>
      <c r="AD174" s="131" t="s">
        <v>2397</v>
      </c>
      <c r="AE174" s="131" t="e">
        <v>#N/A</v>
      </c>
      <c r="AF174" s="131" t="e">
        <v>#N/A</v>
      </c>
      <c r="AG174" s="131" t="e">
        <v>#REF!</v>
      </c>
    </row>
    <row r="175" spans="1:33" s="131" customFormat="1" ht="18" customHeight="1" x14ac:dyDescent="0.25">
      <c r="A175" s="125">
        <v>174</v>
      </c>
      <c r="B175" s="126" t="s">
        <v>210</v>
      </c>
      <c r="C175" s="126" t="s">
        <v>2742</v>
      </c>
      <c r="D175" s="126" t="s">
        <v>2706</v>
      </c>
      <c r="E175" s="127" t="s">
        <v>2397</v>
      </c>
      <c r="F175" s="128" t="s">
        <v>2411</v>
      </c>
      <c r="G175" s="128" t="s">
        <v>3289</v>
      </c>
      <c r="H175" s="125" t="s">
        <v>1732</v>
      </c>
      <c r="I175" s="125"/>
      <c r="J175" s="129"/>
      <c r="K175" s="130"/>
      <c r="L175" s="129"/>
      <c r="M175" s="127" t="s">
        <v>761</v>
      </c>
      <c r="N175" s="127" t="s">
        <v>1639</v>
      </c>
      <c r="O175" s="127" t="s">
        <v>1479</v>
      </c>
      <c r="P175" s="127" t="s">
        <v>812</v>
      </c>
      <c r="Q175" s="127">
        <v>0</v>
      </c>
      <c r="R175" s="127">
        <v>0</v>
      </c>
      <c r="S175" s="127">
        <v>0</v>
      </c>
      <c r="T175" s="127">
        <v>0</v>
      </c>
      <c r="U175" s="127">
        <v>0</v>
      </c>
      <c r="V175" s="127">
        <v>0</v>
      </c>
      <c r="W175" s="127">
        <v>0</v>
      </c>
      <c r="X175" s="127">
        <v>0</v>
      </c>
      <c r="Y175" s="127">
        <v>0</v>
      </c>
      <c r="Z175" s="127">
        <v>0</v>
      </c>
      <c r="AA175" s="127" t="s">
        <v>2511</v>
      </c>
      <c r="AB175" s="131" t="s">
        <v>1080</v>
      </c>
      <c r="AC175" s="127" t="s">
        <v>1894</v>
      </c>
      <c r="AD175" s="131" t="s">
        <v>2397</v>
      </c>
      <c r="AE175" s="131" t="e">
        <v>#N/A</v>
      </c>
      <c r="AF175" s="131" t="e">
        <v>#N/A</v>
      </c>
      <c r="AG175" s="131" t="e">
        <v>#REF!</v>
      </c>
    </row>
    <row r="176" spans="1:33" s="131" customFormat="1" ht="18" customHeight="1" x14ac:dyDescent="0.25">
      <c r="A176" s="125">
        <v>175</v>
      </c>
      <c r="B176" s="126" t="s">
        <v>211</v>
      </c>
      <c r="C176" s="126" t="s">
        <v>2743</v>
      </c>
      <c r="D176" s="126" t="s">
        <v>2710</v>
      </c>
      <c r="E176" s="127" t="s">
        <v>2397</v>
      </c>
      <c r="F176" s="128"/>
      <c r="G176" s="128" t="s">
        <v>3290</v>
      </c>
      <c r="H176" s="125" t="s">
        <v>931</v>
      </c>
      <c r="I176" s="125"/>
      <c r="J176" s="132"/>
      <c r="K176" s="130"/>
      <c r="L176" s="129"/>
      <c r="M176" s="127" t="s">
        <v>759</v>
      </c>
      <c r="N176" s="127" t="s">
        <v>1639</v>
      </c>
      <c r="O176" s="127" t="s">
        <v>1427</v>
      </c>
      <c r="P176" s="127">
        <v>0</v>
      </c>
      <c r="Q176" s="127">
        <v>0</v>
      </c>
      <c r="R176" s="127">
        <v>0</v>
      </c>
      <c r="S176" s="127">
        <v>0</v>
      </c>
      <c r="T176" s="127">
        <v>2</v>
      </c>
      <c r="U176" s="127" t="s">
        <v>1585</v>
      </c>
      <c r="V176" s="127" t="s">
        <v>211</v>
      </c>
      <c r="W176" s="127" t="s">
        <v>1484</v>
      </c>
      <c r="X176" s="127" t="s">
        <v>211</v>
      </c>
      <c r="Y176" s="127" t="s">
        <v>1454</v>
      </c>
      <c r="Z176" s="127" t="s">
        <v>1568</v>
      </c>
      <c r="AA176" s="127" t="s">
        <v>2510</v>
      </c>
      <c r="AB176" s="131" t="s">
        <v>1081</v>
      </c>
      <c r="AC176" s="127" t="s">
        <v>1895</v>
      </c>
      <c r="AD176" s="131" t="s">
        <v>2397</v>
      </c>
      <c r="AE176" s="131" t="e">
        <v>#N/A</v>
      </c>
      <c r="AF176" s="131" t="e">
        <v>#N/A</v>
      </c>
      <c r="AG176" s="131" t="e">
        <v>#REF!</v>
      </c>
    </row>
    <row r="177" spans="1:33" s="131" customFormat="1" ht="18" customHeight="1" x14ac:dyDescent="0.25">
      <c r="A177" s="125">
        <v>176</v>
      </c>
      <c r="B177" s="126" t="s">
        <v>212</v>
      </c>
      <c r="C177" s="126" t="s">
        <v>2744</v>
      </c>
      <c r="D177" s="126" t="s">
        <v>2710</v>
      </c>
      <c r="E177" s="127" t="s">
        <v>2397</v>
      </c>
      <c r="F177" s="128"/>
      <c r="G177" s="128" t="s">
        <v>3290</v>
      </c>
      <c r="H177" s="125" t="s">
        <v>986</v>
      </c>
      <c r="I177" s="125"/>
      <c r="J177" s="129"/>
      <c r="K177" s="130"/>
      <c r="L177" s="129"/>
      <c r="M177" s="127" t="s">
        <v>761</v>
      </c>
      <c r="N177" s="127" t="s">
        <v>1639</v>
      </c>
      <c r="O177" s="127" t="s">
        <v>1427</v>
      </c>
      <c r="P177" s="127">
        <v>0</v>
      </c>
      <c r="Q177" s="127">
        <v>0</v>
      </c>
      <c r="R177" s="127">
        <v>0</v>
      </c>
      <c r="S177" s="127">
        <v>0</v>
      </c>
      <c r="T177" s="127">
        <v>2</v>
      </c>
      <c r="U177" s="127" t="s">
        <v>1586</v>
      </c>
      <c r="V177" s="127" t="s">
        <v>212</v>
      </c>
      <c r="W177" s="127" t="s">
        <v>1484</v>
      </c>
      <c r="X177" s="127" t="s">
        <v>212</v>
      </c>
      <c r="Y177" s="127" t="s">
        <v>1436</v>
      </c>
      <c r="Z177" s="127" t="s">
        <v>1568</v>
      </c>
      <c r="AA177" s="127" t="s">
        <v>2510</v>
      </c>
      <c r="AB177" s="131" t="s">
        <v>1082</v>
      </c>
      <c r="AC177" s="127" t="s">
        <v>1896</v>
      </c>
      <c r="AD177" s="131" t="s">
        <v>2397</v>
      </c>
      <c r="AE177" s="131" t="e">
        <v>#N/A</v>
      </c>
      <c r="AF177" s="131" t="e">
        <v>#N/A</v>
      </c>
      <c r="AG177" s="131" t="e">
        <v>#REF!</v>
      </c>
    </row>
    <row r="178" spans="1:33" s="131" customFormat="1" ht="18" customHeight="1" x14ac:dyDescent="0.25">
      <c r="A178" s="125">
        <v>177</v>
      </c>
      <c r="B178" s="126" t="s">
        <v>385</v>
      </c>
      <c r="C178" s="126" t="s">
        <v>2745</v>
      </c>
      <c r="D178" s="126" t="s">
        <v>2710</v>
      </c>
      <c r="E178" s="127" t="s">
        <v>2322</v>
      </c>
      <c r="F178" s="128" t="s">
        <v>2410</v>
      </c>
      <c r="G178" s="128" t="s">
        <v>3294</v>
      </c>
      <c r="H178" s="125" t="s">
        <v>998</v>
      </c>
      <c r="I178" s="125"/>
      <c r="J178" s="132"/>
      <c r="K178" s="130" t="s">
        <v>203</v>
      </c>
      <c r="L178" s="129"/>
      <c r="M178" s="127" t="s">
        <v>759</v>
      </c>
      <c r="N178" s="127" t="s">
        <v>1639</v>
      </c>
      <c r="O178" s="127" t="s">
        <v>1427</v>
      </c>
      <c r="P178" s="127">
        <v>0</v>
      </c>
      <c r="Q178" s="127">
        <v>0</v>
      </c>
      <c r="R178" s="127">
        <v>0</v>
      </c>
      <c r="S178" s="127">
        <v>0</v>
      </c>
      <c r="T178" s="127">
        <v>2</v>
      </c>
      <c r="U178" s="127" t="s">
        <v>1485</v>
      </c>
      <c r="V178" s="127" t="s">
        <v>385</v>
      </c>
      <c r="W178" s="127" t="s">
        <v>1488</v>
      </c>
      <c r="X178" s="127" t="s">
        <v>385</v>
      </c>
      <c r="Y178" s="127" t="s">
        <v>2420</v>
      </c>
      <c r="Z178" s="127">
        <v>0</v>
      </c>
      <c r="AA178" s="127" t="s">
        <v>2511</v>
      </c>
      <c r="AB178" s="131" t="s">
        <v>1083</v>
      </c>
      <c r="AC178" s="127" t="s">
        <v>1897</v>
      </c>
      <c r="AD178" s="131" t="s">
        <v>2322</v>
      </c>
      <c r="AE178" s="131" t="s">
        <v>203</v>
      </c>
      <c r="AF178" s="131" t="b">
        <v>1</v>
      </c>
      <c r="AG178" s="131" t="e">
        <v>#REF!</v>
      </c>
    </row>
    <row r="179" spans="1:33" s="131" customFormat="1" ht="18" customHeight="1" x14ac:dyDescent="0.25">
      <c r="A179" s="125">
        <v>178</v>
      </c>
      <c r="B179" s="126" t="s">
        <v>388</v>
      </c>
      <c r="C179" s="126" t="s">
        <v>2746</v>
      </c>
      <c r="D179" s="126" t="s">
        <v>2706</v>
      </c>
      <c r="E179" s="127" t="s">
        <v>2397</v>
      </c>
      <c r="F179" s="128" t="s">
        <v>2410</v>
      </c>
      <c r="G179" s="128" t="s">
        <v>3294</v>
      </c>
      <c r="H179" s="125"/>
      <c r="I179" s="125"/>
      <c r="J179" s="132" t="s">
        <v>1641</v>
      </c>
      <c r="K179" s="130" t="s">
        <v>192</v>
      </c>
      <c r="L179" s="129"/>
      <c r="M179" s="127" t="s">
        <v>759</v>
      </c>
      <c r="N179" s="127" t="s">
        <v>1641</v>
      </c>
      <c r="O179" s="127" t="s">
        <v>1553</v>
      </c>
      <c r="P179" s="127">
        <v>0</v>
      </c>
      <c r="Q179" s="127">
        <v>2</v>
      </c>
      <c r="R179" s="127" t="s">
        <v>1481</v>
      </c>
      <c r="S179" s="127" t="s">
        <v>388</v>
      </c>
      <c r="T179" s="127">
        <v>0</v>
      </c>
      <c r="U179" s="127">
        <v>0</v>
      </c>
      <c r="V179" s="127">
        <v>0</v>
      </c>
      <c r="W179" s="127">
        <v>0</v>
      </c>
      <c r="X179" s="127">
        <v>0</v>
      </c>
      <c r="Y179" s="127">
        <v>0</v>
      </c>
      <c r="Z179" s="127">
        <v>0</v>
      </c>
      <c r="AA179" s="127" t="s">
        <v>2511</v>
      </c>
      <c r="AB179" s="131" t="s">
        <v>1085</v>
      </c>
      <c r="AC179" s="127" t="s">
        <v>2269</v>
      </c>
      <c r="AD179" s="131" t="s">
        <v>2397</v>
      </c>
      <c r="AE179" s="131" t="e">
        <v>#N/A</v>
      </c>
      <c r="AF179" s="131" t="e">
        <v>#N/A</v>
      </c>
      <c r="AG179" s="131" t="e">
        <v>#REF!</v>
      </c>
    </row>
    <row r="180" spans="1:33" s="131" customFormat="1" ht="18" customHeight="1" x14ac:dyDescent="0.25">
      <c r="A180" s="125">
        <v>179</v>
      </c>
      <c r="B180" s="126" t="s">
        <v>423</v>
      </c>
      <c r="C180" s="126" t="s">
        <v>2747</v>
      </c>
      <c r="D180" s="126" t="s">
        <v>2710</v>
      </c>
      <c r="E180" s="127" t="s">
        <v>2322</v>
      </c>
      <c r="F180" s="128" t="s">
        <v>2411</v>
      </c>
      <c r="G180" s="128" t="s">
        <v>3289</v>
      </c>
      <c r="H180" s="125"/>
      <c r="I180" s="125" t="s">
        <v>934</v>
      </c>
      <c r="J180" s="132"/>
      <c r="K180" s="130"/>
      <c r="L180" s="129"/>
      <c r="M180" s="127" t="s">
        <v>759</v>
      </c>
      <c r="N180" s="127" t="s">
        <v>770</v>
      </c>
      <c r="O180" s="127" t="s">
        <v>3299</v>
      </c>
      <c r="P180" s="127" t="s">
        <v>812</v>
      </c>
      <c r="Q180" s="127">
        <v>0</v>
      </c>
      <c r="R180" s="127">
        <v>0</v>
      </c>
      <c r="S180" s="127">
        <v>0</v>
      </c>
      <c r="T180" s="127">
        <v>0</v>
      </c>
      <c r="U180" s="127">
        <v>0</v>
      </c>
      <c r="V180" s="127">
        <v>0</v>
      </c>
      <c r="W180" s="127">
        <v>0</v>
      </c>
      <c r="X180" s="127">
        <v>0</v>
      </c>
      <c r="Y180" s="127">
        <v>0</v>
      </c>
      <c r="Z180" s="127">
        <v>0</v>
      </c>
      <c r="AA180" s="127" t="s">
        <v>2510</v>
      </c>
      <c r="AB180" s="131" t="s">
        <v>1087</v>
      </c>
      <c r="AC180" s="127" t="s">
        <v>1898</v>
      </c>
      <c r="AD180" s="131" t="s">
        <v>2322</v>
      </c>
      <c r="AE180" s="131" t="e">
        <v>#N/A</v>
      </c>
      <c r="AF180" s="131" t="e">
        <v>#N/A</v>
      </c>
      <c r="AG180" s="131" t="e">
        <v>#REF!</v>
      </c>
    </row>
    <row r="181" spans="1:33" s="131" customFormat="1" ht="15.75" x14ac:dyDescent="0.25">
      <c r="A181" s="125">
        <v>180</v>
      </c>
      <c r="B181" s="126" t="s">
        <v>440</v>
      </c>
      <c r="C181" s="126" t="s">
        <v>2748</v>
      </c>
      <c r="D181" s="126" t="s">
        <v>2706</v>
      </c>
      <c r="E181" s="127" t="s">
        <v>2397</v>
      </c>
      <c r="F181" s="128" t="s">
        <v>2411</v>
      </c>
      <c r="G181" s="128" t="s">
        <v>3289</v>
      </c>
      <c r="H181" s="125"/>
      <c r="I181" s="125"/>
      <c r="J181" s="129" t="s">
        <v>1641</v>
      </c>
      <c r="K181" s="130"/>
      <c r="L181" s="129"/>
      <c r="M181" s="127" t="s">
        <v>759</v>
      </c>
      <c r="N181" s="127" t="s">
        <v>1641</v>
      </c>
      <c r="O181" s="127" t="s">
        <v>3300</v>
      </c>
      <c r="P181" s="127" t="s">
        <v>812</v>
      </c>
      <c r="Q181" s="127">
        <v>0</v>
      </c>
      <c r="R181" s="127">
        <v>0</v>
      </c>
      <c r="S181" s="127">
        <v>0</v>
      </c>
      <c r="T181" s="127">
        <v>0</v>
      </c>
      <c r="U181" s="127">
        <v>0</v>
      </c>
      <c r="V181" s="127">
        <v>0</v>
      </c>
      <c r="W181" s="127">
        <v>0</v>
      </c>
      <c r="X181" s="127">
        <v>0</v>
      </c>
      <c r="Y181" s="127">
        <v>0</v>
      </c>
      <c r="Z181" s="127">
        <v>0</v>
      </c>
      <c r="AA181" s="127" t="s">
        <v>2511</v>
      </c>
      <c r="AB181" s="131" t="s">
        <v>1088</v>
      </c>
      <c r="AC181" s="127" t="s">
        <v>1899</v>
      </c>
      <c r="AD181" s="131" t="s">
        <v>2397</v>
      </c>
      <c r="AE181" s="131" t="e">
        <v>#N/A</v>
      </c>
      <c r="AF181" s="131" t="e">
        <v>#N/A</v>
      </c>
      <c r="AG181" s="131" t="e">
        <v>#REF!</v>
      </c>
    </row>
    <row r="182" spans="1:33" s="131" customFormat="1" ht="15.75" x14ac:dyDescent="0.25">
      <c r="A182" s="125">
        <v>181</v>
      </c>
      <c r="B182" s="126" t="s">
        <v>447</v>
      </c>
      <c r="C182" s="126" t="s">
        <v>2749</v>
      </c>
      <c r="D182" s="126" t="s">
        <v>2710</v>
      </c>
      <c r="E182" s="127" t="s">
        <v>2397</v>
      </c>
      <c r="F182" s="128"/>
      <c r="G182" s="128" t="s">
        <v>3290</v>
      </c>
      <c r="H182" s="125" t="s">
        <v>993</v>
      </c>
      <c r="I182" s="125"/>
      <c r="J182" s="129"/>
      <c r="K182" s="130"/>
      <c r="L182" s="129"/>
      <c r="M182" s="127" t="s">
        <v>759</v>
      </c>
      <c r="N182" s="127" t="s">
        <v>1639</v>
      </c>
      <c r="O182" s="127" t="s">
        <v>1436</v>
      </c>
      <c r="P182" s="127">
        <v>0</v>
      </c>
      <c r="Q182" s="127">
        <v>0</v>
      </c>
      <c r="R182" s="127">
        <v>0</v>
      </c>
      <c r="S182" s="127">
        <v>0</v>
      </c>
      <c r="T182" s="127">
        <v>0</v>
      </c>
      <c r="U182" s="127">
        <v>0</v>
      </c>
      <c r="V182" s="127">
        <v>0</v>
      </c>
      <c r="W182" s="127" t="s">
        <v>1482</v>
      </c>
      <c r="X182" s="127" t="s">
        <v>447</v>
      </c>
      <c r="Y182" s="127" t="s">
        <v>1436</v>
      </c>
      <c r="Z182" s="127">
        <v>0</v>
      </c>
      <c r="AA182" s="127" t="s">
        <v>2511</v>
      </c>
      <c r="AB182" s="131" t="s">
        <v>1090</v>
      </c>
      <c r="AC182" s="127" t="s">
        <v>1900</v>
      </c>
      <c r="AD182" s="131" t="s">
        <v>2397</v>
      </c>
      <c r="AE182" s="131" t="e">
        <v>#N/A</v>
      </c>
      <c r="AF182" s="131" t="e">
        <v>#N/A</v>
      </c>
      <c r="AG182" s="131" t="e">
        <v>#REF!</v>
      </c>
    </row>
    <row r="183" spans="1:33" s="131" customFormat="1" ht="15.75" x14ac:dyDescent="0.25">
      <c r="A183" s="125">
        <v>182</v>
      </c>
      <c r="B183" s="126" t="s">
        <v>452</v>
      </c>
      <c r="C183" s="126" t="s">
        <v>2750</v>
      </c>
      <c r="D183" s="126" t="s">
        <v>2710</v>
      </c>
      <c r="E183" s="127" t="s">
        <v>2397</v>
      </c>
      <c r="F183" s="128"/>
      <c r="G183" s="128" t="s">
        <v>3294</v>
      </c>
      <c r="H183" s="125" t="s">
        <v>998</v>
      </c>
      <c r="I183" s="125"/>
      <c r="J183" s="129"/>
      <c r="K183" s="130"/>
      <c r="L183" s="129"/>
      <c r="M183" s="127" t="s">
        <v>759</v>
      </c>
      <c r="N183" s="127" t="s">
        <v>1639</v>
      </c>
      <c r="O183" s="127" t="s">
        <v>1427</v>
      </c>
      <c r="P183" s="127">
        <v>0</v>
      </c>
      <c r="Q183" s="127">
        <v>0</v>
      </c>
      <c r="R183" s="127">
        <v>0</v>
      </c>
      <c r="S183" s="127">
        <v>0</v>
      </c>
      <c r="T183" s="127">
        <v>2</v>
      </c>
      <c r="U183" s="127" t="s">
        <v>1482</v>
      </c>
      <c r="V183" s="127" t="s">
        <v>452</v>
      </c>
      <c r="W183" s="127">
        <v>0</v>
      </c>
      <c r="X183" s="127">
        <v>0</v>
      </c>
      <c r="Y183" s="127">
        <v>0</v>
      </c>
      <c r="Z183" s="127">
        <v>0</v>
      </c>
      <c r="AA183" s="127" t="s">
        <v>2511</v>
      </c>
      <c r="AB183" s="131" t="s">
        <v>1092</v>
      </c>
      <c r="AC183" s="127" t="s">
        <v>1901</v>
      </c>
      <c r="AD183" s="131" t="s">
        <v>2397</v>
      </c>
      <c r="AE183" s="131" t="e">
        <v>#N/A</v>
      </c>
      <c r="AF183" s="131" t="e">
        <v>#N/A</v>
      </c>
      <c r="AG183" s="131" t="e">
        <v>#REF!</v>
      </c>
    </row>
    <row r="184" spans="1:33" s="131" customFormat="1" ht="18" customHeight="1" x14ac:dyDescent="0.25">
      <c r="A184" s="125">
        <v>183</v>
      </c>
      <c r="B184" s="126" t="s">
        <v>591</v>
      </c>
      <c r="C184" s="126" t="s">
        <v>2751</v>
      </c>
      <c r="D184" s="126" t="s">
        <v>2706</v>
      </c>
      <c r="E184" s="127" t="s">
        <v>2397</v>
      </c>
      <c r="F184" s="128" t="s">
        <v>2411</v>
      </c>
      <c r="G184" s="128" t="s">
        <v>3289</v>
      </c>
      <c r="H184" s="125"/>
      <c r="I184" s="125"/>
      <c r="J184" s="132"/>
      <c r="K184" s="130"/>
      <c r="L184" s="129" t="s">
        <v>2551</v>
      </c>
      <c r="M184" s="127" t="s">
        <v>761</v>
      </c>
      <c r="N184" s="132" t="s">
        <v>1731</v>
      </c>
      <c r="O184" s="127" t="s">
        <v>1484</v>
      </c>
      <c r="P184" s="127" t="s">
        <v>812</v>
      </c>
      <c r="Q184" s="127">
        <v>0</v>
      </c>
      <c r="R184" s="127">
        <v>0</v>
      </c>
      <c r="S184" s="127">
        <v>0</v>
      </c>
      <c r="T184" s="127">
        <v>0</v>
      </c>
      <c r="U184" s="127">
        <v>0</v>
      </c>
      <c r="V184" s="127">
        <v>0</v>
      </c>
      <c r="W184" s="127">
        <v>0</v>
      </c>
      <c r="X184" s="127">
        <v>0</v>
      </c>
      <c r="Y184" s="127">
        <v>0</v>
      </c>
      <c r="Z184" s="127">
        <v>0</v>
      </c>
      <c r="AA184" s="127" t="s">
        <v>2511</v>
      </c>
      <c r="AB184" s="131" t="s">
        <v>641</v>
      </c>
      <c r="AC184" s="127" t="e">
        <v>#N/A</v>
      </c>
      <c r="AD184" s="131" t="s">
        <v>2397</v>
      </c>
      <c r="AE184" s="131" t="e">
        <v>#N/A</v>
      </c>
      <c r="AF184" s="131" t="e">
        <v>#N/A</v>
      </c>
      <c r="AG184" s="131" t="e">
        <v>#REF!</v>
      </c>
    </row>
    <row r="185" spans="1:33" s="131" customFormat="1" ht="15.75" x14ac:dyDescent="0.25">
      <c r="A185" s="125">
        <v>184</v>
      </c>
      <c r="B185" s="126" t="s">
        <v>456</v>
      </c>
      <c r="C185" s="126" t="s">
        <v>2752</v>
      </c>
      <c r="D185" s="126" t="s">
        <v>2706</v>
      </c>
      <c r="E185" s="127" t="s">
        <v>2397</v>
      </c>
      <c r="F185" s="128" t="s">
        <v>2411</v>
      </c>
      <c r="G185" s="128" t="s">
        <v>3290</v>
      </c>
      <c r="H185" s="125" t="s">
        <v>1732</v>
      </c>
      <c r="I185" s="125"/>
      <c r="J185" s="129"/>
      <c r="K185" s="130"/>
      <c r="L185" s="129"/>
      <c r="M185" s="127" t="s">
        <v>759</v>
      </c>
      <c r="N185" s="127" t="s">
        <v>1639</v>
      </c>
      <c r="O185" s="127" t="s">
        <v>1553</v>
      </c>
      <c r="P185" s="127" t="s">
        <v>1554</v>
      </c>
      <c r="Q185" s="127">
        <v>2</v>
      </c>
      <c r="R185" s="127" t="s">
        <v>1475</v>
      </c>
      <c r="S185" s="127" t="s">
        <v>456</v>
      </c>
      <c r="T185" s="127">
        <v>0</v>
      </c>
      <c r="U185" s="127">
        <v>0</v>
      </c>
      <c r="V185" s="127">
        <v>0</v>
      </c>
      <c r="W185" s="127">
        <v>0</v>
      </c>
      <c r="X185" s="127">
        <v>0</v>
      </c>
      <c r="Y185" s="127">
        <v>0</v>
      </c>
      <c r="Z185" s="127" t="s">
        <v>1568</v>
      </c>
      <c r="AA185" s="127" t="s">
        <v>2511</v>
      </c>
      <c r="AB185" s="131" t="s">
        <v>642</v>
      </c>
      <c r="AC185" s="127" t="s">
        <v>1902</v>
      </c>
      <c r="AD185" s="131" t="s">
        <v>2397</v>
      </c>
      <c r="AE185" s="131" t="e">
        <v>#N/A</v>
      </c>
      <c r="AF185" s="131" t="e">
        <v>#N/A</v>
      </c>
      <c r="AG185" s="131" t="e">
        <v>#REF!</v>
      </c>
    </row>
    <row r="186" spans="1:33" s="131" customFormat="1" ht="18" customHeight="1" x14ac:dyDescent="0.25">
      <c r="A186" s="125">
        <v>185</v>
      </c>
      <c r="B186" s="126" t="s">
        <v>457</v>
      </c>
      <c r="C186" s="126" t="s">
        <v>2753</v>
      </c>
      <c r="D186" s="126" t="s">
        <v>2706</v>
      </c>
      <c r="E186" s="127" t="s">
        <v>2397</v>
      </c>
      <c r="F186" s="128"/>
      <c r="G186" s="128" t="s">
        <v>3289</v>
      </c>
      <c r="H186" s="125" t="s">
        <v>998</v>
      </c>
      <c r="I186" s="125"/>
      <c r="J186" s="129"/>
      <c r="K186" s="130"/>
      <c r="L186" s="129"/>
      <c r="M186" s="127" t="s">
        <v>759</v>
      </c>
      <c r="N186" s="127" t="s">
        <v>1639</v>
      </c>
      <c r="O186" s="127" t="s">
        <v>1553</v>
      </c>
      <c r="P186" s="127">
        <v>0</v>
      </c>
      <c r="Q186" s="127">
        <v>2</v>
      </c>
      <c r="R186" s="127" t="s">
        <v>1489</v>
      </c>
      <c r="S186" s="127" t="s">
        <v>457</v>
      </c>
      <c r="T186" s="127">
        <v>0</v>
      </c>
      <c r="U186" s="127">
        <v>0</v>
      </c>
      <c r="V186" s="127">
        <v>0</v>
      </c>
      <c r="W186" s="127">
        <v>0</v>
      </c>
      <c r="X186" s="127">
        <v>0</v>
      </c>
      <c r="Y186" s="127">
        <v>0</v>
      </c>
      <c r="Z186" s="127">
        <v>0</v>
      </c>
      <c r="AA186" s="127" t="s">
        <v>2511</v>
      </c>
      <c r="AB186" s="131" t="s">
        <v>643</v>
      </c>
      <c r="AC186" s="127" t="s">
        <v>1903</v>
      </c>
      <c r="AD186" s="131" t="s">
        <v>2397</v>
      </c>
      <c r="AE186" s="131" t="e">
        <v>#N/A</v>
      </c>
      <c r="AF186" s="131" t="e">
        <v>#N/A</v>
      </c>
      <c r="AG186" s="131" t="e">
        <v>#REF!</v>
      </c>
    </row>
    <row r="187" spans="1:33" s="131" customFormat="1" ht="18" customHeight="1" x14ac:dyDescent="0.25">
      <c r="A187" s="125">
        <v>186</v>
      </c>
      <c r="B187" s="126" t="s">
        <v>458</v>
      </c>
      <c r="C187" s="126" t="s">
        <v>2754</v>
      </c>
      <c r="D187" s="126" t="s">
        <v>2710</v>
      </c>
      <c r="E187" s="127" t="s">
        <v>2397</v>
      </c>
      <c r="F187" s="128" t="s">
        <v>2410</v>
      </c>
      <c r="G187" s="128" t="s">
        <v>3294</v>
      </c>
      <c r="H187" s="125"/>
      <c r="I187" s="125"/>
      <c r="J187" s="132" t="s">
        <v>1641</v>
      </c>
      <c r="K187" s="130" t="s">
        <v>192</v>
      </c>
      <c r="L187" s="129"/>
      <c r="M187" s="127" t="s">
        <v>759</v>
      </c>
      <c r="N187" s="127" t="s">
        <v>1641</v>
      </c>
      <c r="O187" s="127" t="s">
        <v>1553</v>
      </c>
      <c r="P187" s="127">
        <v>0</v>
      </c>
      <c r="Q187" s="127">
        <v>2</v>
      </c>
      <c r="R187" s="127" t="s">
        <v>1481</v>
      </c>
      <c r="S187" s="127" t="s">
        <v>458</v>
      </c>
      <c r="T187" s="127">
        <v>0</v>
      </c>
      <c r="U187" s="127">
        <v>0</v>
      </c>
      <c r="V187" s="127">
        <v>0</v>
      </c>
      <c r="W187" s="127">
        <v>0</v>
      </c>
      <c r="X187" s="127">
        <v>0</v>
      </c>
      <c r="Y187" s="127">
        <v>0</v>
      </c>
      <c r="Z187" s="127">
        <v>0</v>
      </c>
      <c r="AA187" s="127" t="s">
        <v>2511</v>
      </c>
      <c r="AB187" s="131" t="s">
        <v>644</v>
      </c>
      <c r="AC187" s="127" t="s">
        <v>1904</v>
      </c>
      <c r="AD187" s="131" t="s">
        <v>2397</v>
      </c>
      <c r="AE187" s="131" t="e">
        <v>#N/A</v>
      </c>
      <c r="AF187" s="131" t="e">
        <v>#N/A</v>
      </c>
      <c r="AG187" s="131" t="e">
        <v>#REF!</v>
      </c>
    </row>
    <row r="188" spans="1:33" s="131" customFormat="1" ht="18" customHeight="1" x14ac:dyDescent="0.25">
      <c r="A188" s="125">
        <v>187</v>
      </c>
      <c r="B188" s="126" t="s">
        <v>455</v>
      </c>
      <c r="C188" s="126" t="s">
        <v>2755</v>
      </c>
      <c r="D188" s="126" t="s">
        <v>2710</v>
      </c>
      <c r="E188" s="127" t="s">
        <v>2397</v>
      </c>
      <c r="F188" s="128" t="s">
        <v>2410</v>
      </c>
      <c r="G188" s="128" t="s">
        <v>3294</v>
      </c>
      <c r="H188" s="125" t="s">
        <v>2394</v>
      </c>
      <c r="I188" s="125"/>
      <c r="J188" s="129"/>
      <c r="K188" s="130" t="s">
        <v>190</v>
      </c>
      <c r="L188" s="129"/>
      <c r="M188" s="127" t="s">
        <v>759</v>
      </c>
      <c r="N188" s="127" t="s">
        <v>1639</v>
      </c>
      <c r="O188" s="127" t="s">
        <v>1553</v>
      </c>
      <c r="P188" s="127">
        <v>0</v>
      </c>
      <c r="Q188" s="127">
        <v>2</v>
      </c>
      <c r="R188" s="127" t="s">
        <v>1490</v>
      </c>
      <c r="S188" s="127" t="s">
        <v>455</v>
      </c>
      <c r="T188" s="127">
        <v>0</v>
      </c>
      <c r="U188" s="127">
        <v>0</v>
      </c>
      <c r="V188" s="127">
        <v>0</v>
      </c>
      <c r="W188" s="127">
        <v>0</v>
      </c>
      <c r="X188" s="127">
        <v>0</v>
      </c>
      <c r="Y188" s="127">
        <v>0</v>
      </c>
      <c r="Z188" s="127">
        <v>0</v>
      </c>
      <c r="AA188" s="127" t="s">
        <v>2511</v>
      </c>
      <c r="AB188" s="131" t="s">
        <v>645</v>
      </c>
      <c r="AC188" s="127" t="s">
        <v>1905</v>
      </c>
      <c r="AD188" s="131" t="s">
        <v>2397</v>
      </c>
      <c r="AE188" s="131" t="s">
        <v>190</v>
      </c>
      <c r="AF188" s="131" t="b">
        <v>1</v>
      </c>
      <c r="AG188" s="131" t="e">
        <v>#REF!</v>
      </c>
    </row>
    <row r="189" spans="1:33" s="131" customFormat="1" ht="18" customHeight="1" x14ac:dyDescent="0.25">
      <c r="A189" s="125">
        <v>188</v>
      </c>
      <c r="B189" s="126" t="s">
        <v>536</v>
      </c>
      <c r="C189" s="126" t="s">
        <v>2756</v>
      </c>
      <c r="D189" s="126" t="s">
        <v>2710</v>
      </c>
      <c r="E189" s="127" t="s">
        <v>2397</v>
      </c>
      <c r="F189" s="128" t="s">
        <v>2411</v>
      </c>
      <c r="G189" s="128" t="s">
        <v>3289</v>
      </c>
      <c r="H189" s="125"/>
      <c r="I189" s="125"/>
      <c r="J189" s="132" t="s">
        <v>1641</v>
      </c>
      <c r="K189" s="130"/>
      <c r="L189" s="129"/>
      <c r="M189" s="127" t="s">
        <v>759</v>
      </c>
      <c r="N189" s="127" t="s">
        <v>1641</v>
      </c>
      <c r="O189" s="127" t="s">
        <v>1427</v>
      </c>
      <c r="P189" s="127" t="s">
        <v>1554</v>
      </c>
      <c r="Q189" s="127">
        <v>0</v>
      </c>
      <c r="R189" s="127">
        <v>0</v>
      </c>
      <c r="S189" s="127">
        <v>0</v>
      </c>
      <c r="T189" s="127">
        <v>2</v>
      </c>
      <c r="U189" s="127" t="s">
        <v>1482</v>
      </c>
      <c r="V189" s="127" t="s">
        <v>536</v>
      </c>
      <c r="W189" s="127">
        <v>0</v>
      </c>
      <c r="X189" s="127">
        <v>0</v>
      </c>
      <c r="Y189" s="127">
        <v>0</v>
      </c>
      <c r="Z189" s="127" t="s">
        <v>1568</v>
      </c>
      <c r="AA189" s="127" t="s">
        <v>2511</v>
      </c>
      <c r="AB189" s="131" t="s">
        <v>646</v>
      </c>
      <c r="AC189" s="127" t="e">
        <v>#N/A</v>
      </c>
      <c r="AD189" s="131" t="s">
        <v>2397</v>
      </c>
      <c r="AE189" s="131" t="e">
        <v>#N/A</v>
      </c>
      <c r="AF189" s="131" t="e">
        <v>#N/A</v>
      </c>
      <c r="AG189" s="131" t="e">
        <v>#REF!</v>
      </c>
    </row>
    <row r="190" spans="1:33" s="131" customFormat="1" ht="18" customHeight="1" x14ac:dyDescent="0.25">
      <c r="A190" s="125">
        <v>189</v>
      </c>
      <c r="B190" s="126" t="s">
        <v>522</v>
      </c>
      <c r="C190" s="126" t="s">
        <v>2757</v>
      </c>
      <c r="D190" s="126" t="s">
        <v>2706</v>
      </c>
      <c r="E190" s="127" t="s">
        <v>2397</v>
      </c>
      <c r="F190" s="128" t="s">
        <v>2410</v>
      </c>
      <c r="G190" s="128" t="s">
        <v>3290</v>
      </c>
      <c r="H190" s="125" t="s">
        <v>2394</v>
      </c>
      <c r="I190" s="125"/>
      <c r="J190" s="129"/>
      <c r="K190" s="130" t="s">
        <v>210</v>
      </c>
      <c r="L190" s="129" t="s">
        <v>2551</v>
      </c>
      <c r="M190" s="127" t="s">
        <v>759</v>
      </c>
      <c r="N190" s="127" t="s">
        <v>1639</v>
      </c>
      <c r="O190" s="127" t="s">
        <v>1553</v>
      </c>
      <c r="P190" s="127">
        <v>0</v>
      </c>
      <c r="Q190" s="127">
        <v>2</v>
      </c>
      <c r="R190" s="127" t="s">
        <v>1479</v>
      </c>
      <c r="S190" s="127" t="s">
        <v>522</v>
      </c>
      <c r="T190" s="127">
        <v>0</v>
      </c>
      <c r="U190" s="127">
        <v>0</v>
      </c>
      <c r="V190" s="127">
        <v>0</v>
      </c>
      <c r="W190" s="127">
        <v>0</v>
      </c>
      <c r="X190" s="127">
        <v>0</v>
      </c>
      <c r="Y190" s="127">
        <v>0</v>
      </c>
      <c r="Z190" s="127">
        <v>0</v>
      </c>
      <c r="AA190" s="127" t="s">
        <v>2511</v>
      </c>
      <c r="AB190" s="131" t="s">
        <v>647</v>
      </c>
      <c r="AC190" s="127" t="s">
        <v>1906</v>
      </c>
      <c r="AD190" s="131" t="s">
        <v>2397</v>
      </c>
      <c r="AE190" s="131" t="s">
        <v>210</v>
      </c>
      <c r="AF190" s="131" t="b">
        <v>1</v>
      </c>
      <c r="AG190" s="131" t="e">
        <v>#REF!</v>
      </c>
    </row>
    <row r="191" spans="1:33" s="131" customFormat="1" ht="15.75" x14ac:dyDescent="0.25">
      <c r="A191" s="125">
        <v>190</v>
      </c>
      <c r="B191" s="126" t="s">
        <v>524</v>
      </c>
      <c r="C191" s="126" t="s">
        <v>2758</v>
      </c>
      <c r="D191" s="126" t="s">
        <v>2706</v>
      </c>
      <c r="E191" s="127" t="s">
        <v>2397</v>
      </c>
      <c r="F191" s="128" t="s">
        <v>2410</v>
      </c>
      <c r="G191" s="128" t="s">
        <v>3290</v>
      </c>
      <c r="H191" s="125" t="s">
        <v>986</v>
      </c>
      <c r="I191" s="125"/>
      <c r="J191" s="129"/>
      <c r="K191" s="130" t="s">
        <v>201</v>
      </c>
      <c r="L191" s="129"/>
      <c r="M191" s="127" t="s">
        <v>759</v>
      </c>
      <c r="N191" s="127" t="s">
        <v>1639</v>
      </c>
      <c r="O191" s="127" t="s">
        <v>1553</v>
      </c>
      <c r="P191" s="127">
        <v>0</v>
      </c>
      <c r="Q191" s="127">
        <v>2</v>
      </c>
      <c r="R191" s="127" t="s">
        <v>1475</v>
      </c>
      <c r="S191" s="127" t="s">
        <v>524</v>
      </c>
      <c r="T191" s="127">
        <v>0</v>
      </c>
      <c r="U191" s="127">
        <v>0</v>
      </c>
      <c r="V191" s="127">
        <v>0</v>
      </c>
      <c r="W191" s="127">
        <v>0</v>
      </c>
      <c r="X191" s="127">
        <v>0</v>
      </c>
      <c r="Y191" s="127">
        <v>0</v>
      </c>
      <c r="Z191" s="127">
        <v>0</v>
      </c>
      <c r="AA191" s="127" t="s">
        <v>2511</v>
      </c>
      <c r="AB191" s="131" t="s">
        <v>648</v>
      </c>
      <c r="AC191" s="127" t="s">
        <v>1907</v>
      </c>
      <c r="AD191" s="131" t="s">
        <v>2397</v>
      </c>
      <c r="AE191" s="131" t="s">
        <v>201</v>
      </c>
      <c r="AF191" s="131" t="b">
        <v>1</v>
      </c>
      <c r="AG191" s="131" t="e">
        <v>#REF!</v>
      </c>
    </row>
    <row r="192" spans="1:33" s="131" customFormat="1" ht="18" customHeight="1" x14ac:dyDescent="0.25">
      <c r="A192" s="125">
        <v>191</v>
      </c>
      <c r="B192" s="126" t="s">
        <v>523</v>
      </c>
      <c r="C192" s="126" t="s">
        <v>2759</v>
      </c>
      <c r="D192" s="126" t="s">
        <v>2710</v>
      </c>
      <c r="E192" s="127" t="s">
        <v>2322</v>
      </c>
      <c r="F192" s="128" t="s">
        <v>2411</v>
      </c>
      <c r="G192" s="128" t="s">
        <v>3289</v>
      </c>
      <c r="H192" s="125" t="s">
        <v>2394</v>
      </c>
      <c r="I192" s="125"/>
      <c r="J192" s="129"/>
      <c r="K192" s="130"/>
      <c r="L192" s="129"/>
      <c r="M192" s="127" t="s">
        <v>759</v>
      </c>
      <c r="N192" s="127" t="s">
        <v>1639</v>
      </c>
      <c r="O192" s="127" t="s">
        <v>1547</v>
      </c>
      <c r="P192" s="127" t="s">
        <v>812</v>
      </c>
      <c r="Q192" s="127">
        <v>0</v>
      </c>
      <c r="R192" s="127">
        <v>0</v>
      </c>
      <c r="S192" s="127">
        <v>0</v>
      </c>
      <c r="T192" s="127">
        <v>0</v>
      </c>
      <c r="U192" s="127">
        <v>0</v>
      </c>
      <c r="V192" s="127">
        <v>0</v>
      </c>
      <c r="W192" s="127">
        <v>0</v>
      </c>
      <c r="X192" s="127">
        <v>0</v>
      </c>
      <c r="Y192" s="127">
        <v>0</v>
      </c>
      <c r="Z192" s="127">
        <v>0</v>
      </c>
      <c r="AA192" s="127" t="s">
        <v>2511</v>
      </c>
      <c r="AB192" s="131" t="s">
        <v>649</v>
      </c>
      <c r="AC192" s="127" t="s">
        <v>1908</v>
      </c>
      <c r="AD192" s="131" t="s">
        <v>2322</v>
      </c>
      <c r="AE192" s="131" t="e">
        <v>#N/A</v>
      </c>
      <c r="AF192" s="131" t="e">
        <v>#N/A</v>
      </c>
      <c r="AG192" s="131" t="e">
        <v>#REF!</v>
      </c>
    </row>
    <row r="193" spans="1:33" s="131" customFormat="1" ht="18" customHeight="1" x14ac:dyDescent="0.25">
      <c r="A193" s="125">
        <v>192</v>
      </c>
      <c r="B193" s="126" t="s">
        <v>565</v>
      </c>
      <c r="C193" s="126" t="s">
        <v>2760</v>
      </c>
      <c r="D193" s="126" t="s">
        <v>2710</v>
      </c>
      <c r="E193" s="127" t="s">
        <v>2397</v>
      </c>
      <c r="F193" s="128"/>
      <c r="G193" s="128" t="s">
        <v>3290</v>
      </c>
      <c r="H193" s="125"/>
      <c r="I193" s="125"/>
      <c r="J193" s="132" t="s">
        <v>1641</v>
      </c>
      <c r="K193" s="130"/>
      <c r="L193" s="129"/>
      <c r="M193" s="127" t="s">
        <v>759</v>
      </c>
      <c r="N193" s="127" t="s">
        <v>1641</v>
      </c>
      <c r="O193" s="127" t="s">
        <v>1553</v>
      </c>
      <c r="P193" s="127">
        <v>0</v>
      </c>
      <c r="Q193" s="127">
        <v>2</v>
      </c>
      <c r="R193" s="127" t="s">
        <v>1477</v>
      </c>
      <c r="S193" s="127" t="s">
        <v>565</v>
      </c>
      <c r="T193" s="127">
        <v>0</v>
      </c>
      <c r="U193" s="127">
        <v>0</v>
      </c>
      <c r="V193" s="127">
        <v>0</v>
      </c>
      <c r="W193" s="127">
        <v>0</v>
      </c>
      <c r="X193" s="127">
        <v>0</v>
      </c>
      <c r="Y193" s="127">
        <v>0</v>
      </c>
      <c r="Z193" s="127">
        <v>0</v>
      </c>
      <c r="AA193" s="127" t="s">
        <v>2511</v>
      </c>
      <c r="AB193" s="131" t="s">
        <v>650</v>
      </c>
      <c r="AC193" s="127" t="s">
        <v>1909</v>
      </c>
      <c r="AD193" s="131" t="s">
        <v>2397</v>
      </c>
      <c r="AE193" s="131" t="e">
        <v>#N/A</v>
      </c>
      <c r="AF193" s="131" t="e">
        <v>#N/A</v>
      </c>
      <c r="AG193" s="131" t="e">
        <v>#REF!</v>
      </c>
    </row>
    <row r="194" spans="1:33" s="131" customFormat="1" ht="15.75" x14ac:dyDescent="0.25">
      <c r="A194" s="125">
        <v>193</v>
      </c>
      <c r="B194" s="126" t="s">
        <v>566</v>
      </c>
      <c r="C194" s="126" t="s">
        <v>2761</v>
      </c>
      <c r="D194" s="126" t="s">
        <v>2710</v>
      </c>
      <c r="E194" s="127" t="s">
        <v>2397</v>
      </c>
      <c r="F194" s="128"/>
      <c r="G194" s="128" t="s">
        <v>3289</v>
      </c>
      <c r="H194" s="125" t="s">
        <v>1732</v>
      </c>
      <c r="I194" s="125"/>
      <c r="J194" s="129"/>
      <c r="K194" s="130"/>
      <c r="L194" s="129"/>
      <c r="M194" s="127" t="s">
        <v>759</v>
      </c>
      <c r="N194" s="127" t="s">
        <v>1639</v>
      </c>
      <c r="O194" s="127" t="s">
        <v>1427</v>
      </c>
      <c r="P194" s="127">
        <v>0</v>
      </c>
      <c r="Q194" s="127">
        <v>0</v>
      </c>
      <c r="R194" s="127">
        <v>0</v>
      </c>
      <c r="S194" s="127">
        <v>0</v>
      </c>
      <c r="T194" s="127">
        <v>2</v>
      </c>
      <c r="U194" s="127" t="s">
        <v>1482</v>
      </c>
      <c r="V194" s="127" t="s">
        <v>566</v>
      </c>
      <c r="W194" s="127">
        <v>0</v>
      </c>
      <c r="X194" s="127">
        <v>0</v>
      </c>
      <c r="Y194" s="127">
        <v>0</v>
      </c>
      <c r="Z194" s="127">
        <v>0</v>
      </c>
      <c r="AA194" s="127" t="s">
        <v>2511</v>
      </c>
      <c r="AB194" s="131" t="s">
        <v>651</v>
      </c>
      <c r="AC194" s="127" t="s">
        <v>1910</v>
      </c>
      <c r="AD194" s="131" t="s">
        <v>2397</v>
      </c>
      <c r="AE194" s="131" t="e">
        <v>#N/A</v>
      </c>
      <c r="AF194" s="131" t="e">
        <v>#N/A</v>
      </c>
      <c r="AG194" s="131" t="e">
        <v>#REF!</v>
      </c>
    </row>
    <row r="195" spans="1:33" s="131" customFormat="1" ht="18" customHeight="1" x14ac:dyDescent="0.25">
      <c r="A195" s="125">
        <v>194</v>
      </c>
      <c r="B195" s="126" t="s">
        <v>576</v>
      </c>
      <c r="C195" s="126" t="s">
        <v>2762</v>
      </c>
      <c r="D195" s="126" t="s">
        <v>2706</v>
      </c>
      <c r="E195" s="127" t="s">
        <v>2397</v>
      </c>
      <c r="F195" s="128" t="s">
        <v>2410</v>
      </c>
      <c r="G195" s="128" t="s">
        <v>3294</v>
      </c>
      <c r="H195" s="125" t="s">
        <v>931</v>
      </c>
      <c r="I195" s="125"/>
      <c r="J195" s="129"/>
      <c r="K195" s="130" t="s">
        <v>194</v>
      </c>
      <c r="L195" s="129"/>
      <c r="M195" s="127" t="s">
        <v>759</v>
      </c>
      <c r="N195" s="127" t="s">
        <v>1639</v>
      </c>
      <c r="O195" s="127" t="s">
        <v>1427</v>
      </c>
      <c r="P195" s="127">
        <v>0</v>
      </c>
      <c r="Q195" s="127">
        <v>0</v>
      </c>
      <c r="R195" s="127">
        <v>0</v>
      </c>
      <c r="S195" s="127">
        <v>0</v>
      </c>
      <c r="T195" s="127">
        <v>2</v>
      </c>
      <c r="U195" s="127" t="s">
        <v>1476</v>
      </c>
      <c r="V195" s="127" t="s">
        <v>576</v>
      </c>
      <c r="W195" s="127" t="s">
        <v>1476</v>
      </c>
      <c r="X195" s="127" t="s">
        <v>576</v>
      </c>
      <c r="Y195" s="127" t="s">
        <v>1573</v>
      </c>
      <c r="Z195" s="127">
        <v>0</v>
      </c>
      <c r="AA195" s="127" t="s">
        <v>2511</v>
      </c>
      <c r="AB195" s="131" t="s">
        <v>652</v>
      </c>
      <c r="AC195" s="127" t="s">
        <v>1911</v>
      </c>
      <c r="AD195" s="131" t="s">
        <v>2397</v>
      </c>
      <c r="AE195" s="131" t="s">
        <v>194</v>
      </c>
      <c r="AF195" s="131" t="b">
        <v>1</v>
      </c>
      <c r="AG195" s="131" t="e">
        <v>#REF!</v>
      </c>
    </row>
    <row r="196" spans="1:33" s="131" customFormat="1" ht="18" customHeight="1" x14ac:dyDescent="0.25">
      <c r="A196" s="125">
        <v>195</v>
      </c>
      <c r="B196" s="126" t="s">
        <v>579</v>
      </c>
      <c r="C196" s="126" t="s">
        <v>2763</v>
      </c>
      <c r="D196" s="126" t="s">
        <v>2706</v>
      </c>
      <c r="E196" s="127" t="s">
        <v>2397</v>
      </c>
      <c r="F196" s="128" t="s">
        <v>2410</v>
      </c>
      <c r="G196" s="128" t="s">
        <v>3294</v>
      </c>
      <c r="H196" s="125" t="s">
        <v>998</v>
      </c>
      <c r="I196" s="125"/>
      <c r="J196" s="129"/>
      <c r="K196" s="130" t="s">
        <v>127</v>
      </c>
      <c r="L196" s="129"/>
      <c r="M196" s="127" t="s">
        <v>759</v>
      </c>
      <c r="N196" s="127" t="s">
        <v>1639</v>
      </c>
      <c r="O196" s="127" t="s">
        <v>1553</v>
      </c>
      <c r="P196" s="127">
        <v>0</v>
      </c>
      <c r="Q196" s="127">
        <v>2</v>
      </c>
      <c r="R196" s="127" t="s">
        <v>1478</v>
      </c>
      <c r="S196" s="127" t="s">
        <v>579</v>
      </c>
      <c r="T196" s="127">
        <v>0</v>
      </c>
      <c r="U196" s="127">
        <v>0</v>
      </c>
      <c r="V196" s="127">
        <v>0</v>
      </c>
      <c r="W196" s="127">
        <v>0</v>
      </c>
      <c r="X196" s="127">
        <v>0</v>
      </c>
      <c r="Y196" s="127">
        <v>0</v>
      </c>
      <c r="Z196" s="127">
        <v>0</v>
      </c>
      <c r="AA196" s="127" t="s">
        <v>2511</v>
      </c>
      <c r="AB196" s="131" t="s">
        <v>653</v>
      </c>
      <c r="AC196" s="127" t="s">
        <v>1912</v>
      </c>
      <c r="AD196" s="131" t="s">
        <v>2397</v>
      </c>
      <c r="AE196" s="131" t="s">
        <v>127</v>
      </c>
      <c r="AF196" s="131" t="b">
        <v>1</v>
      </c>
      <c r="AG196" s="131" t="e">
        <v>#REF!</v>
      </c>
    </row>
    <row r="197" spans="1:33" s="131" customFormat="1" ht="18" customHeight="1" x14ac:dyDescent="0.25">
      <c r="A197" s="125">
        <v>196</v>
      </c>
      <c r="B197" s="126" t="s">
        <v>587</v>
      </c>
      <c r="C197" s="126" t="s">
        <v>2764</v>
      </c>
      <c r="D197" s="126" t="s">
        <v>2710</v>
      </c>
      <c r="E197" s="127" t="s">
        <v>2397</v>
      </c>
      <c r="F197" s="128"/>
      <c r="G197" s="128" t="s">
        <v>3289</v>
      </c>
      <c r="H197" s="125"/>
      <c r="I197" s="125"/>
      <c r="J197" s="129" t="s">
        <v>1641</v>
      </c>
      <c r="K197" s="130"/>
      <c r="L197" s="129"/>
      <c r="M197" s="127" t="s">
        <v>759</v>
      </c>
      <c r="N197" s="127" t="s">
        <v>764</v>
      </c>
      <c r="O197" s="127" t="s">
        <v>1461</v>
      </c>
      <c r="P197" s="127">
        <v>0</v>
      </c>
      <c r="Q197" s="127">
        <v>0</v>
      </c>
      <c r="R197" s="127">
        <v>0</v>
      </c>
      <c r="S197" s="127">
        <v>0</v>
      </c>
      <c r="T197" s="127">
        <v>0</v>
      </c>
      <c r="U197" s="127">
        <v>0</v>
      </c>
      <c r="V197" s="127">
        <v>0</v>
      </c>
      <c r="W197" s="127" t="s">
        <v>1482</v>
      </c>
      <c r="X197" s="127" t="s">
        <v>587</v>
      </c>
      <c r="Y197" s="127" t="s">
        <v>1461</v>
      </c>
      <c r="Z197" s="127">
        <v>0</v>
      </c>
      <c r="AA197" s="127" t="s">
        <v>2511</v>
      </c>
      <c r="AB197" s="131" t="s">
        <v>654</v>
      </c>
      <c r="AC197" s="127" t="s">
        <v>1913</v>
      </c>
      <c r="AD197" s="131" t="s">
        <v>2397</v>
      </c>
      <c r="AE197" s="131" t="e">
        <v>#N/A</v>
      </c>
      <c r="AF197" s="131" t="e">
        <v>#N/A</v>
      </c>
      <c r="AG197" s="131" t="e">
        <v>#REF!</v>
      </c>
    </row>
    <row r="198" spans="1:33" s="131" customFormat="1" ht="18" customHeight="1" x14ac:dyDescent="0.25">
      <c r="A198" s="125">
        <v>197</v>
      </c>
      <c r="B198" s="133" t="s">
        <v>597</v>
      </c>
      <c r="C198" s="126" t="s">
        <v>2765</v>
      </c>
      <c r="D198" s="126" t="s">
        <v>2710</v>
      </c>
      <c r="E198" s="127" t="s">
        <v>2322</v>
      </c>
      <c r="F198" s="128" t="s">
        <v>2410</v>
      </c>
      <c r="G198" s="128" t="s">
        <v>3290</v>
      </c>
      <c r="H198" s="125" t="s">
        <v>998</v>
      </c>
      <c r="I198" s="125"/>
      <c r="J198" s="129"/>
      <c r="K198" s="130" t="s">
        <v>523</v>
      </c>
      <c r="L198" s="129"/>
      <c r="M198" s="127" t="s">
        <v>759</v>
      </c>
      <c r="N198" s="127" t="s">
        <v>1639</v>
      </c>
      <c r="O198" s="127" t="s">
        <v>1553</v>
      </c>
      <c r="P198" s="127">
        <v>0</v>
      </c>
      <c r="Q198" s="127">
        <v>2</v>
      </c>
      <c r="R198" s="127" t="s">
        <v>1547</v>
      </c>
      <c r="S198" s="127" t="s">
        <v>597</v>
      </c>
      <c r="T198" s="127">
        <v>0</v>
      </c>
      <c r="U198" s="127">
        <v>0</v>
      </c>
      <c r="V198" s="127">
        <v>0</v>
      </c>
      <c r="W198" s="127">
        <v>0</v>
      </c>
      <c r="X198" s="127">
        <v>0</v>
      </c>
      <c r="Y198" s="127">
        <v>0</v>
      </c>
      <c r="Z198" s="127">
        <v>0</v>
      </c>
      <c r="AA198" s="127" t="s">
        <v>2511</v>
      </c>
      <c r="AB198" s="131" t="s">
        <v>739</v>
      </c>
      <c r="AC198" s="127" t="s">
        <v>1914</v>
      </c>
      <c r="AD198" s="131" t="s">
        <v>2322</v>
      </c>
      <c r="AE198" s="131" t="s">
        <v>523</v>
      </c>
      <c r="AF198" s="131" t="b">
        <v>1</v>
      </c>
      <c r="AG198" s="131" t="e">
        <v>#REF!</v>
      </c>
    </row>
    <row r="199" spans="1:33" s="131" customFormat="1" ht="18" customHeight="1" x14ac:dyDescent="0.25">
      <c r="A199" s="125">
        <v>198</v>
      </c>
      <c r="B199" s="133" t="s">
        <v>752</v>
      </c>
      <c r="C199" s="126" t="s">
        <v>2766</v>
      </c>
      <c r="D199" s="126" t="s">
        <v>2706</v>
      </c>
      <c r="E199" s="127" t="s">
        <v>2397</v>
      </c>
      <c r="F199" s="128" t="s">
        <v>2410</v>
      </c>
      <c r="G199" s="128" t="s">
        <v>3294</v>
      </c>
      <c r="H199" s="125" t="s">
        <v>927</v>
      </c>
      <c r="I199" s="125"/>
      <c r="J199" s="129"/>
      <c r="K199" s="130" t="s">
        <v>194</v>
      </c>
      <c r="L199" s="129"/>
      <c r="M199" s="127" t="s">
        <v>759</v>
      </c>
      <c r="N199" s="127" t="s">
        <v>1639</v>
      </c>
      <c r="O199" s="127" t="s">
        <v>1427</v>
      </c>
      <c r="P199" s="127">
        <v>0</v>
      </c>
      <c r="Q199" s="127">
        <v>0</v>
      </c>
      <c r="R199" s="127">
        <v>0</v>
      </c>
      <c r="S199" s="127">
        <v>0</v>
      </c>
      <c r="T199" s="127">
        <v>2</v>
      </c>
      <c r="U199" s="127" t="s">
        <v>1476</v>
      </c>
      <c r="V199" s="127" t="s">
        <v>752</v>
      </c>
      <c r="W199" s="127">
        <v>0</v>
      </c>
      <c r="X199" s="127">
        <v>0</v>
      </c>
      <c r="Y199" s="127">
        <v>0</v>
      </c>
      <c r="Z199" s="127">
        <v>0</v>
      </c>
      <c r="AA199" s="127" t="s">
        <v>2511</v>
      </c>
      <c r="AB199" s="131" t="s">
        <v>753</v>
      </c>
      <c r="AC199" s="127" t="s">
        <v>2270</v>
      </c>
      <c r="AD199" s="131" t="s">
        <v>2397</v>
      </c>
      <c r="AE199" s="131" t="s">
        <v>194</v>
      </c>
      <c r="AF199" s="131" t="b">
        <v>1</v>
      </c>
      <c r="AG199" s="131" t="e">
        <v>#REF!</v>
      </c>
    </row>
    <row r="200" spans="1:33" s="131" customFormat="1" ht="18" customHeight="1" x14ac:dyDescent="0.25">
      <c r="A200" s="125">
        <v>199</v>
      </c>
      <c r="B200" s="126" t="s">
        <v>830</v>
      </c>
      <c r="C200" s="126" t="s">
        <v>2767</v>
      </c>
      <c r="D200" s="126" t="s">
        <v>2706</v>
      </c>
      <c r="E200" s="127" t="s">
        <v>2397</v>
      </c>
      <c r="F200" s="128"/>
      <c r="G200" s="128" t="s">
        <v>3294</v>
      </c>
      <c r="H200" s="125"/>
      <c r="I200" s="125"/>
      <c r="J200" s="132" t="s">
        <v>1641</v>
      </c>
      <c r="K200" s="130"/>
      <c r="L200" s="129"/>
      <c r="M200" s="127" t="s">
        <v>759</v>
      </c>
      <c r="N200" s="127" t="s">
        <v>1641</v>
      </c>
      <c r="O200" s="127" t="s">
        <v>1427</v>
      </c>
      <c r="P200" s="127">
        <v>0</v>
      </c>
      <c r="Q200" s="127">
        <v>0</v>
      </c>
      <c r="R200" s="127">
        <v>0</v>
      </c>
      <c r="S200" s="127">
        <v>0</v>
      </c>
      <c r="T200" s="127">
        <v>2</v>
      </c>
      <c r="U200" s="127" t="s">
        <v>1475</v>
      </c>
      <c r="V200" s="127" t="s">
        <v>830</v>
      </c>
      <c r="W200" s="127">
        <v>0</v>
      </c>
      <c r="X200" s="127">
        <v>0</v>
      </c>
      <c r="Y200" s="127">
        <v>0</v>
      </c>
      <c r="Z200" s="127">
        <v>0</v>
      </c>
      <c r="AA200" s="127" t="s">
        <v>2511</v>
      </c>
      <c r="AB200" s="131" t="s">
        <v>814</v>
      </c>
      <c r="AC200" s="127" t="s">
        <v>2271</v>
      </c>
      <c r="AD200" s="131" t="s">
        <v>2397</v>
      </c>
      <c r="AE200" s="131" t="e">
        <v>#N/A</v>
      </c>
      <c r="AF200" s="131" t="e">
        <v>#N/A</v>
      </c>
      <c r="AG200" s="131" t="e">
        <v>#REF!</v>
      </c>
    </row>
    <row r="201" spans="1:33" s="131" customFormat="1" ht="18" customHeight="1" x14ac:dyDescent="0.25">
      <c r="A201" s="125">
        <v>200</v>
      </c>
      <c r="B201" s="126" t="s">
        <v>855</v>
      </c>
      <c r="C201" s="126" t="s">
        <v>2768</v>
      </c>
      <c r="D201" s="126" t="s">
        <v>2706</v>
      </c>
      <c r="E201" s="127" t="s">
        <v>2397</v>
      </c>
      <c r="F201" s="128"/>
      <c r="G201" s="128" t="s">
        <v>3290</v>
      </c>
      <c r="H201" s="125"/>
      <c r="I201" s="125"/>
      <c r="J201" s="132" t="s">
        <v>1641</v>
      </c>
      <c r="K201" s="130"/>
      <c r="L201" s="129"/>
      <c r="M201" s="127" t="s">
        <v>759</v>
      </c>
      <c r="N201" s="127" t="s">
        <v>1641</v>
      </c>
      <c r="O201" s="127" t="s">
        <v>1427</v>
      </c>
      <c r="P201" s="127">
        <v>0</v>
      </c>
      <c r="Q201" s="127">
        <v>0</v>
      </c>
      <c r="R201" s="127">
        <v>0</v>
      </c>
      <c r="S201" s="127">
        <v>0</v>
      </c>
      <c r="T201" s="127">
        <v>2</v>
      </c>
      <c r="U201" s="127" t="s">
        <v>1486</v>
      </c>
      <c r="V201" s="127" t="s">
        <v>855</v>
      </c>
      <c r="W201" s="127">
        <v>0</v>
      </c>
      <c r="X201" s="127">
        <v>0</v>
      </c>
      <c r="Y201" s="127">
        <v>0</v>
      </c>
      <c r="Z201" s="127">
        <v>0</v>
      </c>
      <c r="AA201" s="127" t="s">
        <v>2511</v>
      </c>
      <c r="AB201" s="131" t="s">
        <v>823</v>
      </c>
      <c r="AC201" s="127" t="s">
        <v>1742</v>
      </c>
      <c r="AD201" s="131" t="s">
        <v>2397</v>
      </c>
      <c r="AE201" s="131" t="e">
        <v>#N/A</v>
      </c>
      <c r="AF201" s="131" t="e">
        <v>#N/A</v>
      </c>
      <c r="AG201" s="131" t="e">
        <v>#REF!</v>
      </c>
    </row>
    <row r="202" spans="1:33" s="131" customFormat="1" ht="15.75" x14ac:dyDescent="0.25">
      <c r="A202" s="125">
        <v>201</v>
      </c>
      <c r="B202" s="126" t="s">
        <v>848</v>
      </c>
      <c r="C202" s="126" t="s">
        <v>2769</v>
      </c>
      <c r="D202" s="126" t="s">
        <v>2710</v>
      </c>
      <c r="E202" s="127" t="s">
        <v>2322</v>
      </c>
      <c r="F202" s="134" t="s">
        <v>2521</v>
      </c>
      <c r="G202" s="128" t="s">
        <v>3290</v>
      </c>
      <c r="H202" s="125"/>
      <c r="I202" s="125"/>
      <c r="J202" s="129"/>
      <c r="K202" s="130"/>
      <c r="L202" s="129" t="s">
        <v>2552</v>
      </c>
      <c r="M202" s="127" t="s">
        <v>759</v>
      </c>
      <c r="N202" s="127" t="s">
        <v>1641</v>
      </c>
      <c r="O202" s="127" t="s">
        <v>1427</v>
      </c>
      <c r="P202" s="127">
        <v>0</v>
      </c>
      <c r="Q202" s="127">
        <v>0</v>
      </c>
      <c r="R202" s="127">
        <v>0</v>
      </c>
      <c r="S202" s="127">
        <v>0</v>
      </c>
      <c r="T202" s="127">
        <v>2</v>
      </c>
      <c r="U202" s="127" t="s">
        <v>1547</v>
      </c>
      <c r="V202" s="127" t="s">
        <v>848</v>
      </c>
      <c r="W202" s="127">
        <v>0</v>
      </c>
      <c r="X202" s="127">
        <v>0</v>
      </c>
      <c r="Y202" s="127">
        <v>0</v>
      </c>
      <c r="Z202" s="127">
        <v>0</v>
      </c>
      <c r="AA202" s="127" t="s">
        <v>2511</v>
      </c>
      <c r="AB202" s="131" t="s">
        <v>1654</v>
      </c>
      <c r="AC202" s="127" t="s">
        <v>1915</v>
      </c>
      <c r="AD202" s="131" t="s">
        <v>2322</v>
      </c>
      <c r="AE202" s="131" t="e">
        <v>#N/A</v>
      </c>
      <c r="AF202" s="131" t="e">
        <v>#N/A</v>
      </c>
      <c r="AG202" s="131" t="e">
        <v>#REF!</v>
      </c>
    </row>
    <row r="203" spans="1:33" s="131" customFormat="1" ht="18" customHeight="1" x14ac:dyDescent="0.25">
      <c r="A203" s="125">
        <v>202</v>
      </c>
      <c r="B203" s="126" t="s">
        <v>847</v>
      </c>
      <c r="C203" s="126" t="s">
        <v>2770</v>
      </c>
      <c r="D203" s="126" t="s">
        <v>2706</v>
      </c>
      <c r="E203" s="127" t="s">
        <v>2397</v>
      </c>
      <c r="F203" s="128" t="s">
        <v>2410</v>
      </c>
      <c r="G203" s="128" t="s">
        <v>3290</v>
      </c>
      <c r="H203" s="125"/>
      <c r="I203" s="125"/>
      <c r="J203" s="132" t="s">
        <v>1641</v>
      </c>
      <c r="K203" s="130" t="s">
        <v>210</v>
      </c>
      <c r="L203" s="129"/>
      <c r="M203" s="127" t="s">
        <v>759</v>
      </c>
      <c r="N203" s="127" t="s">
        <v>1641</v>
      </c>
      <c r="O203" s="127" t="s">
        <v>1427</v>
      </c>
      <c r="P203" s="127">
        <v>0</v>
      </c>
      <c r="Q203" s="127">
        <v>0</v>
      </c>
      <c r="R203" s="127">
        <v>0</v>
      </c>
      <c r="S203" s="127">
        <v>0</v>
      </c>
      <c r="T203" s="127">
        <v>2</v>
      </c>
      <c r="U203" s="127" t="s">
        <v>1479</v>
      </c>
      <c r="V203" s="127" t="s">
        <v>847</v>
      </c>
      <c r="W203" s="127">
        <v>0</v>
      </c>
      <c r="X203" s="127">
        <v>0</v>
      </c>
      <c r="Y203" s="127">
        <v>0</v>
      </c>
      <c r="Z203" s="127">
        <v>0</v>
      </c>
      <c r="AA203" s="127" t="s">
        <v>2511</v>
      </c>
      <c r="AB203" s="131" t="s">
        <v>1653</v>
      </c>
      <c r="AC203" s="127" t="e">
        <v>#N/A</v>
      </c>
      <c r="AD203" s="131" t="s">
        <v>2397</v>
      </c>
      <c r="AE203" s="131" t="e">
        <v>#N/A</v>
      </c>
      <c r="AF203" s="131" t="e">
        <v>#N/A</v>
      </c>
      <c r="AG203" s="131" t="e">
        <v>#REF!</v>
      </c>
    </row>
    <row r="204" spans="1:33" s="131" customFormat="1" ht="18" customHeight="1" x14ac:dyDescent="0.25">
      <c r="A204" s="125">
        <v>203</v>
      </c>
      <c r="B204" s="136" t="s">
        <v>1725</v>
      </c>
      <c r="C204" s="126" t="s">
        <v>2771</v>
      </c>
      <c r="D204" s="126" t="s">
        <v>2710</v>
      </c>
      <c r="E204" s="127" t="s">
        <v>2322</v>
      </c>
      <c r="F204" s="134" t="s">
        <v>2410</v>
      </c>
      <c r="G204" s="128" t="s">
        <v>3294</v>
      </c>
      <c r="H204" s="125"/>
      <c r="I204" s="125"/>
      <c r="J204" s="127"/>
      <c r="K204" s="16"/>
      <c r="L204" s="129" t="s">
        <v>2552</v>
      </c>
      <c r="M204" s="127" t="s">
        <v>783</v>
      </c>
      <c r="N204" s="127" t="s">
        <v>764</v>
      </c>
      <c r="O204" s="127" t="e">
        <v>#N/A</v>
      </c>
      <c r="P204" s="127" t="e">
        <v>#N/A</v>
      </c>
      <c r="Q204" s="127" t="e">
        <v>#N/A</v>
      </c>
      <c r="R204" s="127" t="e">
        <v>#N/A</v>
      </c>
      <c r="S204" s="127" t="e">
        <v>#N/A</v>
      </c>
      <c r="T204" s="127" t="e">
        <v>#N/A</v>
      </c>
      <c r="U204" s="127" t="e">
        <v>#N/A</v>
      </c>
      <c r="V204" s="127" t="e">
        <v>#N/A</v>
      </c>
      <c r="W204" s="127" t="s">
        <v>2377</v>
      </c>
      <c r="X204" s="127" t="s">
        <v>2377</v>
      </c>
      <c r="Y204" s="127" t="s">
        <v>2377</v>
      </c>
      <c r="Z204" s="127" t="s">
        <v>2377</v>
      </c>
      <c r="AA204" s="127" t="s">
        <v>2511</v>
      </c>
      <c r="AB204" s="131" t="e">
        <v>#N/A</v>
      </c>
      <c r="AC204" s="127" t="s">
        <v>2377</v>
      </c>
      <c r="AD204" s="131" t="s">
        <v>2322</v>
      </c>
      <c r="AE204" s="131" t="e">
        <v>#N/A</v>
      </c>
      <c r="AF204" s="131" t="e">
        <v>#N/A</v>
      </c>
      <c r="AG204" s="131" t="e">
        <v>#REF!</v>
      </c>
    </row>
    <row r="205" spans="1:33" s="131" customFormat="1" ht="18" customHeight="1" x14ac:dyDescent="0.25">
      <c r="A205" s="125">
        <v>204</v>
      </c>
      <c r="B205" s="136" t="s">
        <v>1716</v>
      </c>
      <c r="C205" s="126" t="s">
        <v>2772</v>
      </c>
      <c r="D205" s="126" t="s">
        <v>2706</v>
      </c>
      <c r="E205" s="127" t="s">
        <v>2397</v>
      </c>
      <c r="F205" s="134" t="s">
        <v>2410</v>
      </c>
      <c r="G205" s="128" t="s">
        <v>3290</v>
      </c>
      <c r="H205" s="125"/>
      <c r="I205" s="125"/>
      <c r="J205" s="132"/>
      <c r="K205" s="16"/>
      <c r="L205" s="129" t="s">
        <v>2551</v>
      </c>
      <c r="M205" s="127" t="s">
        <v>2356</v>
      </c>
      <c r="N205" s="127" t="s">
        <v>764</v>
      </c>
      <c r="O205" s="127" t="s">
        <v>1454</v>
      </c>
      <c r="P205" s="127">
        <v>0</v>
      </c>
      <c r="Q205" s="127">
        <v>0</v>
      </c>
      <c r="R205" s="127">
        <v>0</v>
      </c>
      <c r="S205" s="127">
        <v>0</v>
      </c>
      <c r="T205" s="127">
        <v>0</v>
      </c>
      <c r="U205" s="127">
        <v>0</v>
      </c>
      <c r="V205" s="127">
        <v>0</v>
      </c>
      <c r="W205" s="127" t="s">
        <v>198</v>
      </c>
      <c r="X205" s="127" t="s">
        <v>1716</v>
      </c>
      <c r="Y205" s="127" t="s">
        <v>1454</v>
      </c>
      <c r="Z205" s="127">
        <v>0</v>
      </c>
      <c r="AA205" s="127" t="s">
        <v>2511</v>
      </c>
      <c r="AB205" s="131" t="s">
        <v>1722</v>
      </c>
      <c r="AC205" s="127" t="e">
        <v>#N/A</v>
      </c>
      <c r="AD205" s="131" t="s">
        <v>2397</v>
      </c>
      <c r="AE205" s="131" t="e">
        <v>#N/A</v>
      </c>
      <c r="AF205" s="131" t="e">
        <v>#N/A</v>
      </c>
      <c r="AG205" s="131" t="e">
        <v>#REF!</v>
      </c>
    </row>
    <row r="206" spans="1:33" s="131" customFormat="1" ht="18" customHeight="1" x14ac:dyDescent="0.25">
      <c r="A206" s="125">
        <v>205</v>
      </c>
      <c r="B206" s="126" t="s">
        <v>2324</v>
      </c>
      <c r="C206" s="126" t="s">
        <v>2773</v>
      </c>
      <c r="D206" s="126" t="s">
        <v>2706</v>
      </c>
      <c r="E206" s="127" t="s">
        <v>2397</v>
      </c>
      <c r="F206" s="134" t="s">
        <v>2410</v>
      </c>
      <c r="G206" s="128" t="s">
        <v>3294</v>
      </c>
      <c r="H206" s="125"/>
      <c r="I206" s="125"/>
      <c r="J206" s="132" t="s">
        <v>1641</v>
      </c>
      <c r="K206" s="130" t="s">
        <v>201</v>
      </c>
      <c r="L206" s="129"/>
      <c r="M206" s="127" t="s">
        <v>2356</v>
      </c>
      <c r="N206" s="127" t="s">
        <v>1641</v>
      </c>
      <c r="O206" s="127" t="s">
        <v>1427</v>
      </c>
      <c r="P206" s="127">
        <v>0</v>
      </c>
      <c r="Q206" s="127">
        <v>0</v>
      </c>
      <c r="R206" s="127">
        <v>0</v>
      </c>
      <c r="S206" s="127">
        <v>0</v>
      </c>
      <c r="T206" s="127">
        <v>2</v>
      </c>
      <c r="U206" s="127" t="s">
        <v>201</v>
      </c>
      <c r="V206" s="127" t="s">
        <v>2324</v>
      </c>
      <c r="W206" s="127">
        <v>0</v>
      </c>
      <c r="X206" s="127">
        <v>0</v>
      </c>
      <c r="Y206" s="127">
        <v>0</v>
      </c>
      <c r="Z206" s="127">
        <v>0</v>
      </c>
      <c r="AA206" s="127" t="s">
        <v>2511</v>
      </c>
      <c r="AB206" s="131" t="s">
        <v>2341</v>
      </c>
      <c r="AC206" s="127"/>
      <c r="AD206" s="131" t="s">
        <v>2397</v>
      </c>
      <c r="AE206" s="131" t="e">
        <v>#N/A</v>
      </c>
      <c r="AF206" s="131" t="e">
        <v>#N/A</v>
      </c>
      <c r="AG206" s="131" t="e">
        <v>#REF!</v>
      </c>
    </row>
    <row r="207" spans="1:33" s="131" customFormat="1" ht="18" customHeight="1" x14ac:dyDescent="0.25">
      <c r="A207" s="125">
        <v>206</v>
      </c>
      <c r="B207" s="136" t="s">
        <v>2412</v>
      </c>
      <c r="C207" s="126" t="s">
        <v>2774</v>
      </c>
      <c r="D207" s="126" t="s">
        <v>2710</v>
      </c>
      <c r="E207" s="127" t="s">
        <v>2322</v>
      </c>
      <c r="F207" s="134"/>
      <c r="G207" s="128" t="s">
        <v>3294</v>
      </c>
      <c r="H207" s="125"/>
      <c r="I207" s="125"/>
      <c r="J207" s="132" t="s">
        <v>1641</v>
      </c>
      <c r="K207" s="130"/>
      <c r="L207" s="129"/>
      <c r="M207" s="127" t="s">
        <v>2356</v>
      </c>
      <c r="N207" s="127" t="s">
        <v>1641</v>
      </c>
      <c r="O207" s="127" t="s">
        <v>1427</v>
      </c>
      <c r="P207" s="127">
        <v>0</v>
      </c>
      <c r="Q207" s="127">
        <v>0</v>
      </c>
      <c r="R207" s="127">
        <v>0</v>
      </c>
      <c r="S207" s="127">
        <v>0</v>
      </c>
      <c r="T207" s="127">
        <v>2</v>
      </c>
      <c r="U207" s="127" t="s">
        <v>1556</v>
      </c>
      <c r="V207" s="127" t="s">
        <v>2350</v>
      </c>
      <c r="W207" s="127">
        <v>0</v>
      </c>
      <c r="X207" s="127">
        <v>0</v>
      </c>
      <c r="Y207" s="127" t="e">
        <v>#N/A</v>
      </c>
      <c r="Z207" s="127" t="e">
        <v>#N/A</v>
      </c>
      <c r="AA207" s="127" t="s">
        <v>2511</v>
      </c>
      <c r="AB207" s="131" t="s">
        <v>1681</v>
      </c>
      <c r="AC207" s="127"/>
      <c r="AD207" s="135"/>
      <c r="AG207" s="131" t="e">
        <v>#REF!</v>
      </c>
    </row>
    <row r="208" spans="1:33" s="131" customFormat="1" ht="18" customHeight="1" x14ac:dyDescent="0.25">
      <c r="A208" s="125">
        <v>207</v>
      </c>
      <c r="B208" s="126" t="s">
        <v>2526</v>
      </c>
      <c r="C208" s="126" t="s">
        <v>2775</v>
      </c>
      <c r="D208" s="126" t="s">
        <v>2706</v>
      </c>
      <c r="E208" s="127" t="s">
        <v>2322</v>
      </c>
      <c r="F208" s="134" t="s">
        <v>2410</v>
      </c>
      <c r="G208" s="128" t="s">
        <v>3294</v>
      </c>
      <c r="H208" s="125"/>
      <c r="I208" s="125"/>
      <c r="J208" s="132"/>
      <c r="K208" s="130"/>
      <c r="L208" s="129" t="s">
        <v>2551</v>
      </c>
      <c r="M208" s="127" t="s">
        <v>2356</v>
      </c>
      <c r="N208" s="127" t="s">
        <v>1641</v>
      </c>
      <c r="O208" s="127" t="s">
        <v>1427</v>
      </c>
      <c r="P208" s="127">
        <v>0</v>
      </c>
      <c r="Q208" s="127">
        <v>0</v>
      </c>
      <c r="R208" s="127">
        <v>0</v>
      </c>
      <c r="S208" s="127">
        <v>0</v>
      </c>
      <c r="T208" s="127">
        <v>2</v>
      </c>
      <c r="U208" s="127" t="s">
        <v>209</v>
      </c>
      <c r="V208" s="127" t="s">
        <v>2526</v>
      </c>
      <c r="W208" s="127">
        <v>0</v>
      </c>
      <c r="X208" s="127">
        <v>0</v>
      </c>
      <c r="Y208" s="127" t="e">
        <v>#N/A</v>
      </c>
      <c r="Z208" s="127" t="e">
        <v>#N/A</v>
      </c>
      <c r="AA208" s="127" t="s">
        <v>2511</v>
      </c>
      <c r="AB208" s="131" t="s">
        <v>1681</v>
      </c>
      <c r="AC208" s="127"/>
      <c r="AD208" s="135"/>
      <c r="AG208" s="131" t="e">
        <v>#REF!</v>
      </c>
    </row>
    <row r="209" spans="1:33" s="131" customFormat="1" ht="18" customHeight="1" x14ac:dyDescent="0.25">
      <c r="A209" s="125">
        <v>208</v>
      </c>
      <c r="B209" s="136" t="s">
        <v>2413</v>
      </c>
      <c r="C209" s="126" t="s">
        <v>2776</v>
      </c>
      <c r="D209" s="126" t="s">
        <v>2710</v>
      </c>
      <c r="E209" s="127" t="s">
        <v>2397</v>
      </c>
      <c r="F209" s="134" t="s">
        <v>2410</v>
      </c>
      <c r="G209" s="128" t="s">
        <v>3294</v>
      </c>
      <c r="H209" s="125"/>
      <c r="I209" s="125"/>
      <c r="J209" s="132"/>
      <c r="K209" s="130"/>
      <c r="L209" s="129" t="s">
        <v>2552</v>
      </c>
      <c r="M209" s="127" t="s">
        <v>2356</v>
      </c>
      <c r="N209" s="127" t="s">
        <v>764</v>
      </c>
      <c r="O209" s="127" t="s">
        <v>1427</v>
      </c>
      <c r="P209" s="127">
        <v>0</v>
      </c>
      <c r="Q209" s="127">
        <v>0</v>
      </c>
      <c r="R209" s="127">
        <v>0</v>
      </c>
      <c r="S209" s="127">
        <v>0</v>
      </c>
      <c r="T209" s="127">
        <v>2</v>
      </c>
      <c r="U209" s="127" t="s">
        <v>566</v>
      </c>
      <c r="V209" s="127" t="s">
        <v>2413</v>
      </c>
      <c r="W209" s="127">
        <v>0</v>
      </c>
      <c r="X209" s="127">
        <v>0</v>
      </c>
      <c r="Y209" s="127" t="e">
        <v>#N/A</v>
      </c>
      <c r="Z209" s="127" t="e">
        <v>#N/A</v>
      </c>
      <c r="AA209" s="127" t="s">
        <v>2511</v>
      </c>
      <c r="AB209" s="131" t="s">
        <v>2434</v>
      </c>
      <c r="AC209" s="127"/>
      <c r="AG209" s="131" t="e">
        <v>#REF!</v>
      </c>
    </row>
    <row r="210" spans="1:33" s="131" customFormat="1" ht="18" customHeight="1" x14ac:dyDescent="0.25">
      <c r="A210" s="125">
        <v>209</v>
      </c>
      <c r="B210" s="136" t="s">
        <v>2398</v>
      </c>
      <c r="C210" s="126" t="s">
        <v>2777</v>
      </c>
      <c r="D210" s="126" t="s">
        <v>2710</v>
      </c>
      <c r="E210" s="127" t="s">
        <v>2397</v>
      </c>
      <c r="F210" s="134" t="s">
        <v>2410</v>
      </c>
      <c r="G210" s="128" t="s">
        <v>3294</v>
      </c>
      <c r="H210" s="125"/>
      <c r="I210" s="125"/>
      <c r="J210" s="132" t="s">
        <v>1641</v>
      </c>
      <c r="K210" s="130" t="s">
        <v>189</v>
      </c>
      <c r="L210" s="129"/>
      <c r="M210" s="127" t="s">
        <v>2356</v>
      </c>
      <c r="N210" s="127" t="s">
        <v>1641</v>
      </c>
      <c r="O210" s="127" t="s">
        <v>1427</v>
      </c>
      <c r="P210" s="127">
        <v>0</v>
      </c>
      <c r="Q210" s="127">
        <v>0</v>
      </c>
      <c r="R210" s="127">
        <v>0</v>
      </c>
      <c r="S210" s="127">
        <v>0</v>
      </c>
      <c r="T210" s="127">
        <v>2</v>
      </c>
      <c r="U210" s="127" t="s">
        <v>2429</v>
      </c>
      <c r="V210" s="127" t="s">
        <v>2398</v>
      </c>
      <c r="W210" s="127">
        <v>0</v>
      </c>
      <c r="X210" s="127">
        <v>0</v>
      </c>
      <c r="Y210" s="127">
        <v>0</v>
      </c>
      <c r="Z210" s="127">
        <v>0</v>
      </c>
      <c r="AA210" s="127" t="s">
        <v>2511</v>
      </c>
      <c r="AB210" s="131" t="s">
        <v>2349</v>
      </c>
      <c r="AC210" s="127"/>
      <c r="AD210" s="135" t="s">
        <v>2397</v>
      </c>
      <c r="AE210" s="131" t="e">
        <v>#N/A</v>
      </c>
      <c r="AF210" s="131" t="e">
        <v>#N/A</v>
      </c>
      <c r="AG210" s="131" t="e">
        <v>#REF!</v>
      </c>
    </row>
    <row r="211" spans="1:33" s="131" customFormat="1" ht="18" customHeight="1" x14ac:dyDescent="0.25">
      <c r="A211" s="125">
        <v>210</v>
      </c>
      <c r="B211" s="126" t="s">
        <v>2399</v>
      </c>
      <c r="C211" s="126" t="s">
        <v>2778</v>
      </c>
      <c r="D211" s="126" t="s">
        <v>2710</v>
      </c>
      <c r="E211" s="127" t="s">
        <v>2397</v>
      </c>
      <c r="F211" s="134" t="s">
        <v>2410</v>
      </c>
      <c r="G211" s="128" t="s">
        <v>3294</v>
      </c>
      <c r="H211" s="125"/>
      <c r="I211" s="125"/>
      <c r="J211" s="132"/>
      <c r="K211" s="130" t="s">
        <v>536</v>
      </c>
      <c r="L211" s="129" t="s">
        <v>2551</v>
      </c>
      <c r="M211" s="127" t="s">
        <v>2356</v>
      </c>
      <c r="N211" s="127" t="s">
        <v>764</v>
      </c>
      <c r="O211" s="127" t="s">
        <v>1427</v>
      </c>
      <c r="P211" s="127">
        <v>0</v>
      </c>
      <c r="Q211" s="127">
        <v>0</v>
      </c>
      <c r="R211" s="127">
        <v>0</v>
      </c>
      <c r="S211" s="127">
        <v>0</v>
      </c>
      <c r="T211" s="127">
        <v>2</v>
      </c>
      <c r="U211" s="127" t="s">
        <v>1584</v>
      </c>
      <c r="V211" s="127" t="s">
        <v>2399</v>
      </c>
      <c r="W211" s="127">
        <v>0</v>
      </c>
      <c r="X211" s="127">
        <v>0</v>
      </c>
      <c r="Y211" s="127">
        <v>0</v>
      </c>
      <c r="Z211" s="127">
        <v>0</v>
      </c>
      <c r="AA211" s="127" t="s">
        <v>2511</v>
      </c>
      <c r="AB211" s="131" t="s">
        <v>1681</v>
      </c>
      <c r="AC211" s="127"/>
      <c r="AD211" s="135" t="s">
        <v>2397</v>
      </c>
      <c r="AE211" s="131" t="e">
        <v>#N/A</v>
      </c>
      <c r="AF211" s="131" t="e">
        <v>#N/A</v>
      </c>
      <c r="AG211" s="131" t="e">
        <v>#REF!</v>
      </c>
    </row>
    <row r="212" spans="1:33" s="131" customFormat="1" ht="18" customHeight="1" x14ac:dyDescent="0.25">
      <c r="A212" s="125">
        <v>211</v>
      </c>
      <c r="B212" s="139" t="s">
        <v>866</v>
      </c>
      <c r="C212" s="126" t="s">
        <v>2779</v>
      </c>
      <c r="D212" s="126" t="s">
        <v>2706</v>
      </c>
      <c r="E212" s="127" t="s">
        <v>2397</v>
      </c>
      <c r="F212" s="134" t="s">
        <v>2410</v>
      </c>
      <c r="G212" s="128" t="s">
        <v>3294</v>
      </c>
      <c r="H212" s="125"/>
      <c r="I212" s="125"/>
      <c r="J212" s="132"/>
      <c r="K212" s="130" t="s">
        <v>123</v>
      </c>
      <c r="L212" s="129" t="s">
        <v>2551</v>
      </c>
      <c r="M212" s="127" t="s">
        <v>879</v>
      </c>
      <c r="N212" s="127" t="s">
        <v>764</v>
      </c>
      <c r="O212" s="127" t="s">
        <v>1427</v>
      </c>
      <c r="P212" s="127">
        <v>0</v>
      </c>
      <c r="Q212" s="127">
        <v>0</v>
      </c>
      <c r="R212" s="127">
        <v>0</v>
      </c>
      <c r="S212" s="127">
        <v>0</v>
      </c>
      <c r="T212" s="127">
        <v>2</v>
      </c>
      <c r="U212" s="127" t="s">
        <v>123</v>
      </c>
      <c r="V212" s="127" t="s">
        <v>866</v>
      </c>
      <c r="W212" s="127">
        <v>0</v>
      </c>
      <c r="X212" s="127">
        <v>0</v>
      </c>
      <c r="Y212" s="127">
        <v>0</v>
      </c>
      <c r="Z212" s="127">
        <v>0</v>
      </c>
      <c r="AA212" s="127" t="s">
        <v>2511</v>
      </c>
      <c r="AB212" s="131" t="s">
        <v>1667</v>
      </c>
      <c r="AC212" s="127" t="e">
        <v>#N/A</v>
      </c>
      <c r="AD212" s="131" t="s">
        <v>2397</v>
      </c>
      <c r="AE212" s="131" t="e">
        <v>#N/A</v>
      </c>
      <c r="AF212" s="131" t="e">
        <v>#N/A</v>
      </c>
      <c r="AG212" s="131" t="e">
        <v>#REF!</v>
      </c>
    </row>
    <row r="213" spans="1:33" s="131" customFormat="1" ht="15.75" x14ac:dyDescent="0.25">
      <c r="A213" s="125">
        <v>212</v>
      </c>
      <c r="B213" s="138" t="s">
        <v>1645</v>
      </c>
      <c r="C213" s="126" t="s">
        <v>2780</v>
      </c>
      <c r="D213" s="126" t="s">
        <v>2710</v>
      </c>
      <c r="E213" s="127" t="s">
        <v>2322</v>
      </c>
      <c r="F213" s="134" t="s">
        <v>2410</v>
      </c>
      <c r="G213" s="128" t="s">
        <v>3294</v>
      </c>
      <c r="H213" s="125"/>
      <c r="I213" s="125"/>
      <c r="J213" s="132"/>
      <c r="K213" s="130" t="s">
        <v>597</v>
      </c>
      <c r="L213" s="129" t="s">
        <v>2552</v>
      </c>
      <c r="M213" s="127" t="s">
        <v>759</v>
      </c>
      <c r="N213" s="127" t="s">
        <v>1641</v>
      </c>
      <c r="O213" s="127" t="s">
        <v>1553</v>
      </c>
      <c r="P213" s="127">
        <v>0</v>
      </c>
      <c r="Q213" s="127">
        <v>4</v>
      </c>
      <c r="R213" s="127" t="s">
        <v>597</v>
      </c>
      <c r="S213" s="127" t="s">
        <v>1645</v>
      </c>
      <c r="T213" s="127">
        <v>0</v>
      </c>
      <c r="U213" s="127">
        <v>0</v>
      </c>
      <c r="V213" s="127">
        <v>0</v>
      </c>
      <c r="W213" s="127">
        <v>0</v>
      </c>
      <c r="X213" s="127">
        <v>0</v>
      </c>
      <c r="Y213" s="127">
        <v>0</v>
      </c>
      <c r="Z213" s="127">
        <v>0</v>
      </c>
      <c r="AA213" s="127" t="s">
        <v>2511</v>
      </c>
      <c r="AB213" s="131" t="s">
        <v>1681</v>
      </c>
      <c r="AC213" s="127" t="e">
        <v>#N/A</v>
      </c>
      <c r="AD213" s="135" t="s">
        <v>2322</v>
      </c>
      <c r="AE213" s="131" t="e">
        <v>#N/A</v>
      </c>
      <c r="AF213" s="131" t="e">
        <v>#N/A</v>
      </c>
      <c r="AG213" s="131" t="e">
        <v>#REF!</v>
      </c>
    </row>
    <row r="214" spans="1:33" s="131" customFormat="1" ht="18" customHeight="1" x14ac:dyDescent="0.25">
      <c r="A214" s="125">
        <v>213</v>
      </c>
      <c r="B214" s="126" t="s">
        <v>1416</v>
      </c>
      <c r="C214" s="126" t="s">
        <v>2781</v>
      </c>
      <c r="D214" s="126" t="s">
        <v>2710</v>
      </c>
      <c r="E214" s="127" t="s">
        <v>2322</v>
      </c>
      <c r="F214" s="134" t="s">
        <v>2410</v>
      </c>
      <c r="G214" s="128" t="s">
        <v>3294</v>
      </c>
      <c r="H214" s="125"/>
      <c r="I214" s="125"/>
      <c r="J214" s="132"/>
      <c r="K214" s="130"/>
      <c r="L214" s="129" t="s">
        <v>2552</v>
      </c>
      <c r="M214" s="127" t="s">
        <v>1419</v>
      </c>
      <c r="N214" s="127" t="s">
        <v>764</v>
      </c>
      <c r="O214" s="127" t="s">
        <v>1427</v>
      </c>
      <c r="P214" s="127">
        <v>0</v>
      </c>
      <c r="Q214" s="127">
        <v>0</v>
      </c>
      <c r="R214" s="127">
        <v>0</v>
      </c>
      <c r="S214" s="127">
        <v>0</v>
      </c>
      <c r="T214" s="127">
        <v>2</v>
      </c>
      <c r="U214" s="127" t="s">
        <v>1547</v>
      </c>
      <c r="V214" s="127" t="s">
        <v>1416</v>
      </c>
      <c r="W214" s="127">
        <v>0</v>
      </c>
      <c r="X214" s="127">
        <v>0</v>
      </c>
      <c r="Y214" s="127">
        <v>0</v>
      </c>
      <c r="Z214" s="127">
        <v>0</v>
      </c>
      <c r="AA214" s="127" t="s">
        <v>2511</v>
      </c>
      <c r="AB214" s="131" t="s">
        <v>1679</v>
      </c>
      <c r="AC214" s="127" t="e">
        <v>#N/A</v>
      </c>
      <c r="AD214" s="131" t="s">
        <v>2322</v>
      </c>
      <c r="AE214" s="131" t="s">
        <v>3297</v>
      </c>
      <c r="AF214" s="131" t="b">
        <v>0</v>
      </c>
      <c r="AG214" s="131" t="e">
        <v>#REF!</v>
      </c>
    </row>
    <row r="215" spans="1:33" s="131" customFormat="1" ht="18" customHeight="1" x14ac:dyDescent="0.25">
      <c r="A215" s="125">
        <v>214</v>
      </c>
      <c r="B215" s="126" t="s">
        <v>1417</v>
      </c>
      <c r="C215" s="126" t="s">
        <v>2782</v>
      </c>
      <c r="D215" s="126" t="s">
        <v>2706</v>
      </c>
      <c r="E215" s="127" t="s">
        <v>766</v>
      </c>
      <c r="F215" s="128" t="s">
        <v>2410</v>
      </c>
      <c r="G215" s="128" t="s">
        <v>3294</v>
      </c>
      <c r="H215" s="125"/>
      <c r="I215" s="125"/>
      <c r="J215" s="132" t="s">
        <v>1641</v>
      </c>
      <c r="K215" s="130"/>
      <c r="L215" s="129"/>
      <c r="M215" s="127" t="s">
        <v>759</v>
      </c>
      <c r="N215" s="127" t="s">
        <v>1641</v>
      </c>
      <c r="O215" s="127" t="s">
        <v>1427</v>
      </c>
      <c r="P215" s="127">
        <v>0</v>
      </c>
      <c r="Q215" s="127">
        <v>0</v>
      </c>
      <c r="R215" s="127">
        <v>0</v>
      </c>
      <c r="S215" s="127">
        <v>0</v>
      </c>
      <c r="T215" s="127">
        <v>2</v>
      </c>
      <c r="U215" s="127" t="s">
        <v>1485</v>
      </c>
      <c r="V215" s="127" t="s">
        <v>1417</v>
      </c>
      <c r="W215" s="127">
        <v>0</v>
      </c>
      <c r="X215" s="127">
        <v>0</v>
      </c>
      <c r="Y215" s="127">
        <v>0</v>
      </c>
      <c r="Z215" s="127">
        <v>0</v>
      </c>
      <c r="AA215" s="127" t="s">
        <v>2511</v>
      </c>
      <c r="AB215" s="131" t="s">
        <v>1680</v>
      </c>
      <c r="AC215" s="127" t="s">
        <v>2272</v>
      </c>
      <c r="AD215" s="131" t="s">
        <v>2397</v>
      </c>
      <c r="AE215" s="131" t="s">
        <v>203</v>
      </c>
      <c r="AF215" s="131" t="b">
        <v>0</v>
      </c>
      <c r="AG215" s="131" t="e">
        <v>#REF!</v>
      </c>
    </row>
    <row r="216" spans="1:33" s="131" customFormat="1" ht="18" customHeight="1" x14ac:dyDescent="0.25">
      <c r="A216" s="125">
        <v>215</v>
      </c>
      <c r="B216" s="126" t="s">
        <v>1612</v>
      </c>
      <c r="C216" s="126" t="s">
        <v>2783</v>
      </c>
      <c r="D216" s="126" t="s">
        <v>2710</v>
      </c>
      <c r="E216" s="127" t="s">
        <v>2397</v>
      </c>
      <c r="F216" s="128" t="s">
        <v>2410</v>
      </c>
      <c r="G216" s="128" t="s">
        <v>3294</v>
      </c>
      <c r="H216" s="125"/>
      <c r="I216" s="125"/>
      <c r="J216" s="132" t="s">
        <v>1641</v>
      </c>
      <c r="K216" s="130" t="s">
        <v>566</v>
      </c>
      <c r="L216" s="129"/>
      <c r="M216" s="127" t="s">
        <v>759</v>
      </c>
      <c r="N216" s="127" t="s">
        <v>1641</v>
      </c>
      <c r="O216" s="127" t="s">
        <v>1427</v>
      </c>
      <c r="P216" s="127">
        <v>0</v>
      </c>
      <c r="Q216" s="127">
        <v>0</v>
      </c>
      <c r="R216" s="127">
        <v>0</v>
      </c>
      <c r="S216" s="127">
        <v>0</v>
      </c>
      <c r="T216" s="127">
        <v>2</v>
      </c>
      <c r="U216" s="127" t="s">
        <v>566</v>
      </c>
      <c r="V216" s="127" t="s">
        <v>1612</v>
      </c>
      <c r="W216" s="127">
        <v>0</v>
      </c>
      <c r="X216" s="127">
        <v>0</v>
      </c>
      <c r="Y216" s="127">
        <v>0</v>
      </c>
      <c r="Z216" s="127">
        <v>0</v>
      </c>
      <c r="AA216" s="127" t="s">
        <v>2511</v>
      </c>
      <c r="AB216" s="131" t="s">
        <v>1682</v>
      </c>
      <c r="AC216" s="127" t="s">
        <v>2273</v>
      </c>
      <c r="AD216" s="131" t="s">
        <v>2397</v>
      </c>
      <c r="AE216" s="131" t="e">
        <v>#N/A</v>
      </c>
      <c r="AF216" s="131" t="e">
        <v>#N/A</v>
      </c>
      <c r="AG216" s="131" t="e">
        <v>#REF!</v>
      </c>
    </row>
    <row r="217" spans="1:33" s="131" customFormat="1" ht="18" customHeight="1" x14ac:dyDescent="0.25">
      <c r="A217" s="125">
        <v>216</v>
      </c>
      <c r="B217" s="136" t="s">
        <v>1629</v>
      </c>
      <c r="C217" s="126" t="s">
        <v>2784</v>
      </c>
      <c r="D217" s="126" t="s">
        <v>2706</v>
      </c>
      <c r="E217" s="127" t="s">
        <v>2397</v>
      </c>
      <c r="F217" s="134" t="s">
        <v>2410</v>
      </c>
      <c r="G217" s="128" t="s">
        <v>3294</v>
      </c>
      <c r="H217" s="125"/>
      <c r="I217" s="125"/>
      <c r="J217" s="132"/>
      <c r="K217" s="130"/>
      <c r="L217" s="129" t="s">
        <v>2551</v>
      </c>
      <c r="M217" s="127" t="s">
        <v>759</v>
      </c>
      <c r="N217" s="127" t="s">
        <v>764</v>
      </c>
      <c r="O217" s="127" t="s">
        <v>1427</v>
      </c>
      <c r="P217" s="127">
        <v>0</v>
      </c>
      <c r="Q217" s="127">
        <v>0</v>
      </c>
      <c r="R217" s="127">
        <v>0</v>
      </c>
      <c r="S217" s="127">
        <v>0</v>
      </c>
      <c r="T217" s="127">
        <v>2</v>
      </c>
      <c r="U217" s="127" t="s">
        <v>130</v>
      </c>
      <c r="V217" s="127" t="s">
        <v>1629</v>
      </c>
      <c r="W217" s="127">
        <v>0</v>
      </c>
      <c r="X217" s="127">
        <v>0</v>
      </c>
      <c r="Y217" s="127">
        <v>0</v>
      </c>
      <c r="Z217" s="127">
        <v>0</v>
      </c>
      <c r="AA217" s="127" t="s">
        <v>2511</v>
      </c>
      <c r="AB217" s="131" t="s">
        <v>1700</v>
      </c>
      <c r="AC217" s="127" t="s">
        <v>2316</v>
      </c>
      <c r="AD217" s="131" t="s">
        <v>2397</v>
      </c>
      <c r="AE217" s="131" t="e">
        <v>#N/A</v>
      </c>
      <c r="AF217" s="131" t="e">
        <v>#N/A</v>
      </c>
      <c r="AG217" s="131" t="e">
        <v>#REF!</v>
      </c>
    </row>
    <row r="218" spans="1:33" s="131" customFormat="1" ht="18" customHeight="1" x14ac:dyDescent="0.25">
      <c r="A218" s="125">
        <v>217</v>
      </c>
      <c r="B218" s="138" t="s">
        <v>1633</v>
      </c>
      <c r="C218" s="126" t="s">
        <v>2785</v>
      </c>
      <c r="D218" s="126" t="s">
        <v>2706</v>
      </c>
      <c r="E218" s="127" t="s">
        <v>2397</v>
      </c>
      <c r="F218" s="134" t="s">
        <v>2410</v>
      </c>
      <c r="G218" s="128" t="s">
        <v>3294</v>
      </c>
      <c r="H218" s="125"/>
      <c r="I218" s="125"/>
      <c r="J218" s="132"/>
      <c r="K218" s="130" t="s">
        <v>388</v>
      </c>
      <c r="L218" s="129" t="s">
        <v>2551</v>
      </c>
      <c r="M218" s="127" t="s">
        <v>2356</v>
      </c>
      <c r="N218" s="127" t="s">
        <v>764</v>
      </c>
      <c r="O218" s="127" t="s">
        <v>1427</v>
      </c>
      <c r="P218" s="127">
        <v>0</v>
      </c>
      <c r="Q218" s="127">
        <v>0</v>
      </c>
      <c r="R218" s="127">
        <v>0</v>
      </c>
      <c r="S218" s="127">
        <v>0</v>
      </c>
      <c r="T218" s="127">
        <v>2</v>
      </c>
      <c r="U218" s="127" t="s">
        <v>388</v>
      </c>
      <c r="V218" s="127" t="s">
        <v>1633</v>
      </c>
      <c r="W218" s="127">
        <v>0</v>
      </c>
      <c r="X218" s="127">
        <v>0</v>
      </c>
      <c r="Y218" s="127">
        <v>0</v>
      </c>
      <c r="Z218" s="127">
        <v>0</v>
      </c>
      <c r="AA218" s="127" t="s">
        <v>2511</v>
      </c>
      <c r="AB218" s="131" t="s">
        <v>1701</v>
      </c>
      <c r="AC218" s="127" t="s">
        <v>2318</v>
      </c>
      <c r="AD218" s="131" t="s">
        <v>2397</v>
      </c>
      <c r="AE218" s="131" t="e">
        <v>#N/A</v>
      </c>
      <c r="AF218" s="131" t="e">
        <v>#N/A</v>
      </c>
      <c r="AG218" s="131" t="e">
        <v>#REF!</v>
      </c>
    </row>
    <row r="219" spans="1:33" s="131" customFormat="1" ht="18" customHeight="1" x14ac:dyDescent="0.25">
      <c r="A219" s="125">
        <v>218</v>
      </c>
      <c r="B219" s="138" t="s">
        <v>1634</v>
      </c>
      <c r="C219" s="126" t="s">
        <v>2786</v>
      </c>
      <c r="D219" s="126" t="s">
        <v>2710</v>
      </c>
      <c r="E219" s="127" t="s">
        <v>2397</v>
      </c>
      <c r="F219" s="134" t="s">
        <v>2410</v>
      </c>
      <c r="G219" s="128" t="s">
        <v>3294</v>
      </c>
      <c r="H219" s="125"/>
      <c r="I219" s="125"/>
      <c r="J219" s="132" t="s">
        <v>1641</v>
      </c>
      <c r="K219" s="130" t="s">
        <v>206</v>
      </c>
      <c r="L219" s="129"/>
      <c r="M219" s="127" t="s">
        <v>759</v>
      </c>
      <c r="N219" s="127" t="s">
        <v>1641</v>
      </c>
      <c r="O219" s="127" t="s">
        <v>1427</v>
      </c>
      <c r="P219" s="127">
        <v>0</v>
      </c>
      <c r="Q219" s="127">
        <v>0</v>
      </c>
      <c r="R219" s="127">
        <v>0</v>
      </c>
      <c r="S219" s="127">
        <v>0</v>
      </c>
      <c r="T219" s="127">
        <v>2</v>
      </c>
      <c r="U219" s="127" t="s">
        <v>206</v>
      </c>
      <c r="V219" s="127" t="s">
        <v>1634</v>
      </c>
      <c r="W219" s="127">
        <v>0</v>
      </c>
      <c r="X219" s="127">
        <v>0</v>
      </c>
      <c r="Y219" s="127">
        <v>0</v>
      </c>
      <c r="Z219" s="127">
        <v>0</v>
      </c>
      <c r="AA219" s="127" t="s">
        <v>2511</v>
      </c>
      <c r="AB219" s="131" t="s">
        <v>1702</v>
      </c>
      <c r="AC219" s="127" t="s">
        <v>2319</v>
      </c>
      <c r="AD219" s="131" t="s">
        <v>2397</v>
      </c>
      <c r="AE219" s="131" t="s">
        <v>3297</v>
      </c>
      <c r="AF219" s="131" t="b">
        <v>0</v>
      </c>
      <c r="AG219" s="131" t="e">
        <v>#REF!</v>
      </c>
    </row>
    <row r="220" spans="1:33" s="131" customFormat="1" ht="18" customHeight="1" x14ac:dyDescent="0.25">
      <c r="A220" s="125">
        <v>219</v>
      </c>
      <c r="B220" s="138" t="s">
        <v>1635</v>
      </c>
      <c r="C220" s="126" t="s">
        <v>2787</v>
      </c>
      <c r="D220" s="126" t="s">
        <v>2710</v>
      </c>
      <c r="E220" s="127" t="s">
        <v>2397</v>
      </c>
      <c r="F220" s="134" t="s">
        <v>2410</v>
      </c>
      <c r="G220" s="128" t="s">
        <v>3294</v>
      </c>
      <c r="H220" s="125"/>
      <c r="I220" s="125"/>
      <c r="J220" s="132" t="s">
        <v>1641</v>
      </c>
      <c r="K220" s="130" t="s">
        <v>452</v>
      </c>
      <c r="L220" s="129"/>
      <c r="M220" s="127" t="s">
        <v>759</v>
      </c>
      <c r="N220" s="127" t="s">
        <v>1641</v>
      </c>
      <c r="O220" s="127" t="s">
        <v>1427</v>
      </c>
      <c r="P220" s="127">
        <v>0</v>
      </c>
      <c r="Q220" s="127">
        <v>0</v>
      </c>
      <c r="R220" s="127">
        <v>0</v>
      </c>
      <c r="S220" s="127">
        <v>0</v>
      </c>
      <c r="T220" s="127">
        <v>2</v>
      </c>
      <c r="U220" s="127" t="s">
        <v>452</v>
      </c>
      <c r="V220" s="127" t="s">
        <v>1635</v>
      </c>
      <c r="W220" s="127">
        <v>0</v>
      </c>
      <c r="X220" s="127">
        <v>0</v>
      </c>
      <c r="Y220" s="127">
        <v>0</v>
      </c>
      <c r="Z220" s="127">
        <v>0</v>
      </c>
      <c r="AA220" s="127" t="s">
        <v>2511</v>
      </c>
      <c r="AB220" s="131" t="s">
        <v>1703</v>
      </c>
      <c r="AC220" s="127" t="s">
        <v>2320</v>
      </c>
      <c r="AD220" s="131" t="s">
        <v>766</v>
      </c>
      <c r="AE220" s="131" t="s">
        <v>3297</v>
      </c>
      <c r="AF220" s="131" t="b">
        <v>0</v>
      </c>
      <c r="AG220" s="131" t="e">
        <v>#REF!</v>
      </c>
    </row>
    <row r="221" spans="1:33" s="131" customFormat="1" ht="18" customHeight="1" x14ac:dyDescent="0.25">
      <c r="A221" s="125">
        <v>220</v>
      </c>
      <c r="B221" s="138" t="s">
        <v>1636</v>
      </c>
      <c r="C221" s="126" t="s">
        <v>2788</v>
      </c>
      <c r="D221" s="126" t="s">
        <v>2706</v>
      </c>
      <c r="E221" s="127" t="s">
        <v>766</v>
      </c>
      <c r="F221" s="134" t="s">
        <v>2410</v>
      </c>
      <c r="G221" s="128" t="s">
        <v>3294</v>
      </c>
      <c r="H221" s="125"/>
      <c r="I221" s="125"/>
      <c r="J221" s="132"/>
      <c r="K221" s="130" t="s">
        <v>210</v>
      </c>
      <c r="L221" s="129" t="s">
        <v>2551</v>
      </c>
      <c r="M221" s="127" t="s">
        <v>759</v>
      </c>
      <c r="N221" s="127" t="s">
        <v>764</v>
      </c>
      <c r="O221" s="127" t="s">
        <v>1427</v>
      </c>
      <c r="P221" s="127">
        <v>0</v>
      </c>
      <c r="Q221" s="127">
        <v>0</v>
      </c>
      <c r="R221" s="127">
        <v>0</v>
      </c>
      <c r="S221" s="127">
        <v>0</v>
      </c>
      <c r="T221" s="127">
        <v>2</v>
      </c>
      <c r="U221" s="127" t="s">
        <v>210</v>
      </c>
      <c r="V221" s="127" t="s">
        <v>1636</v>
      </c>
      <c r="W221" s="127">
        <v>0</v>
      </c>
      <c r="X221" s="127">
        <v>0</v>
      </c>
      <c r="Y221" s="127">
        <v>0</v>
      </c>
      <c r="Z221" s="127">
        <v>0</v>
      </c>
      <c r="AA221" s="127" t="s">
        <v>2511</v>
      </c>
      <c r="AB221" s="131" t="s">
        <v>1704</v>
      </c>
      <c r="AC221" s="127" t="e">
        <v>#N/A</v>
      </c>
      <c r="AD221" s="131" t="s">
        <v>766</v>
      </c>
      <c r="AE221" s="131" t="s">
        <v>3297</v>
      </c>
      <c r="AF221" s="131" t="b">
        <v>0</v>
      </c>
      <c r="AG221" s="131" t="e">
        <v>#REF!</v>
      </c>
    </row>
    <row r="222" spans="1:33" s="131" customFormat="1" ht="18" customHeight="1" x14ac:dyDescent="0.25">
      <c r="A222" s="125">
        <v>221</v>
      </c>
      <c r="B222" s="126" t="s">
        <v>84</v>
      </c>
      <c r="C222" s="126" t="s">
        <v>2789</v>
      </c>
      <c r="D222" s="126" t="s">
        <v>2790</v>
      </c>
      <c r="E222" s="127" t="s">
        <v>2322</v>
      </c>
      <c r="F222" s="128" t="s">
        <v>2411</v>
      </c>
      <c r="G222" s="128" t="s">
        <v>3289</v>
      </c>
      <c r="H222" s="125"/>
      <c r="I222" s="125"/>
      <c r="J222" s="132"/>
      <c r="K222" s="130"/>
      <c r="L222" s="129" t="s">
        <v>2553</v>
      </c>
      <c r="M222" s="127" t="s">
        <v>758</v>
      </c>
      <c r="N222" s="127" t="s">
        <v>765</v>
      </c>
      <c r="O222" s="127" t="s">
        <v>1557</v>
      </c>
      <c r="P222" s="127" t="s">
        <v>812</v>
      </c>
      <c r="Q222" s="127">
        <v>0</v>
      </c>
      <c r="R222" s="127">
        <v>0</v>
      </c>
      <c r="S222" s="127">
        <v>0</v>
      </c>
      <c r="T222" s="127">
        <v>0</v>
      </c>
      <c r="U222" s="127">
        <v>0</v>
      </c>
      <c r="V222" s="127">
        <v>0</v>
      </c>
      <c r="W222" s="127">
        <v>0</v>
      </c>
      <c r="X222" s="127">
        <v>0</v>
      </c>
      <c r="Y222" s="127">
        <v>0</v>
      </c>
      <c r="Z222" s="127">
        <v>0</v>
      </c>
      <c r="AA222" s="127" t="s">
        <v>2511</v>
      </c>
      <c r="AB222" s="131" t="s">
        <v>1097</v>
      </c>
      <c r="AC222" s="127" t="s">
        <v>1916</v>
      </c>
      <c r="AD222" s="131" t="s">
        <v>2322</v>
      </c>
      <c r="AE222" s="131" t="e">
        <v>#N/A</v>
      </c>
      <c r="AF222" s="131" t="e">
        <v>#N/A</v>
      </c>
      <c r="AG222" s="131" t="e">
        <v>#REF!</v>
      </c>
    </row>
    <row r="223" spans="1:33" s="131" customFormat="1" ht="18" customHeight="1" x14ac:dyDescent="0.25">
      <c r="A223" s="125">
        <v>222</v>
      </c>
      <c r="B223" s="126" t="s">
        <v>63</v>
      </c>
      <c r="C223" s="126" t="s">
        <v>2791</v>
      </c>
      <c r="D223" s="126" t="s">
        <v>2790</v>
      </c>
      <c r="E223" s="127" t="s">
        <v>1418</v>
      </c>
      <c r="F223" s="128" t="s">
        <v>2411</v>
      </c>
      <c r="G223" s="128" t="s">
        <v>3290</v>
      </c>
      <c r="H223" s="125"/>
      <c r="I223" s="125"/>
      <c r="J223" s="132"/>
      <c r="K223" s="130"/>
      <c r="L223" s="129" t="s">
        <v>2553</v>
      </c>
      <c r="M223" s="127" t="s">
        <v>761</v>
      </c>
      <c r="N223" s="127" t="s">
        <v>764</v>
      </c>
      <c r="O223" s="127" t="s">
        <v>1427</v>
      </c>
      <c r="P223" s="127" t="s">
        <v>1554</v>
      </c>
      <c r="Q223" s="127">
        <v>0</v>
      </c>
      <c r="R223" s="127">
        <v>0</v>
      </c>
      <c r="S223" s="127">
        <v>0</v>
      </c>
      <c r="T223" s="127">
        <v>4</v>
      </c>
      <c r="U223" s="127" t="s">
        <v>1491</v>
      </c>
      <c r="V223" s="127" t="s">
        <v>63</v>
      </c>
      <c r="W223" s="127">
        <v>0</v>
      </c>
      <c r="X223" s="127">
        <v>0</v>
      </c>
      <c r="Y223" s="127">
        <v>0</v>
      </c>
      <c r="Z223" s="127" t="s">
        <v>1568</v>
      </c>
      <c r="AA223" s="127" t="s">
        <v>2510</v>
      </c>
      <c r="AB223" s="131" t="s">
        <v>1098</v>
      </c>
      <c r="AC223" s="127" t="s">
        <v>1917</v>
      </c>
      <c r="AD223" s="131" t="s">
        <v>1418</v>
      </c>
      <c r="AE223" s="131" t="e">
        <v>#N/A</v>
      </c>
      <c r="AF223" s="131" t="e">
        <v>#N/A</v>
      </c>
      <c r="AG223" s="131" t="e">
        <v>#REF!</v>
      </c>
    </row>
    <row r="224" spans="1:33" s="131" customFormat="1" ht="18" customHeight="1" x14ac:dyDescent="0.25">
      <c r="A224" s="125">
        <v>223</v>
      </c>
      <c r="B224" s="126" t="s">
        <v>64</v>
      </c>
      <c r="C224" s="126" t="s">
        <v>2792</v>
      </c>
      <c r="D224" s="126" t="s">
        <v>2790</v>
      </c>
      <c r="E224" s="127" t="s">
        <v>2322</v>
      </c>
      <c r="F224" s="128" t="s">
        <v>2411</v>
      </c>
      <c r="G224" s="128" t="s">
        <v>3289</v>
      </c>
      <c r="H224" s="125" t="s">
        <v>2390</v>
      </c>
      <c r="I224" s="125"/>
      <c r="J224" s="129"/>
      <c r="K224" s="130"/>
      <c r="L224" s="129"/>
      <c r="M224" s="127" t="s">
        <v>760</v>
      </c>
      <c r="N224" s="127" t="s">
        <v>1639</v>
      </c>
      <c r="O224" s="127" t="s">
        <v>1491</v>
      </c>
      <c r="P224" s="127" t="s">
        <v>812</v>
      </c>
      <c r="Q224" s="127">
        <v>0</v>
      </c>
      <c r="R224" s="127">
        <v>0</v>
      </c>
      <c r="S224" s="127">
        <v>0</v>
      </c>
      <c r="T224" s="127">
        <v>0</v>
      </c>
      <c r="U224" s="127">
        <v>0</v>
      </c>
      <c r="V224" s="127">
        <v>0</v>
      </c>
      <c r="W224" s="127">
        <v>0</v>
      </c>
      <c r="X224" s="127">
        <v>0</v>
      </c>
      <c r="Y224" s="127">
        <v>0</v>
      </c>
      <c r="Z224" s="127">
        <v>0</v>
      </c>
      <c r="AA224" s="127" t="s">
        <v>2511</v>
      </c>
      <c r="AB224" s="131" t="s">
        <v>1099</v>
      </c>
      <c r="AC224" s="127" t="e">
        <v>#N/A</v>
      </c>
      <c r="AD224" s="131" t="s">
        <v>2322</v>
      </c>
      <c r="AE224" s="131" t="e">
        <v>#N/A</v>
      </c>
      <c r="AF224" s="131" t="e">
        <v>#N/A</v>
      </c>
      <c r="AG224" s="131" t="e">
        <v>#REF!</v>
      </c>
    </row>
    <row r="225" spans="1:33" s="131" customFormat="1" ht="18" customHeight="1" x14ac:dyDescent="0.25">
      <c r="A225" s="125">
        <v>224</v>
      </c>
      <c r="B225" s="126" t="s">
        <v>90</v>
      </c>
      <c r="C225" s="126" t="s">
        <v>2793</v>
      </c>
      <c r="D225" s="126" t="s">
        <v>2790</v>
      </c>
      <c r="E225" s="127" t="s">
        <v>766</v>
      </c>
      <c r="F225" s="128" t="s">
        <v>2411</v>
      </c>
      <c r="G225" s="128" t="s">
        <v>3289</v>
      </c>
      <c r="H225" s="125"/>
      <c r="I225" s="125"/>
      <c r="J225" s="132"/>
      <c r="K225" s="130"/>
      <c r="L225" s="129"/>
      <c r="M225" s="127" t="s">
        <v>758</v>
      </c>
      <c r="N225" s="127" t="s">
        <v>765</v>
      </c>
      <c r="O225" s="127" t="s">
        <v>1506</v>
      </c>
      <c r="P225" s="127" t="s">
        <v>812</v>
      </c>
      <c r="Q225" s="127">
        <v>0</v>
      </c>
      <c r="R225" s="127">
        <v>0</v>
      </c>
      <c r="S225" s="127">
        <v>0</v>
      </c>
      <c r="T225" s="127">
        <v>0</v>
      </c>
      <c r="U225" s="127">
        <v>0</v>
      </c>
      <c r="V225" s="127">
        <v>0</v>
      </c>
      <c r="W225" s="127">
        <v>0</v>
      </c>
      <c r="X225" s="127">
        <v>0</v>
      </c>
      <c r="Y225" s="127">
        <v>0</v>
      </c>
      <c r="Z225" s="127">
        <v>0</v>
      </c>
      <c r="AA225" s="127" t="s">
        <v>2511</v>
      </c>
      <c r="AB225" s="131" t="s">
        <v>1101</v>
      </c>
      <c r="AC225" s="127" t="s">
        <v>1918</v>
      </c>
      <c r="AD225" s="131" t="s">
        <v>766</v>
      </c>
      <c r="AE225" s="131" t="e">
        <v>#N/A</v>
      </c>
      <c r="AF225" s="131" t="e">
        <v>#N/A</v>
      </c>
      <c r="AG225" s="131" t="e">
        <v>#REF!</v>
      </c>
    </row>
    <row r="226" spans="1:33" s="131" customFormat="1" ht="18" customHeight="1" x14ac:dyDescent="0.25">
      <c r="A226" s="125">
        <v>225</v>
      </c>
      <c r="B226" s="126" t="s">
        <v>65</v>
      </c>
      <c r="C226" s="126" t="s">
        <v>2794</v>
      </c>
      <c r="D226" s="126" t="s">
        <v>2790</v>
      </c>
      <c r="E226" s="127" t="s">
        <v>1418</v>
      </c>
      <c r="F226" s="128" t="s">
        <v>2410</v>
      </c>
      <c r="G226" s="128" t="s">
        <v>3290</v>
      </c>
      <c r="H226" s="125"/>
      <c r="I226" s="125"/>
      <c r="J226" s="132" t="s">
        <v>1641</v>
      </c>
      <c r="K226" s="130" t="s">
        <v>67</v>
      </c>
      <c r="L226" s="129"/>
      <c r="M226" s="127" t="s">
        <v>2356</v>
      </c>
      <c r="N226" s="127" t="s">
        <v>1641</v>
      </c>
      <c r="O226" s="127" t="s">
        <v>1427</v>
      </c>
      <c r="P226" s="127">
        <v>0</v>
      </c>
      <c r="Q226" s="127">
        <v>0</v>
      </c>
      <c r="R226" s="127">
        <v>0</v>
      </c>
      <c r="S226" s="127">
        <v>0</v>
      </c>
      <c r="T226" s="127">
        <v>4</v>
      </c>
      <c r="U226" s="127" t="s">
        <v>1492</v>
      </c>
      <c r="V226" s="127" t="s">
        <v>65</v>
      </c>
      <c r="W226" s="127">
        <v>0</v>
      </c>
      <c r="X226" s="127">
        <v>0</v>
      </c>
      <c r="Y226" s="127">
        <v>0</v>
      </c>
      <c r="Z226" s="127">
        <v>0</v>
      </c>
      <c r="AA226" s="127" t="s">
        <v>2511</v>
      </c>
      <c r="AB226" s="131" t="s">
        <v>1102</v>
      </c>
      <c r="AC226" s="127" t="s">
        <v>1919</v>
      </c>
      <c r="AD226" s="131" t="s">
        <v>1418</v>
      </c>
      <c r="AE226" s="131" t="s">
        <v>67</v>
      </c>
      <c r="AF226" s="131" t="b">
        <v>1</v>
      </c>
      <c r="AG226" s="131" t="e">
        <v>#REF!</v>
      </c>
    </row>
    <row r="227" spans="1:33" s="131" customFormat="1" ht="18" customHeight="1" x14ac:dyDescent="0.25">
      <c r="A227" s="125">
        <v>226</v>
      </c>
      <c r="B227" s="126" t="s">
        <v>91</v>
      </c>
      <c r="C227" s="126" t="s">
        <v>2795</v>
      </c>
      <c r="D227" s="126" t="s">
        <v>2796</v>
      </c>
      <c r="E227" s="127" t="s">
        <v>766</v>
      </c>
      <c r="F227" s="128" t="s">
        <v>2411</v>
      </c>
      <c r="G227" s="128" t="s">
        <v>3289</v>
      </c>
      <c r="H227" s="125"/>
      <c r="I227" s="125"/>
      <c r="J227" s="132"/>
      <c r="K227" s="130"/>
      <c r="L227" s="129"/>
      <c r="M227" s="127" t="s">
        <v>758</v>
      </c>
      <c r="N227" s="127" t="s">
        <v>765</v>
      </c>
      <c r="O227" s="127" t="s">
        <v>1558</v>
      </c>
      <c r="P227" s="127" t="s">
        <v>812</v>
      </c>
      <c r="Q227" s="127">
        <v>0</v>
      </c>
      <c r="R227" s="127">
        <v>0</v>
      </c>
      <c r="S227" s="127">
        <v>0</v>
      </c>
      <c r="T227" s="127">
        <v>0</v>
      </c>
      <c r="U227" s="127">
        <v>0</v>
      </c>
      <c r="V227" s="127">
        <v>0</v>
      </c>
      <c r="W227" s="127">
        <v>0</v>
      </c>
      <c r="X227" s="127">
        <v>0</v>
      </c>
      <c r="Y227" s="127">
        <v>0</v>
      </c>
      <c r="Z227" s="127">
        <v>0</v>
      </c>
      <c r="AA227" s="127" t="s">
        <v>2510</v>
      </c>
      <c r="AB227" s="131" t="s">
        <v>1103</v>
      </c>
      <c r="AC227" s="127" t="s">
        <v>1920</v>
      </c>
      <c r="AD227" s="131" t="s">
        <v>766</v>
      </c>
      <c r="AE227" s="131" t="e">
        <v>#N/A</v>
      </c>
      <c r="AF227" s="131" t="e">
        <v>#N/A</v>
      </c>
      <c r="AG227" s="131" t="e">
        <v>#REF!</v>
      </c>
    </row>
    <row r="228" spans="1:33" s="131" customFormat="1" ht="15.75" x14ac:dyDescent="0.25">
      <c r="A228" s="125">
        <v>227</v>
      </c>
      <c r="B228" s="126" t="s">
        <v>10</v>
      </c>
      <c r="C228" s="126" t="s">
        <v>2797</v>
      </c>
      <c r="D228" s="126" t="s">
        <v>2798</v>
      </c>
      <c r="E228" s="127" t="s">
        <v>1418</v>
      </c>
      <c r="F228" s="128" t="s">
        <v>2411</v>
      </c>
      <c r="G228" s="128" t="s">
        <v>3289</v>
      </c>
      <c r="H228" s="125"/>
      <c r="I228" s="125"/>
      <c r="J228" s="132"/>
      <c r="K228" s="130"/>
      <c r="L228" s="129"/>
      <c r="M228" s="127" t="s">
        <v>758</v>
      </c>
      <c r="N228" s="127" t="s">
        <v>765</v>
      </c>
      <c r="O228" s="127" t="s">
        <v>1559</v>
      </c>
      <c r="P228" s="127" t="s">
        <v>812</v>
      </c>
      <c r="Q228" s="127">
        <v>0</v>
      </c>
      <c r="R228" s="127">
        <v>0</v>
      </c>
      <c r="S228" s="127">
        <v>0</v>
      </c>
      <c r="T228" s="127">
        <v>0</v>
      </c>
      <c r="U228" s="127">
        <v>0</v>
      </c>
      <c r="V228" s="127">
        <v>0</v>
      </c>
      <c r="W228" s="127">
        <v>0</v>
      </c>
      <c r="X228" s="127">
        <v>0</v>
      </c>
      <c r="Y228" s="127">
        <v>0</v>
      </c>
      <c r="Z228" s="127">
        <v>0</v>
      </c>
      <c r="AA228" s="127" t="s">
        <v>2511</v>
      </c>
      <c r="AB228" s="131" t="s">
        <v>1104</v>
      </c>
      <c r="AC228" s="127" t="s">
        <v>1921</v>
      </c>
      <c r="AD228" s="131" t="s">
        <v>1418</v>
      </c>
      <c r="AE228" s="131" t="e">
        <v>#N/A</v>
      </c>
      <c r="AF228" s="131" t="e">
        <v>#N/A</v>
      </c>
      <c r="AG228" s="131" t="e">
        <v>#REF!</v>
      </c>
    </row>
    <row r="229" spans="1:33" s="131" customFormat="1" ht="18" customHeight="1" x14ac:dyDescent="0.25">
      <c r="A229" s="125">
        <v>228</v>
      </c>
      <c r="B229" s="126" t="s">
        <v>92</v>
      </c>
      <c r="C229" s="126" t="s">
        <v>2799</v>
      </c>
      <c r="D229" s="126" t="s">
        <v>2790</v>
      </c>
      <c r="E229" s="127" t="s">
        <v>766</v>
      </c>
      <c r="F229" s="128" t="s">
        <v>2521</v>
      </c>
      <c r="G229" s="128" t="s">
        <v>3289</v>
      </c>
      <c r="H229" s="125"/>
      <c r="I229" s="125"/>
      <c r="J229" s="127" t="s">
        <v>2520</v>
      </c>
      <c r="K229" s="130"/>
      <c r="L229" s="129"/>
      <c r="M229" s="127" t="s">
        <v>758</v>
      </c>
      <c r="N229" s="127" t="s">
        <v>2520</v>
      </c>
      <c r="O229" s="127" t="s">
        <v>1560</v>
      </c>
      <c r="P229" s="127" t="s">
        <v>812</v>
      </c>
      <c r="Q229" s="127">
        <v>0</v>
      </c>
      <c r="R229" s="127">
        <v>0</v>
      </c>
      <c r="S229" s="127">
        <v>0</v>
      </c>
      <c r="T229" s="127">
        <v>0</v>
      </c>
      <c r="U229" s="127">
        <v>0</v>
      </c>
      <c r="V229" s="127">
        <v>0</v>
      </c>
      <c r="W229" s="127">
        <v>0</v>
      </c>
      <c r="X229" s="127">
        <v>0</v>
      </c>
      <c r="Y229" s="127">
        <v>0</v>
      </c>
      <c r="Z229" s="127">
        <v>0</v>
      </c>
      <c r="AA229" s="127" t="s">
        <v>2510</v>
      </c>
      <c r="AB229" s="131" t="s">
        <v>1105</v>
      </c>
      <c r="AC229" s="127" t="s">
        <v>1922</v>
      </c>
      <c r="AD229" s="131" t="s">
        <v>766</v>
      </c>
      <c r="AE229" s="131" t="e">
        <v>#N/A</v>
      </c>
      <c r="AF229" s="131" t="e">
        <v>#N/A</v>
      </c>
      <c r="AG229" s="131" t="e">
        <v>#REF!</v>
      </c>
    </row>
    <row r="230" spans="1:33" s="131" customFormat="1" ht="18" customHeight="1" x14ac:dyDescent="0.25">
      <c r="A230" s="125">
        <v>229</v>
      </c>
      <c r="B230" s="126" t="s">
        <v>93</v>
      </c>
      <c r="C230" s="126" t="s">
        <v>2800</v>
      </c>
      <c r="D230" s="126" t="s">
        <v>2796</v>
      </c>
      <c r="E230" s="127" t="s">
        <v>766</v>
      </c>
      <c r="F230" s="128" t="s">
        <v>2411</v>
      </c>
      <c r="G230" s="128" t="s">
        <v>3289</v>
      </c>
      <c r="H230" s="125" t="s">
        <v>952</v>
      </c>
      <c r="I230" s="125"/>
      <c r="J230" s="129"/>
      <c r="K230" s="130"/>
      <c r="L230" s="129"/>
      <c r="M230" s="127" t="s">
        <v>759</v>
      </c>
      <c r="N230" s="127" t="s">
        <v>1639</v>
      </c>
      <c r="O230" s="127" t="s">
        <v>1500</v>
      </c>
      <c r="P230" s="127" t="s">
        <v>812</v>
      </c>
      <c r="Q230" s="127">
        <v>0</v>
      </c>
      <c r="R230" s="127">
        <v>0</v>
      </c>
      <c r="S230" s="127">
        <v>0</v>
      </c>
      <c r="T230" s="127">
        <v>0</v>
      </c>
      <c r="U230" s="127">
        <v>0</v>
      </c>
      <c r="V230" s="127">
        <v>0</v>
      </c>
      <c r="W230" s="127">
        <v>0</v>
      </c>
      <c r="X230" s="127">
        <v>0</v>
      </c>
      <c r="Y230" s="127">
        <v>0</v>
      </c>
      <c r="Z230" s="127">
        <v>0</v>
      </c>
      <c r="AA230" s="127" t="s">
        <v>2511</v>
      </c>
      <c r="AB230" s="131" t="s">
        <v>1106</v>
      </c>
      <c r="AC230" s="127" t="s">
        <v>1923</v>
      </c>
      <c r="AD230" s="131" t="s">
        <v>766</v>
      </c>
      <c r="AE230" s="131" t="e">
        <v>#N/A</v>
      </c>
      <c r="AF230" s="131" t="e">
        <v>#N/A</v>
      </c>
      <c r="AG230" s="131" t="e">
        <v>#REF!</v>
      </c>
    </row>
    <row r="231" spans="1:33" s="131" customFormat="1" ht="18" customHeight="1" x14ac:dyDescent="0.25">
      <c r="A231" s="125">
        <v>230</v>
      </c>
      <c r="B231" s="126" t="s">
        <v>94</v>
      </c>
      <c r="C231" s="126" t="s">
        <v>2801</v>
      </c>
      <c r="D231" s="126" t="s">
        <v>2796</v>
      </c>
      <c r="E231" s="127" t="s">
        <v>766</v>
      </c>
      <c r="F231" s="128" t="s">
        <v>2410</v>
      </c>
      <c r="G231" s="128" t="s">
        <v>3290</v>
      </c>
      <c r="H231" s="125"/>
      <c r="I231" s="125" t="s">
        <v>934</v>
      </c>
      <c r="J231" s="132"/>
      <c r="K231" s="130" t="s">
        <v>97</v>
      </c>
      <c r="L231" s="129"/>
      <c r="M231" s="127" t="s">
        <v>2334</v>
      </c>
      <c r="N231" s="127" t="s">
        <v>770</v>
      </c>
      <c r="O231" s="127" t="s">
        <v>1553</v>
      </c>
      <c r="P231" s="127">
        <v>0</v>
      </c>
      <c r="Q231" s="127">
        <v>2</v>
      </c>
      <c r="R231" s="127" t="s">
        <v>1493</v>
      </c>
      <c r="S231" s="127" t="s">
        <v>94</v>
      </c>
      <c r="T231" s="127">
        <v>0</v>
      </c>
      <c r="U231" s="127">
        <v>0</v>
      </c>
      <c r="V231" s="127">
        <v>0</v>
      </c>
      <c r="W231" s="127" t="s">
        <v>1494</v>
      </c>
      <c r="X231" s="127" t="s">
        <v>94</v>
      </c>
      <c r="Y231" s="127" t="s">
        <v>1436</v>
      </c>
      <c r="Z231" s="127">
        <v>0</v>
      </c>
      <c r="AA231" s="127" t="s">
        <v>2511</v>
      </c>
      <c r="AB231" s="131" t="s">
        <v>1107</v>
      </c>
      <c r="AC231" s="127" t="s">
        <v>1924</v>
      </c>
      <c r="AD231" s="131" t="s">
        <v>766</v>
      </c>
      <c r="AE231" s="131" t="e">
        <v>#N/A</v>
      </c>
      <c r="AF231" s="131" t="e">
        <v>#N/A</v>
      </c>
      <c r="AG231" s="131" t="e">
        <v>#REF!</v>
      </c>
    </row>
    <row r="232" spans="1:33" s="131" customFormat="1" ht="18" customHeight="1" x14ac:dyDescent="0.25">
      <c r="A232" s="125">
        <v>231</v>
      </c>
      <c r="B232" s="126" t="s">
        <v>131</v>
      </c>
      <c r="C232" s="126" t="s">
        <v>2802</v>
      </c>
      <c r="D232" s="126" t="s">
        <v>2796</v>
      </c>
      <c r="E232" s="127" t="s">
        <v>766</v>
      </c>
      <c r="F232" s="128" t="s">
        <v>2410</v>
      </c>
      <c r="G232" s="128" t="s">
        <v>3290</v>
      </c>
      <c r="H232" s="125"/>
      <c r="I232" s="125"/>
      <c r="J232" s="132"/>
      <c r="K232" s="130" t="s">
        <v>91</v>
      </c>
      <c r="L232" s="129" t="s">
        <v>2554</v>
      </c>
      <c r="M232" s="127" t="s">
        <v>2356</v>
      </c>
      <c r="N232" s="127" t="s">
        <v>764</v>
      </c>
      <c r="O232" s="127" t="s">
        <v>1553</v>
      </c>
      <c r="P232" s="127">
        <v>0</v>
      </c>
      <c r="Q232" s="127">
        <v>2</v>
      </c>
      <c r="R232" s="127" t="s">
        <v>1558</v>
      </c>
      <c r="S232" s="127" t="s">
        <v>131</v>
      </c>
      <c r="T232" s="127">
        <v>0</v>
      </c>
      <c r="U232" s="127">
        <v>0</v>
      </c>
      <c r="V232" s="127">
        <v>0</v>
      </c>
      <c r="W232" s="127" t="s">
        <v>801</v>
      </c>
      <c r="X232" s="127" t="s">
        <v>131</v>
      </c>
      <c r="Y232" s="127" t="s">
        <v>1569</v>
      </c>
      <c r="Z232" s="127" t="s">
        <v>1568</v>
      </c>
      <c r="AA232" s="127" t="s">
        <v>2511</v>
      </c>
      <c r="AB232" s="131" t="s">
        <v>2337</v>
      </c>
      <c r="AC232" s="127"/>
      <c r="AD232" s="131" t="s">
        <v>766</v>
      </c>
      <c r="AE232" s="131" t="e">
        <v>#N/A</v>
      </c>
      <c r="AF232" s="131" t="e">
        <v>#N/A</v>
      </c>
      <c r="AG232" s="131" t="e">
        <v>#REF!</v>
      </c>
    </row>
    <row r="233" spans="1:33" s="131" customFormat="1" ht="18" customHeight="1" x14ac:dyDescent="0.25">
      <c r="A233" s="125">
        <v>232</v>
      </c>
      <c r="B233" s="126" t="s">
        <v>66</v>
      </c>
      <c r="C233" s="126" t="s">
        <v>2803</v>
      </c>
      <c r="D233" s="126" t="s">
        <v>2790</v>
      </c>
      <c r="E233" s="127" t="s">
        <v>1418</v>
      </c>
      <c r="F233" s="128" t="s">
        <v>2411</v>
      </c>
      <c r="G233" s="128" t="s">
        <v>3289</v>
      </c>
      <c r="H233" s="125"/>
      <c r="I233" s="125"/>
      <c r="J233" s="132"/>
      <c r="K233" s="130"/>
      <c r="L233" s="129" t="s">
        <v>2551</v>
      </c>
      <c r="M233" s="127" t="s">
        <v>2356</v>
      </c>
      <c r="N233" s="127" t="s">
        <v>2356</v>
      </c>
      <c r="O233" s="127" t="s">
        <v>1561</v>
      </c>
      <c r="P233" s="127" t="s">
        <v>812</v>
      </c>
      <c r="Q233" s="127">
        <v>0</v>
      </c>
      <c r="R233" s="127">
        <v>0</v>
      </c>
      <c r="S233" s="127">
        <v>0</v>
      </c>
      <c r="T233" s="127">
        <v>0</v>
      </c>
      <c r="U233" s="127">
        <v>0</v>
      </c>
      <c r="V233" s="127">
        <v>0</v>
      </c>
      <c r="W233" s="127">
        <v>0</v>
      </c>
      <c r="X233" s="127">
        <v>0</v>
      </c>
      <c r="Y233" s="127">
        <v>0</v>
      </c>
      <c r="Z233" s="127">
        <v>0</v>
      </c>
      <c r="AA233" s="127" t="s">
        <v>2511</v>
      </c>
      <c r="AB233" s="131" t="s">
        <v>1109</v>
      </c>
      <c r="AC233" s="127" t="s">
        <v>2274</v>
      </c>
      <c r="AD233" s="131" t="s">
        <v>1418</v>
      </c>
      <c r="AE233" s="131" t="e">
        <v>#N/A</v>
      </c>
      <c r="AF233" s="131" t="e">
        <v>#N/A</v>
      </c>
      <c r="AG233" s="131" t="e">
        <v>#REF!</v>
      </c>
    </row>
    <row r="234" spans="1:33" s="131" customFormat="1" ht="18" customHeight="1" x14ac:dyDescent="0.25">
      <c r="A234" s="125">
        <v>233</v>
      </c>
      <c r="B234" s="126" t="s">
        <v>85</v>
      </c>
      <c r="C234" s="126" t="s">
        <v>2804</v>
      </c>
      <c r="D234" s="126" t="s">
        <v>2790</v>
      </c>
      <c r="E234" s="127" t="s">
        <v>2322</v>
      </c>
      <c r="F234" s="128" t="s">
        <v>2411</v>
      </c>
      <c r="G234" s="128" t="s">
        <v>3289</v>
      </c>
      <c r="H234" s="125"/>
      <c r="I234" s="125"/>
      <c r="J234" s="132"/>
      <c r="K234" s="130"/>
      <c r="L234" s="129" t="s">
        <v>2553</v>
      </c>
      <c r="M234" s="127" t="s">
        <v>761</v>
      </c>
      <c r="N234" s="127" t="s">
        <v>764</v>
      </c>
      <c r="O234" s="127" t="s">
        <v>3301</v>
      </c>
      <c r="P234" s="127" t="s">
        <v>812</v>
      </c>
      <c r="Q234" s="127">
        <v>0</v>
      </c>
      <c r="R234" s="127">
        <v>0</v>
      </c>
      <c r="S234" s="127">
        <v>0</v>
      </c>
      <c r="T234" s="127">
        <v>0</v>
      </c>
      <c r="U234" s="127">
        <v>0</v>
      </c>
      <c r="V234" s="127">
        <v>0</v>
      </c>
      <c r="W234" s="127">
        <v>0</v>
      </c>
      <c r="X234" s="127">
        <v>0</v>
      </c>
      <c r="Y234" s="127">
        <v>0</v>
      </c>
      <c r="Z234" s="127">
        <v>0</v>
      </c>
      <c r="AA234" s="127" t="s">
        <v>2511</v>
      </c>
      <c r="AB234" s="131" t="s">
        <v>655</v>
      </c>
      <c r="AC234" s="127" t="s">
        <v>1925</v>
      </c>
      <c r="AD234" s="131" t="s">
        <v>2322</v>
      </c>
      <c r="AE234" s="131" t="e">
        <v>#N/A</v>
      </c>
      <c r="AF234" s="131" t="e">
        <v>#N/A</v>
      </c>
      <c r="AG234" s="131" t="e">
        <v>#REF!</v>
      </c>
    </row>
    <row r="235" spans="1:33" s="131" customFormat="1" ht="18" customHeight="1" x14ac:dyDescent="0.25">
      <c r="A235" s="125">
        <v>234</v>
      </c>
      <c r="B235" s="126" t="s">
        <v>95</v>
      </c>
      <c r="C235" s="126" t="s">
        <v>2805</v>
      </c>
      <c r="D235" s="126" t="s">
        <v>2790</v>
      </c>
      <c r="E235" s="127" t="s">
        <v>2322</v>
      </c>
      <c r="F235" s="128" t="s">
        <v>2411</v>
      </c>
      <c r="G235" s="128" t="s">
        <v>3289</v>
      </c>
      <c r="H235" s="125"/>
      <c r="I235" s="125"/>
      <c r="J235" s="132"/>
      <c r="K235" s="130"/>
      <c r="L235" s="129"/>
      <c r="M235" s="127" t="s">
        <v>758</v>
      </c>
      <c r="N235" s="127" t="s">
        <v>765</v>
      </c>
      <c r="O235" s="127" t="s">
        <v>1562</v>
      </c>
      <c r="P235" s="127" t="s">
        <v>812</v>
      </c>
      <c r="Q235" s="127">
        <v>0</v>
      </c>
      <c r="R235" s="127">
        <v>0</v>
      </c>
      <c r="S235" s="127">
        <v>0</v>
      </c>
      <c r="T235" s="127">
        <v>0</v>
      </c>
      <c r="U235" s="127">
        <v>0</v>
      </c>
      <c r="V235" s="127">
        <v>0</v>
      </c>
      <c r="W235" s="127">
        <v>0</v>
      </c>
      <c r="X235" s="127">
        <v>0</v>
      </c>
      <c r="Y235" s="127">
        <v>0</v>
      </c>
      <c r="Z235" s="127">
        <v>0</v>
      </c>
      <c r="AA235" s="127" t="s">
        <v>2511</v>
      </c>
      <c r="AB235" s="131" t="s">
        <v>1110</v>
      </c>
      <c r="AC235" s="127" t="s">
        <v>1926</v>
      </c>
      <c r="AD235" s="131" t="s">
        <v>2322</v>
      </c>
      <c r="AE235" s="131" t="e">
        <v>#N/A</v>
      </c>
      <c r="AF235" s="131" t="e">
        <v>#N/A</v>
      </c>
      <c r="AG235" s="131" t="e">
        <v>#REF!</v>
      </c>
    </row>
    <row r="236" spans="1:33" s="131" customFormat="1" ht="18" customHeight="1" x14ac:dyDescent="0.25">
      <c r="A236" s="125">
        <v>235</v>
      </c>
      <c r="B236" s="126" t="s">
        <v>67</v>
      </c>
      <c r="C236" s="126" t="s">
        <v>2806</v>
      </c>
      <c r="D236" s="126" t="s">
        <v>2790</v>
      </c>
      <c r="E236" s="127" t="s">
        <v>2322</v>
      </c>
      <c r="F236" s="128" t="s">
        <v>2411</v>
      </c>
      <c r="G236" s="128" t="s">
        <v>3289</v>
      </c>
      <c r="H236" s="125"/>
      <c r="I236" s="125"/>
      <c r="J236" s="132" t="s">
        <v>1641</v>
      </c>
      <c r="K236" s="130"/>
      <c r="L236" s="129"/>
      <c r="M236" s="127" t="s">
        <v>2356</v>
      </c>
      <c r="N236" s="127" t="s">
        <v>1641</v>
      </c>
      <c r="O236" s="127" t="s">
        <v>1492</v>
      </c>
      <c r="P236" s="127" t="s">
        <v>812</v>
      </c>
      <c r="Q236" s="127">
        <v>0</v>
      </c>
      <c r="R236" s="127">
        <v>0</v>
      </c>
      <c r="S236" s="127">
        <v>0</v>
      </c>
      <c r="T236" s="127">
        <v>0</v>
      </c>
      <c r="U236" s="127">
        <v>0</v>
      </c>
      <c r="V236" s="127">
        <v>0</v>
      </c>
      <c r="W236" s="127">
        <v>0</v>
      </c>
      <c r="X236" s="127">
        <v>0</v>
      </c>
      <c r="Y236" s="127">
        <v>0</v>
      </c>
      <c r="Z236" s="127">
        <v>0</v>
      </c>
      <c r="AA236" s="127" t="s">
        <v>2511</v>
      </c>
      <c r="AB236" s="131" t="s">
        <v>1111</v>
      </c>
      <c r="AC236" s="127" t="s">
        <v>1927</v>
      </c>
      <c r="AD236" s="131" t="s">
        <v>2322</v>
      </c>
      <c r="AE236" s="131" t="e">
        <v>#N/A</v>
      </c>
      <c r="AF236" s="131" t="e">
        <v>#N/A</v>
      </c>
      <c r="AG236" s="131" t="e">
        <v>#REF!</v>
      </c>
    </row>
    <row r="237" spans="1:33" s="131" customFormat="1" ht="15.75" x14ac:dyDescent="0.25">
      <c r="A237" s="125">
        <v>236</v>
      </c>
      <c r="B237" s="126" t="s">
        <v>68</v>
      </c>
      <c r="C237" s="126" t="s">
        <v>2807</v>
      </c>
      <c r="D237" s="126" t="s">
        <v>2790</v>
      </c>
      <c r="E237" s="127" t="s">
        <v>1418</v>
      </c>
      <c r="F237" s="128" t="s">
        <v>2410</v>
      </c>
      <c r="G237" s="128" t="s">
        <v>3290</v>
      </c>
      <c r="H237" s="125"/>
      <c r="I237" s="125"/>
      <c r="J237" s="127" t="s">
        <v>2520</v>
      </c>
      <c r="K237" s="130" t="s">
        <v>14</v>
      </c>
      <c r="L237" s="129"/>
      <c r="M237" s="127" t="s">
        <v>758</v>
      </c>
      <c r="N237" s="127" t="s">
        <v>2520</v>
      </c>
      <c r="O237" s="127" t="s">
        <v>1553</v>
      </c>
      <c r="P237" s="127">
        <v>0</v>
      </c>
      <c r="Q237" s="127">
        <v>2</v>
      </c>
      <c r="R237" s="127" t="s">
        <v>1496</v>
      </c>
      <c r="S237" s="127" t="s">
        <v>68</v>
      </c>
      <c r="T237" s="127">
        <v>0</v>
      </c>
      <c r="U237" s="127">
        <v>0</v>
      </c>
      <c r="V237" s="127">
        <v>0</v>
      </c>
      <c r="W237" s="127">
        <v>0</v>
      </c>
      <c r="X237" s="127">
        <v>0</v>
      </c>
      <c r="Y237" s="127">
        <v>0</v>
      </c>
      <c r="Z237" s="127">
        <v>0</v>
      </c>
      <c r="AA237" s="127" t="s">
        <v>2511</v>
      </c>
      <c r="AB237" s="131" t="s">
        <v>1112</v>
      </c>
      <c r="AC237" s="127" t="s">
        <v>1928</v>
      </c>
      <c r="AD237" s="131" t="s">
        <v>1418</v>
      </c>
      <c r="AE237" s="131" t="s">
        <v>14</v>
      </c>
      <c r="AF237" s="131" t="b">
        <v>1</v>
      </c>
      <c r="AG237" s="131" t="e">
        <v>#REF!</v>
      </c>
    </row>
    <row r="238" spans="1:33" s="131" customFormat="1" ht="18" customHeight="1" x14ac:dyDescent="0.25">
      <c r="A238" s="125">
        <v>237</v>
      </c>
      <c r="B238" s="126" t="s">
        <v>96</v>
      </c>
      <c r="C238" s="126" t="s">
        <v>2808</v>
      </c>
      <c r="D238" s="126" t="s">
        <v>2790</v>
      </c>
      <c r="E238" s="127" t="s">
        <v>1418</v>
      </c>
      <c r="F238" s="128" t="s">
        <v>2411</v>
      </c>
      <c r="G238" s="128" t="s">
        <v>3289</v>
      </c>
      <c r="H238" s="125"/>
      <c r="I238" s="125"/>
      <c r="J238" s="132"/>
      <c r="K238" s="130"/>
      <c r="L238" s="129" t="s">
        <v>2553</v>
      </c>
      <c r="M238" s="127" t="s">
        <v>758</v>
      </c>
      <c r="N238" s="127" t="s">
        <v>765</v>
      </c>
      <c r="O238" s="127" t="s">
        <v>799</v>
      </c>
      <c r="P238" s="127" t="s">
        <v>812</v>
      </c>
      <c r="Q238" s="127">
        <v>0</v>
      </c>
      <c r="R238" s="127">
        <v>0</v>
      </c>
      <c r="S238" s="127">
        <v>0</v>
      </c>
      <c r="T238" s="127">
        <v>0</v>
      </c>
      <c r="U238" s="127">
        <v>0</v>
      </c>
      <c r="V238" s="127">
        <v>0</v>
      </c>
      <c r="W238" s="127">
        <v>0</v>
      </c>
      <c r="X238" s="127">
        <v>0</v>
      </c>
      <c r="Y238" s="127">
        <v>0</v>
      </c>
      <c r="Z238" s="127">
        <v>0</v>
      </c>
      <c r="AA238" s="127" t="s">
        <v>2511</v>
      </c>
      <c r="AB238" s="131" t="s">
        <v>1113</v>
      </c>
      <c r="AC238" s="127" t="s">
        <v>1929</v>
      </c>
      <c r="AD238" s="131" t="s">
        <v>1418</v>
      </c>
      <c r="AE238" s="131" t="e">
        <v>#N/A</v>
      </c>
      <c r="AF238" s="131" t="e">
        <v>#N/A</v>
      </c>
      <c r="AG238" s="131" t="e">
        <v>#REF!</v>
      </c>
    </row>
    <row r="239" spans="1:33" s="131" customFormat="1" ht="18" customHeight="1" x14ac:dyDescent="0.25">
      <c r="A239" s="125">
        <v>238</v>
      </c>
      <c r="B239" s="126" t="s">
        <v>97</v>
      </c>
      <c r="C239" s="126" t="s">
        <v>2809</v>
      </c>
      <c r="D239" s="126" t="s">
        <v>2796</v>
      </c>
      <c r="E239" s="127" t="s">
        <v>766</v>
      </c>
      <c r="F239" s="128" t="s">
        <v>2411</v>
      </c>
      <c r="G239" s="128" t="s">
        <v>3289</v>
      </c>
      <c r="H239" s="125"/>
      <c r="I239" s="125"/>
      <c r="J239" s="132"/>
      <c r="K239" s="130"/>
      <c r="L239" s="129" t="s">
        <v>2554</v>
      </c>
      <c r="M239" s="127" t="s">
        <v>758</v>
      </c>
      <c r="N239" s="127" t="s">
        <v>765</v>
      </c>
      <c r="O239" s="127" t="s">
        <v>1493</v>
      </c>
      <c r="P239" s="127" t="s">
        <v>812</v>
      </c>
      <c r="Q239" s="127">
        <v>0</v>
      </c>
      <c r="R239" s="127">
        <v>0</v>
      </c>
      <c r="S239" s="127">
        <v>0</v>
      </c>
      <c r="T239" s="127">
        <v>0</v>
      </c>
      <c r="U239" s="127">
        <v>0</v>
      </c>
      <c r="V239" s="127">
        <v>0</v>
      </c>
      <c r="W239" s="127">
        <v>0</v>
      </c>
      <c r="X239" s="127">
        <v>0</v>
      </c>
      <c r="Y239" s="127">
        <v>0</v>
      </c>
      <c r="Z239" s="127">
        <v>0</v>
      </c>
      <c r="AA239" s="127" t="s">
        <v>2511</v>
      </c>
      <c r="AB239" s="131" t="s">
        <v>1114</v>
      </c>
      <c r="AC239" s="127" t="s">
        <v>1930</v>
      </c>
      <c r="AD239" s="131" t="s">
        <v>766</v>
      </c>
      <c r="AE239" s="131" t="e">
        <v>#N/A</v>
      </c>
      <c r="AF239" s="131" t="e">
        <v>#N/A</v>
      </c>
      <c r="AG239" s="131" t="e">
        <v>#REF!</v>
      </c>
    </row>
    <row r="240" spans="1:33" s="131" customFormat="1" ht="15.75" x14ac:dyDescent="0.25">
      <c r="A240" s="125">
        <v>239</v>
      </c>
      <c r="B240" s="126" t="s">
        <v>11</v>
      </c>
      <c r="C240" s="126" t="s">
        <v>2810</v>
      </c>
      <c r="D240" s="126" t="s">
        <v>2798</v>
      </c>
      <c r="E240" s="127" t="s">
        <v>1418</v>
      </c>
      <c r="F240" s="128" t="s">
        <v>2411</v>
      </c>
      <c r="G240" s="128" t="s">
        <v>3289</v>
      </c>
      <c r="H240" s="125"/>
      <c r="I240" s="125"/>
      <c r="J240" s="132"/>
      <c r="K240" s="130"/>
      <c r="L240" s="129" t="s">
        <v>2552</v>
      </c>
      <c r="M240" s="127" t="s">
        <v>758</v>
      </c>
      <c r="N240" s="127" t="s">
        <v>765</v>
      </c>
      <c r="O240" s="127" t="s">
        <v>3302</v>
      </c>
      <c r="P240" s="127" t="s">
        <v>812</v>
      </c>
      <c r="Q240" s="127">
        <v>0</v>
      </c>
      <c r="R240" s="127">
        <v>0</v>
      </c>
      <c r="S240" s="127">
        <v>0</v>
      </c>
      <c r="T240" s="127">
        <v>0</v>
      </c>
      <c r="U240" s="127">
        <v>0</v>
      </c>
      <c r="V240" s="127">
        <v>0</v>
      </c>
      <c r="W240" s="127">
        <v>0</v>
      </c>
      <c r="X240" s="127">
        <v>0</v>
      </c>
      <c r="Y240" s="127">
        <v>0</v>
      </c>
      <c r="Z240" s="127">
        <v>0</v>
      </c>
      <c r="AA240" s="127" t="s">
        <v>2511</v>
      </c>
      <c r="AB240" s="131" t="s">
        <v>1115</v>
      </c>
      <c r="AC240" s="127" t="s">
        <v>1931</v>
      </c>
      <c r="AD240" s="131" t="s">
        <v>1418</v>
      </c>
      <c r="AE240" s="131" t="e">
        <v>#N/A</v>
      </c>
      <c r="AF240" s="131" t="e">
        <v>#N/A</v>
      </c>
      <c r="AG240" s="131" t="e">
        <v>#REF!</v>
      </c>
    </row>
    <row r="241" spans="1:33" s="131" customFormat="1" ht="18" customHeight="1" x14ac:dyDescent="0.25">
      <c r="A241" s="125">
        <v>240</v>
      </c>
      <c r="B241" s="126" t="s">
        <v>98</v>
      </c>
      <c r="C241" s="126" t="s">
        <v>2811</v>
      </c>
      <c r="D241" s="126" t="s">
        <v>2796</v>
      </c>
      <c r="E241" s="127" t="s">
        <v>766</v>
      </c>
      <c r="F241" s="128" t="s">
        <v>2521</v>
      </c>
      <c r="G241" s="128" t="s">
        <v>3290</v>
      </c>
      <c r="H241" s="125"/>
      <c r="I241" s="125"/>
      <c r="J241" s="127" t="s">
        <v>2520</v>
      </c>
      <c r="K241" s="130"/>
      <c r="L241" s="129"/>
      <c r="M241" s="127" t="s">
        <v>758</v>
      </c>
      <c r="N241" s="127" t="s">
        <v>2520</v>
      </c>
      <c r="O241" s="127" t="s">
        <v>1553</v>
      </c>
      <c r="P241" s="127" t="s">
        <v>1554</v>
      </c>
      <c r="Q241" s="127">
        <v>2</v>
      </c>
      <c r="R241" s="127" t="s">
        <v>1497</v>
      </c>
      <c r="S241" s="127" t="s">
        <v>98</v>
      </c>
      <c r="T241" s="127">
        <v>0</v>
      </c>
      <c r="U241" s="127">
        <v>0</v>
      </c>
      <c r="V241" s="127">
        <v>0</v>
      </c>
      <c r="W241" s="127">
        <v>0</v>
      </c>
      <c r="X241" s="127">
        <v>0</v>
      </c>
      <c r="Y241" s="127">
        <v>0</v>
      </c>
      <c r="Z241" s="127" t="s">
        <v>1568</v>
      </c>
      <c r="AA241" s="127" t="s">
        <v>2511</v>
      </c>
      <c r="AB241" s="131" t="s">
        <v>1116</v>
      </c>
      <c r="AC241" s="127" t="s">
        <v>1932</v>
      </c>
      <c r="AD241" s="131" t="s">
        <v>766</v>
      </c>
      <c r="AE241" s="131" t="e">
        <v>#N/A</v>
      </c>
      <c r="AF241" s="131" t="e">
        <v>#N/A</v>
      </c>
      <c r="AG241" s="131" t="e">
        <v>#REF!</v>
      </c>
    </row>
    <row r="242" spans="1:33" s="131" customFormat="1" ht="18" customHeight="1" x14ac:dyDescent="0.25">
      <c r="A242" s="125">
        <v>241</v>
      </c>
      <c r="B242" s="126" t="s">
        <v>12</v>
      </c>
      <c r="C242" s="126" t="s">
        <v>2812</v>
      </c>
      <c r="D242" s="126" t="s">
        <v>2798</v>
      </c>
      <c r="E242" s="127" t="s">
        <v>1418</v>
      </c>
      <c r="F242" s="128" t="s">
        <v>2410</v>
      </c>
      <c r="G242" s="128" t="s">
        <v>3290</v>
      </c>
      <c r="H242" s="125"/>
      <c r="I242" s="125"/>
      <c r="J242" s="132"/>
      <c r="K242" s="130" t="s">
        <v>64</v>
      </c>
      <c r="L242" s="129" t="s">
        <v>2550</v>
      </c>
      <c r="M242" s="127" t="s">
        <v>772</v>
      </c>
      <c r="N242" s="127" t="s">
        <v>764</v>
      </c>
      <c r="O242" s="127" t="s">
        <v>1427</v>
      </c>
      <c r="P242" s="127">
        <v>0</v>
      </c>
      <c r="Q242" s="127">
        <v>0</v>
      </c>
      <c r="R242" s="127">
        <v>0</v>
      </c>
      <c r="S242" s="127">
        <v>0</v>
      </c>
      <c r="T242" s="127">
        <v>4</v>
      </c>
      <c r="U242" s="127" t="s">
        <v>1491</v>
      </c>
      <c r="V242" s="127" t="s">
        <v>12</v>
      </c>
      <c r="W242" s="127">
        <v>0</v>
      </c>
      <c r="X242" s="127">
        <v>0</v>
      </c>
      <c r="Y242" s="127">
        <v>0</v>
      </c>
      <c r="Z242" s="127">
        <v>0</v>
      </c>
      <c r="AA242" s="127" t="s">
        <v>2511</v>
      </c>
      <c r="AB242" s="131" t="s">
        <v>1117</v>
      </c>
      <c r="AC242" s="127" t="s">
        <v>2275</v>
      </c>
      <c r="AD242" s="131" t="s">
        <v>1418</v>
      </c>
      <c r="AE242" s="131" t="s">
        <v>64</v>
      </c>
      <c r="AF242" s="131" t="b">
        <v>1</v>
      </c>
      <c r="AG242" s="131" t="e">
        <v>#REF!</v>
      </c>
    </row>
    <row r="243" spans="1:33" s="131" customFormat="1" ht="18" customHeight="1" x14ac:dyDescent="0.25">
      <c r="A243" s="125">
        <v>242</v>
      </c>
      <c r="B243" s="126" t="s">
        <v>69</v>
      </c>
      <c r="C243" s="126" t="s">
        <v>2813</v>
      </c>
      <c r="D243" s="126" t="s">
        <v>2790</v>
      </c>
      <c r="E243" s="127" t="s">
        <v>1418</v>
      </c>
      <c r="F243" s="128" t="s">
        <v>2410</v>
      </c>
      <c r="G243" s="128" t="s">
        <v>3290</v>
      </c>
      <c r="H243" s="125"/>
      <c r="I243" s="125"/>
      <c r="J243" s="127"/>
      <c r="K243" s="130"/>
      <c r="L243" s="129" t="s">
        <v>2553</v>
      </c>
      <c r="M243" s="127" t="s">
        <v>772</v>
      </c>
      <c r="N243" s="127" t="s">
        <v>764</v>
      </c>
      <c r="O243" s="127" t="s">
        <v>1553</v>
      </c>
      <c r="P243" s="127">
        <v>0</v>
      </c>
      <c r="Q243" s="127">
        <v>2</v>
      </c>
      <c r="R243" s="127" t="s">
        <v>1496</v>
      </c>
      <c r="S243" s="127" t="s">
        <v>69</v>
      </c>
      <c r="T243" s="127">
        <v>0</v>
      </c>
      <c r="U243" s="127">
        <v>0</v>
      </c>
      <c r="V243" s="127">
        <v>0</v>
      </c>
      <c r="W243" s="127">
        <v>0</v>
      </c>
      <c r="X243" s="127">
        <v>0</v>
      </c>
      <c r="Y243" s="127">
        <v>0</v>
      </c>
      <c r="Z243" s="127">
        <v>0</v>
      </c>
      <c r="AA243" s="127" t="s">
        <v>2511</v>
      </c>
      <c r="AB243" s="131" t="s">
        <v>1118</v>
      </c>
      <c r="AC243" s="127" t="s">
        <v>1933</v>
      </c>
      <c r="AD243" s="131" t="s">
        <v>1418</v>
      </c>
      <c r="AE243" s="131" t="s">
        <v>14</v>
      </c>
      <c r="AF243" s="131" t="b">
        <v>0</v>
      </c>
      <c r="AG243" s="131" t="e">
        <v>#REF!</v>
      </c>
    </row>
    <row r="244" spans="1:33" s="131" customFormat="1" ht="18" customHeight="1" x14ac:dyDescent="0.25">
      <c r="A244" s="125">
        <v>243</v>
      </c>
      <c r="B244" s="126" t="s">
        <v>70</v>
      </c>
      <c r="C244" s="126" t="s">
        <v>2814</v>
      </c>
      <c r="D244" s="126" t="s">
        <v>2790</v>
      </c>
      <c r="E244" s="127" t="s">
        <v>1418</v>
      </c>
      <c r="F244" s="128" t="s">
        <v>2410</v>
      </c>
      <c r="G244" s="128" t="s">
        <v>3290</v>
      </c>
      <c r="H244" s="125"/>
      <c r="I244" s="125"/>
      <c r="J244" s="132" t="s">
        <v>1641</v>
      </c>
      <c r="K244" s="130" t="s">
        <v>64</v>
      </c>
      <c r="L244" s="129"/>
      <c r="M244" s="127" t="s">
        <v>772</v>
      </c>
      <c r="N244" s="127" t="s">
        <v>1641</v>
      </c>
      <c r="O244" s="127" t="s">
        <v>1427</v>
      </c>
      <c r="P244" s="127">
        <v>0</v>
      </c>
      <c r="Q244" s="127">
        <v>0</v>
      </c>
      <c r="R244" s="127">
        <v>0</v>
      </c>
      <c r="S244" s="127">
        <v>0</v>
      </c>
      <c r="T244" s="127">
        <v>4</v>
      </c>
      <c r="U244" s="127" t="s">
        <v>1491</v>
      </c>
      <c r="V244" s="127" t="s">
        <v>70</v>
      </c>
      <c r="W244" s="127">
        <v>0</v>
      </c>
      <c r="X244" s="127">
        <v>0</v>
      </c>
      <c r="Y244" s="127">
        <v>0</v>
      </c>
      <c r="Z244" s="127">
        <v>0</v>
      </c>
      <c r="AA244" s="127" t="s">
        <v>2511</v>
      </c>
      <c r="AB244" s="131" t="s">
        <v>1119</v>
      </c>
      <c r="AC244" s="127" t="s">
        <v>1934</v>
      </c>
      <c r="AD244" s="131" t="s">
        <v>1418</v>
      </c>
      <c r="AE244" s="131" t="s">
        <v>64</v>
      </c>
      <c r="AF244" s="131" t="b">
        <v>1</v>
      </c>
      <c r="AG244" s="131" t="e">
        <v>#REF!</v>
      </c>
    </row>
    <row r="245" spans="1:33" s="131" customFormat="1" ht="15.75" x14ac:dyDescent="0.25">
      <c r="A245" s="125">
        <v>244</v>
      </c>
      <c r="B245" s="126" t="s">
        <v>71</v>
      </c>
      <c r="C245" s="126" t="s">
        <v>2815</v>
      </c>
      <c r="D245" s="126" t="s">
        <v>2790</v>
      </c>
      <c r="E245" s="127" t="s">
        <v>2322</v>
      </c>
      <c r="F245" s="134" t="s">
        <v>2410</v>
      </c>
      <c r="G245" s="128" t="s">
        <v>3290</v>
      </c>
      <c r="H245" s="125"/>
      <c r="I245" s="125"/>
      <c r="J245" s="132"/>
      <c r="K245" s="130"/>
      <c r="L245" s="129" t="s">
        <v>2553</v>
      </c>
      <c r="M245" s="127" t="s">
        <v>2356</v>
      </c>
      <c r="N245" s="127" t="s">
        <v>764</v>
      </c>
      <c r="O245" s="127" t="s">
        <v>1427</v>
      </c>
      <c r="P245" s="127" t="s">
        <v>2262</v>
      </c>
      <c r="Q245" s="127">
        <v>0</v>
      </c>
      <c r="R245" s="127">
        <v>0</v>
      </c>
      <c r="S245" s="127">
        <v>0</v>
      </c>
      <c r="T245" s="127">
        <v>4</v>
      </c>
      <c r="U245" s="127" t="s">
        <v>1491</v>
      </c>
      <c r="V245" s="127" t="s">
        <v>71</v>
      </c>
      <c r="W245" s="127">
        <v>0</v>
      </c>
      <c r="X245" s="127">
        <v>0</v>
      </c>
      <c r="Y245" s="127">
        <v>0</v>
      </c>
      <c r="Z245" s="127" t="s">
        <v>1568</v>
      </c>
      <c r="AA245" s="127" t="s">
        <v>2511</v>
      </c>
      <c r="AB245" s="131" t="s">
        <v>1120</v>
      </c>
      <c r="AC245" s="127" t="s">
        <v>2276</v>
      </c>
      <c r="AD245" s="131" t="s">
        <v>2322</v>
      </c>
      <c r="AE245" s="131" t="e">
        <v>#N/A</v>
      </c>
      <c r="AF245" s="131" t="e">
        <v>#N/A</v>
      </c>
      <c r="AG245" s="131" t="e">
        <v>#REF!</v>
      </c>
    </row>
    <row r="246" spans="1:33" s="131" customFormat="1" ht="15.75" x14ac:dyDescent="0.25">
      <c r="A246" s="125">
        <v>245</v>
      </c>
      <c r="B246" s="126" t="s">
        <v>24</v>
      </c>
      <c r="C246" s="126" t="s">
        <v>2816</v>
      </c>
      <c r="D246" s="126" t="s">
        <v>2798</v>
      </c>
      <c r="E246" s="127" t="s">
        <v>1418</v>
      </c>
      <c r="F246" s="128" t="s">
        <v>2411</v>
      </c>
      <c r="G246" s="128" t="s">
        <v>3289</v>
      </c>
      <c r="H246" s="125"/>
      <c r="I246" s="125"/>
      <c r="J246" s="132"/>
      <c r="K246" s="130"/>
      <c r="L246" s="129"/>
      <c r="M246" s="127" t="s">
        <v>758</v>
      </c>
      <c r="N246" s="127" t="s">
        <v>765</v>
      </c>
      <c r="O246" s="127" t="s">
        <v>3303</v>
      </c>
      <c r="P246" s="127" t="s">
        <v>812</v>
      </c>
      <c r="Q246" s="127">
        <v>0</v>
      </c>
      <c r="R246" s="127">
        <v>0</v>
      </c>
      <c r="S246" s="127">
        <v>0</v>
      </c>
      <c r="T246" s="127">
        <v>0</v>
      </c>
      <c r="U246" s="127">
        <v>0</v>
      </c>
      <c r="V246" s="127">
        <v>0</v>
      </c>
      <c r="W246" s="127">
        <v>0</v>
      </c>
      <c r="X246" s="127">
        <v>0</v>
      </c>
      <c r="Y246" s="127">
        <v>0</v>
      </c>
      <c r="Z246" s="127">
        <v>0</v>
      </c>
      <c r="AA246" s="127" t="s">
        <v>2511</v>
      </c>
      <c r="AB246" s="131" t="s">
        <v>1121</v>
      </c>
      <c r="AC246" s="127" t="s">
        <v>1935</v>
      </c>
      <c r="AD246" s="131" t="s">
        <v>1418</v>
      </c>
      <c r="AE246" s="131" t="e">
        <v>#N/A</v>
      </c>
      <c r="AF246" s="131" t="e">
        <v>#N/A</v>
      </c>
      <c r="AG246" s="131" t="e">
        <v>#REF!</v>
      </c>
    </row>
    <row r="247" spans="1:33" s="131" customFormat="1" ht="18" customHeight="1" x14ac:dyDescent="0.25">
      <c r="A247" s="125">
        <v>246</v>
      </c>
      <c r="B247" s="126" t="s">
        <v>25</v>
      </c>
      <c r="C247" s="126" t="s">
        <v>2817</v>
      </c>
      <c r="D247" s="126" t="s">
        <v>2798</v>
      </c>
      <c r="E247" s="127" t="s">
        <v>1418</v>
      </c>
      <c r="F247" s="128" t="s">
        <v>2411</v>
      </c>
      <c r="G247" s="128" t="s">
        <v>3289</v>
      </c>
      <c r="H247" s="125"/>
      <c r="I247" s="125"/>
      <c r="J247" s="132"/>
      <c r="K247" s="130"/>
      <c r="L247" s="129"/>
      <c r="M247" s="127" t="s">
        <v>758</v>
      </c>
      <c r="N247" s="127" t="s">
        <v>765</v>
      </c>
      <c r="O247" s="127" t="s">
        <v>1459</v>
      </c>
      <c r="P247" s="127" t="s">
        <v>812</v>
      </c>
      <c r="Q247" s="127">
        <v>0</v>
      </c>
      <c r="R247" s="127">
        <v>0</v>
      </c>
      <c r="S247" s="127">
        <v>0</v>
      </c>
      <c r="T247" s="127">
        <v>0</v>
      </c>
      <c r="U247" s="127">
        <v>0</v>
      </c>
      <c r="V247" s="127">
        <v>0</v>
      </c>
      <c r="W247" s="127">
        <v>0</v>
      </c>
      <c r="X247" s="127">
        <v>0</v>
      </c>
      <c r="Y247" s="127">
        <v>0</v>
      </c>
      <c r="Z247" s="127">
        <v>0</v>
      </c>
      <c r="AA247" s="127" t="s">
        <v>2510</v>
      </c>
      <c r="AB247" s="131" t="s">
        <v>1122</v>
      </c>
      <c r="AC247" s="127" t="s">
        <v>1936</v>
      </c>
      <c r="AD247" s="131" t="s">
        <v>1418</v>
      </c>
      <c r="AE247" s="131" t="e">
        <v>#N/A</v>
      </c>
      <c r="AF247" s="131" t="e">
        <v>#N/A</v>
      </c>
      <c r="AG247" s="131" t="e">
        <v>#REF!</v>
      </c>
    </row>
    <row r="248" spans="1:33" s="131" customFormat="1" ht="18" customHeight="1" x14ac:dyDescent="0.25">
      <c r="A248" s="125">
        <v>247</v>
      </c>
      <c r="B248" s="126" t="s">
        <v>72</v>
      </c>
      <c r="C248" s="126" t="s">
        <v>2818</v>
      </c>
      <c r="D248" s="126" t="s">
        <v>2790</v>
      </c>
      <c r="E248" s="127" t="s">
        <v>2322</v>
      </c>
      <c r="F248" s="128" t="s">
        <v>2411</v>
      </c>
      <c r="G248" s="128" t="s">
        <v>3289</v>
      </c>
      <c r="H248" s="125"/>
      <c r="I248" s="125"/>
      <c r="J248" s="132"/>
      <c r="K248" s="130"/>
      <c r="L248" s="129" t="s">
        <v>2553</v>
      </c>
      <c r="M248" s="127" t="s">
        <v>772</v>
      </c>
      <c r="N248" s="127" t="s">
        <v>765</v>
      </c>
      <c r="O248" s="127" t="s">
        <v>1563</v>
      </c>
      <c r="P248" s="127" t="s">
        <v>812</v>
      </c>
      <c r="Q248" s="127">
        <v>0</v>
      </c>
      <c r="R248" s="127">
        <v>0</v>
      </c>
      <c r="S248" s="127">
        <v>0</v>
      </c>
      <c r="T248" s="127">
        <v>0</v>
      </c>
      <c r="U248" s="127">
        <v>0</v>
      </c>
      <c r="V248" s="127">
        <v>0</v>
      </c>
      <c r="W248" s="127">
        <v>0</v>
      </c>
      <c r="X248" s="127">
        <v>0</v>
      </c>
      <c r="Y248" s="127">
        <v>0</v>
      </c>
      <c r="Z248" s="127">
        <v>0</v>
      </c>
      <c r="AA248" s="127" t="s">
        <v>2510</v>
      </c>
      <c r="AB248" s="131" t="s">
        <v>1123</v>
      </c>
      <c r="AC248" s="127" t="s">
        <v>1937</v>
      </c>
      <c r="AD248" s="131" t="s">
        <v>2322</v>
      </c>
      <c r="AE248" s="131" t="e">
        <v>#N/A</v>
      </c>
      <c r="AF248" s="131" t="e">
        <v>#N/A</v>
      </c>
      <c r="AG248" s="131" t="e">
        <v>#REF!</v>
      </c>
    </row>
    <row r="249" spans="1:33" s="131" customFormat="1" ht="15.75" x14ac:dyDescent="0.25">
      <c r="A249" s="125">
        <v>248</v>
      </c>
      <c r="B249" s="126" t="s">
        <v>86</v>
      </c>
      <c r="C249" s="126" t="s">
        <v>2819</v>
      </c>
      <c r="D249" s="126" t="s">
        <v>2790</v>
      </c>
      <c r="E249" s="127" t="s">
        <v>2322</v>
      </c>
      <c r="F249" s="128" t="s">
        <v>2410</v>
      </c>
      <c r="G249" s="128" t="s">
        <v>3290</v>
      </c>
      <c r="H249" s="125"/>
      <c r="I249" s="125"/>
      <c r="J249" s="132"/>
      <c r="K249" s="130" t="s">
        <v>64</v>
      </c>
      <c r="L249" s="129" t="s">
        <v>2553</v>
      </c>
      <c r="M249" s="127" t="s">
        <v>2519</v>
      </c>
      <c r="N249" s="127" t="s">
        <v>764</v>
      </c>
      <c r="O249" s="127" t="s">
        <v>1427</v>
      </c>
      <c r="P249" s="127">
        <v>0</v>
      </c>
      <c r="Q249" s="127">
        <v>0</v>
      </c>
      <c r="R249" s="127">
        <v>0</v>
      </c>
      <c r="S249" s="127">
        <v>0</v>
      </c>
      <c r="T249" s="127">
        <v>4</v>
      </c>
      <c r="U249" s="127" t="s">
        <v>1557</v>
      </c>
      <c r="V249" s="127" t="s">
        <v>86</v>
      </c>
      <c r="W249" s="127">
        <v>0</v>
      </c>
      <c r="X249" s="127">
        <v>0</v>
      </c>
      <c r="Y249" s="127">
        <v>0</v>
      </c>
      <c r="Z249" s="127">
        <v>0</v>
      </c>
      <c r="AA249" s="127" t="s">
        <v>2511</v>
      </c>
      <c r="AB249" s="131" t="s">
        <v>1124</v>
      </c>
      <c r="AC249" s="127" t="s">
        <v>1938</v>
      </c>
      <c r="AD249" s="131" t="s">
        <v>2322</v>
      </c>
      <c r="AE249" s="131" t="s">
        <v>64</v>
      </c>
      <c r="AF249" s="131" t="b">
        <v>1</v>
      </c>
      <c r="AG249" s="131" t="e">
        <v>#REF!</v>
      </c>
    </row>
    <row r="250" spans="1:33" s="131" customFormat="1" ht="15.75" x14ac:dyDescent="0.25">
      <c r="A250" s="125">
        <v>249</v>
      </c>
      <c r="B250" s="126" t="s">
        <v>124</v>
      </c>
      <c r="C250" s="126" t="s">
        <v>2820</v>
      </c>
      <c r="D250" s="126" t="s">
        <v>2821</v>
      </c>
      <c r="E250" s="127" t="s">
        <v>766</v>
      </c>
      <c r="F250" s="128" t="s">
        <v>2410</v>
      </c>
      <c r="G250" s="128" t="s">
        <v>3290</v>
      </c>
      <c r="H250" s="125"/>
      <c r="I250" s="125"/>
      <c r="J250" s="132" t="s">
        <v>1641</v>
      </c>
      <c r="K250" s="130" t="s">
        <v>390</v>
      </c>
      <c r="L250" s="129"/>
      <c r="M250" s="127" t="s">
        <v>774</v>
      </c>
      <c r="N250" s="127" t="s">
        <v>1641</v>
      </c>
      <c r="O250" s="127" t="s">
        <v>1553</v>
      </c>
      <c r="P250" s="127">
        <v>0</v>
      </c>
      <c r="Q250" s="127">
        <v>2</v>
      </c>
      <c r="R250" s="127" t="s">
        <v>1499</v>
      </c>
      <c r="S250" s="127" t="s">
        <v>124</v>
      </c>
      <c r="T250" s="127">
        <v>0</v>
      </c>
      <c r="U250" s="127">
        <v>0</v>
      </c>
      <c r="V250" s="127">
        <v>0</v>
      </c>
      <c r="W250" s="127" t="s">
        <v>1441</v>
      </c>
      <c r="X250" s="127" t="s">
        <v>124</v>
      </c>
      <c r="Y250" s="127" t="s">
        <v>1436</v>
      </c>
      <c r="Z250" s="127">
        <v>0</v>
      </c>
      <c r="AA250" s="127" t="s">
        <v>2511</v>
      </c>
      <c r="AB250" s="131" t="s">
        <v>1125</v>
      </c>
      <c r="AC250" s="127" t="s">
        <v>1939</v>
      </c>
      <c r="AD250" s="131" t="s">
        <v>766</v>
      </c>
      <c r="AE250" s="131" t="e">
        <v>#N/A</v>
      </c>
      <c r="AF250" s="131" t="e">
        <v>#N/A</v>
      </c>
      <c r="AG250" s="131" t="e">
        <v>#REF!</v>
      </c>
    </row>
    <row r="251" spans="1:33" s="131" customFormat="1" ht="18" customHeight="1" x14ac:dyDescent="0.25">
      <c r="A251" s="125">
        <v>250</v>
      </c>
      <c r="B251" s="126" t="s">
        <v>117</v>
      </c>
      <c r="C251" s="126" t="s">
        <v>2822</v>
      </c>
      <c r="D251" s="126" t="s">
        <v>2821</v>
      </c>
      <c r="E251" s="127" t="s">
        <v>766</v>
      </c>
      <c r="F251" s="128" t="s">
        <v>2411</v>
      </c>
      <c r="G251" s="128" t="s">
        <v>3289</v>
      </c>
      <c r="H251" s="125"/>
      <c r="I251" s="125"/>
      <c r="J251" s="132" t="s">
        <v>1641</v>
      </c>
      <c r="K251" s="130"/>
      <c r="L251" s="129"/>
      <c r="M251" s="127" t="s">
        <v>759</v>
      </c>
      <c r="N251" s="127" t="s">
        <v>1641</v>
      </c>
      <c r="O251" s="127" t="s">
        <v>3304</v>
      </c>
      <c r="P251" s="127" t="s">
        <v>812</v>
      </c>
      <c r="Q251" s="127">
        <v>0</v>
      </c>
      <c r="R251" s="127">
        <v>0</v>
      </c>
      <c r="S251" s="127">
        <v>0</v>
      </c>
      <c r="T251" s="127">
        <v>0</v>
      </c>
      <c r="U251" s="127">
        <v>0</v>
      </c>
      <c r="V251" s="127">
        <v>0</v>
      </c>
      <c r="W251" s="127">
        <v>0</v>
      </c>
      <c r="X251" s="127">
        <v>0</v>
      </c>
      <c r="Y251" s="127">
        <v>0</v>
      </c>
      <c r="Z251" s="127">
        <v>0</v>
      </c>
      <c r="AA251" s="127" t="s">
        <v>2510</v>
      </c>
      <c r="AB251" s="131" t="s">
        <v>1126</v>
      </c>
      <c r="AC251" s="127" t="s">
        <v>2277</v>
      </c>
      <c r="AD251" s="131" t="s">
        <v>766</v>
      </c>
      <c r="AE251" s="131" t="e">
        <v>#N/A</v>
      </c>
      <c r="AF251" s="131" t="e">
        <v>#N/A</v>
      </c>
      <c r="AG251" s="131" t="e">
        <v>#REF!</v>
      </c>
    </row>
    <row r="252" spans="1:33" s="131" customFormat="1" ht="18" customHeight="1" x14ac:dyDescent="0.25">
      <c r="A252" s="125">
        <v>251</v>
      </c>
      <c r="B252" s="126" t="s">
        <v>99</v>
      </c>
      <c r="C252" s="126" t="s">
        <v>2823</v>
      </c>
      <c r="D252" s="126" t="s">
        <v>2798</v>
      </c>
      <c r="E252" s="127" t="s">
        <v>1418</v>
      </c>
      <c r="F252" s="128" t="s">
        <v>2411</v>
      </c>
      <c r="G252" s="128" t="s">
        <v>3289</v>
      </c>
      <c r="H252" s="125"/>
      <c r="I252" s="125" t="s">
        <v>934</v>
      </c>
      <c r="J252" s="132"/>
      <c r="K252" s="130"/>
      <c r="L252" s="129"/>
      <c r="M252" s="127" t="s">
        <v>2334</v>
      </c>
      <c r="N252" s="127" t="s">
        <v>770</v>
      </c>
      <c r="O252" s="127" t="s">
        <v>1457</v>
      </c>
      <c r="P252" s="127" t="s">
        <v>812</v>
      </c>
      <c r="Q252" s="127">
        <v>0</v>
      </c>
      <c r="R252" s="127">
        <v>0</v>
      </c>
      <c r="S252" s="127">
        <v>0</v>
      </c>
      <c r="T252" s="127">
        <v>0</v>
      </c>
      <c r="U252" s="127">
        <v>0</v>
      </c>
      <c r="V252" s="127">
        <v>0</v>
      </c>
      <c r="W252" s="127">
        <v>0</v>
      </c>
      <c r="X252" s="127">
        <v>0</v>
      </c>
      <c r="Y252" s="127">
        <v>0</v>
      </c>
      <c r="Z252" s="127">
        <v>0</v>
      </c>
      <c r="AA252" s="127" t="s">
        <v>2511</v>
      </c>
      <c r="AB252" s="131" t="s">
        <v>1127</v>
      </c>
      <c r="AC252" s="127" t="s">
        <v>1940</v>
      </c>
      <c r="AD252" s="131" t="s">
        <v>1418</v>
      </c>
      <c r="AE252" s="131" t="e">
        <v>#N/A</v>
      </c>
      <c r="AF252" s="131" t="e">
        <v>#N/A</v>
      </c>
      <c r="AG252" s="131" t="e">
        <v>#REF!</v>
      </c>
    </row>
    <row r="253" spans="1:33" s="131" customFormat="1" ht="18" customHeight="1" x14ac:dyDescent="0.25">
      <c r="A253" s="125">
        <v>252</v>
      </c>
      <c r="B253" s="126" t="s">
        <v>100</v>
      </c>
      <c r="C253" s="126" t="s">
        <v>2824</v>
      </c>
      <c r="D253" s="126" t="s">
        <v>2790</v>
      </c>
      <c r="E253" s="127" t="s">
        <v>2322</v>
      </c>
      <c r="F253" s="128" t="s">
        <v>2411</v>
      </c>
      <c r="G253" s="128" t="s">
        <v>3289</v>
      </c>
      <c r="H253" s="125" t="s">
        <v>931</v>
      </c>
      <c r="I253" s="125"/>
      <c r="J253" s="129"/>
      <c r="K253" s="130"/>
      <c r="L253" s="129"/>
      <c r="M253" s="127" t="s">
        <v>761</v>
      </c>
      <c r="N253" s="127" t="s">
        <v>1639</v>
      </c>
      <c r="O253" s="127" t="s">
        <v>1494</v>
      </c>
      <c r="P253" s="127" t="s">
        <v>812</v>
      </c>
      <c r="Q253" s="127">
        <v>0</v>
      </c>
      <c r="R253" s="127">
        <v>0</v>
      </c>
      <c r="S253" s="127">
        <v>0</v>
      </c>
      <c r="T253" s="127">
        <v>0</v>
      </c>
      <c r="U253" s="127">
        <v>0</v>
      </c>
      <c r="V253" s="127">
        <v>0</v>
      </c>
      <c r="W253" s="127">
        <v>0</v>
      </c>
      <c r="X253" s="127">
        <v>0</v>
      </c>
      <c r="Y253" s="127">
        <v>0</v>
      </c>
      <c r="Z253" s="127">
        <v>0</v>
      </c>
      <c r="AA253" s="127" t="s">
        <v>2511</v>
      </c>
      <c r="AB253" s="131" t="s">
        <v>1128</v>
      </c>
      <c r="AC253" s="127" t="s">
        <v>1941</v>
      </c>
      <c r="AD253" s="131" t="s">
        <v>2322</v>
      </c>
      <c r="AE253" s="131" t="e">
        <v>#N/A</v>
      </c>
      <c r="AF253" s="131" t="e">
        <v>#N/A</v>
      </c>
      <c r="AG253" s="131" t="e">
        <v>#REF!</v>
      </c>
    </row>
    <row r="254" spans="1:33" s="131" customFormat="1" ht="18" customHeight="1" x14ac:dyDescent="0.25">
      <c r="A254" s="125">
        <v>253</v>
      </c>
      <c r="B254" s="126" t="s">
        <v>118</v>
      </c>
      <c r="C254" s="126" t="s">
        <v>2825</v>
      </c>
      <c r="D254" s="126" t="s">
        <v>2821</v>
      </c>
      <c r="E254" s="127" t="s">
        <v>766</v>
      </c>
      <c r="F254" s="128" t="s">
        <v>2411</v>
      </c>
      <c r="G254" s="128" t="s">
        <v>3289</v>
      </c>
      <c r="H254" s="125"/>
      <c r="I254" s="125"/>
      <c r="J254" s="132"/>
      <c r="K254" s="130"/>
      <c r="L254" s="129"/>
      <c r="M254" s="127" t="s">
        <v>758</v>
      </c>
      <c r="N254" s="127" t="s">
        <v>765</v>
      </c>
      <c r="O254" s="127" t="s">
        <v>3305</v>
      </c>
      <c r="P254" s="127" t="s">
        <v>812</v>
      </c>
      <c r="Q254" s="127">
        <v>0</v>
      </c>
      <c r="R254" s="127">
        <v>0</v>
      </c>
      <c r="S254" s="127">
        <v>0</v>
      </c>
      <c r="T254" s="127">
        <v>0</v>
      </c>
      <c r="U254" s="127">
        <v>0</v>
      </c>
      <c r="V254" s="127">
        <v>0</v>
      </c>
      <c r="W254" s="127">
        <v>0</v>
      </c>
      <c r="X254" s="127">
        <v>0</v>
      </c>
      <c r="Y254" s="127">
        <v>0</v>
      </c>
      <c r="Z254" s="127">
        <v>0</v>
      </c>
      <c r="AA254" s="127" t="s">
        <v>2511</v>
      </c>
      <c r="AB254" s="131" t="s">
        <v>1129</v>
      </c>
      <c r="AC254" s="127" t="s">
        <v>1942</v>
      </c>
      <c r="AD254" s="131" t="s">
        <v>766</v>
      </c>
      <c r="AE254" s="131" t="e">
        <v>#N/A</v>
      </c>
      <c r="AF254" s="131" t="e">
        <v>#N/A</v>
      </c>
      <c r="AG254" s="131" t="e">
        <v>#REF!</v>
      </c>
    </row>
    <row r="255" spans="1:33" s="131" customFormat="1" ht="18" customHeight="1" x14ac:dyDescent="0.25">
      <c r="A255" s="125">
        <v>254</v>
      </c>
      <c r="B255" s="126" t="s">
        <v>101</v>
      </c>
      <c r="C255" s="126" t="s">
        <v>2826</v>
      </c>
      <c r="D255" s="126" t="s">
        <v>2796</v>
      </c>
      <c r="E255" s="127" t="s">
        <v>766</v>
      </c>
      <c r="F255" s="128" t="s">
        <v>2410</v>
      </c>
      <c r="G255" s="128" t="s">
        <v>3290</v>
      </c>
      <c r="H255" s="125"/>
      <c r="I255" s="125" t="s">
        <v>934</v>
      </c>
      <c r="J255" s="132"/>
      <c r="K255" s="130" t="s">
        <v>93</v>
      </c>
      <c r="L255" s="129" t="s">
        <v>2554</v>
      </c>
      <c r="M255" s="127" t="s">
        <v>2334</v>
      </c>
      <c r="N255" s="127" t="s">
        <v>2549</v>
      </c>
      <c r="O255" s="127" t="s">
        <v>1427</v>
      </c>
      <c r="P255" s="127">
        <v>0</v>
      </c>
      <c r="Q255" s="127">
        <v>0</v>
      </c>
      <c r="R255" s="127">
        <v>0</v>
      </c>
      <c r="S255" s="127">
        <v>0</v>
      </c>
      <c r="T255" s="127">
        <v>4</v>
      </c>
      <c r="U255" s="127" t="s">
        <v>1500</v>
      </c>
      <c r="V255" s="127" t="s">
        <v>101</v>
      </c>
      <c r="W255" s="127">
        <v>0</v>
      </c>
      <c r="X255" s="127">
        <v>0</v>
      </c>
      <c r="Y255" s="127">
        <v>0</v>
      </c>
      <c r="Z255" s="127">
        <v>0</v>
      </c>
      <c r="AA255" s="127" t="s">
        <v>2511</v>
      </c>
      <c r="AB255" s="131" t="s">
        <v>1130</v>
      </c>
      <c r="AC255" s="127" t="s">
        <v>1943</v>
      </c>
      <c r="AD255" s="131" t="s">
        <v>766</v>
      </c>
      <c r="AE255" s="131" t="s">
        <v>93</v>
      </c>
      <c r="AF255" s="131" t="b">
        <v>1</v>
      </c>
      <c r="AG255" s="131" t="e">
        <v>#REF!</v>
      </c>
    </row>
    <row r="256" spans="1:33" s="131" customFormat="1" ht="18" customHeight="1" x14ac:dyDescent="0.25">
      <c r="A256" s="125">
        <v>255</v>
      </c>
      <c r="B256" s="126" t="s">
        <v>102</v>
      </c>
      <c r="C256" s="126" t="s">
        <v>2827</v>
      </c>
      <c r="D256" s="126" t="s">
        <v>2796</v>
      </c>
      <c r="E256" s="127" t="s">
        <v>766</v>
      </c>
      <c r="F256" s="128" t="s">
        <v>2411</v>
      </c>
      <c r="G256" s="128" t="s">
        <v>3289</v>
      </c>
      <c r="H256" s="125"/>
      <c r="I256" s="125"/>
      <c r="J256" s="132" t="s">
        <v>1641</v>
      </c>
      <c r="K256" s="130"/>
      <c r="L256" s="129"/>
      <c r="M256" s="127" t="s">
        <v>759</v>
      </c>
      <c r="N256" s="132" t="s">
        <v>1641</v>
      </c>
      <c r="O256" s="127" t="s">
        <v>800</v>
      </c>
      <c r="P256" s="127" t="s">
        <v>812</v>
      </c>
      <c r="Q256" s="127">
        <v>0</v>
      </c>
      <c r="R256" s="127">
        <v>0</v>
      </c>
      <c r="S256" s="127">
        <v>0</v>
      </c>
      <c r="T256" s="127">
        <v>0</v>
      </c>
      <c r="U256" s="127">
        <v>0</v>
      </c>
      <c r="V256" s="127">
        <v>0</v>
      </c>
      <c r="W256" s="127">
        <v>0</v>
      </c>
      <c r="X256" s="127">
        <v>0</v>
      </c>
      <c r="Y256" s="127">
        <v>0</v>
      </c>
      <c r="Z256" s="127">
        <v>0</v>
      </c>
      <c r="AA256" s="127" t="s">
        <v>2511</v>
      </c>
      <c r="AB256" s="131" t="s">
        <v>1131</v>
      </c>
      <c r="AC256" s="127" t="s">
        <v>1944</v>
      </c>
      <c r="AD256" s="131" t="s">
        <v>766</v>
      </c>
      <c r="AE256" s="131" t="e">
        <v>#N/A</v>
      </c>
      <c r="AF256" s="131" t="e">
        <v>#N/A</v>
      </c>
      <c r="AG256" s="131" t="e">
        <v>#REF!</v>
      </c>
    </row>
    <row r="257" spans="1:33" s="131" customFormat="1" ht="18" customHeight="1" x14ac:dyDescent="0.25">
      <c r="A257" s="125">
        <v>256</v>
      </c>
      <c r="B257" s="126" t="s">
        <v>13</v>
      </c>
      <c r="C257" s="126" t="s">
        <v>2828</v>
      </c>
      <c r="D257" s="126" t="s">
        <v>2798</v>
      </c>
      <c r="E257" s="127" t="s">
        <v>1418</v>
      </c>
      <c r="F257" s="128" t="s">
        <v>2410</v>
      </c>
      <c r="G257" s="128" t="s">
        <v>3290</v>
      </c>
      <c r="H257" s="125" t="s">
        <v>931</v>
      </c>
      <c r="I257" s="125"/>
      <c r="J257" s="129"/>
      <c r="K257" s="130" t="s">
        <v>18</v>
      </c>
      <c r="L257" s="129"/>
      <c r="M257" s="127" t="s">
        <v>759</v>
      </c>
      <c r="N257" s="127" t="s">
        <v>1639</v>
      </c>
      <c r="O257" s="127" t="s">
        <v>1553</v>
      </c>
      <c r="P257" s="127">
        <v>0</v>
      </c>
      <c r="Q257" s="127">
        <v>2</v>
      </c>
      <c r="R257" s="127" t="s">
        <v>1501</v>
      </c>
      <c r="S257" s="127" t="s">
        <v>13</v>
      </c>
      <c r="T257" s="127">
        <v>0</v>
      </c>
      <c r="U257" s="127">
        <v>0</v>
      </c>
      <c r="V257" s="127">
        <v>0</v>
      </c>
      <c r="W257" s="127">
        <v>0</v>
      </c>
      <c r="X257" s="127">
        <v>0</v>
      </c>
      <c r="Y257" s="127">
        <v>0</v>
      </c>
      <c r="Z257" s="127">
        <v>0</v>
      </c>
      <c r="AA257" s="127" t="s">
        <v>2511</v>
      </c>
      <c r="AB257" s="131" t="s">
        <v>1132</v>
      </c>
      <c r="AC257" s="127" t="s">
        <v>1945</v>
      </c>
      <c r="AD257" s="131" t="s">
        <v>1418</v>
      </c>
      <c r="AE257" s="131" t="s">
        <v>18</v>
      </c>
      <c r="AF257" s="131" t="b">
        <v>1</v>
      </c>
      <c r="AG257" s="131" t="e">
        <v>#REF!</v>
      </c>
    </row>
    <row r="258" spans="1:33" s="131" customFormat="1" ht="18" customHeight="1" x14ac:dyDescent="0.25">
      <c r="A258" s="125">
        <v>257</v>
      </c>
      <c r="B258" s="126" t="s">
        <v>73</v>
      </c>
      <c r="C258" s="126" t="s">
        <v>2829</v>
      </c>
      <c r="D258" s="126" t="s">
        <v>2790</v>
      </c>
      <c r="E258" s="127" t="s">
        <v>1418</v>
      </c>
      <c r="F258" s="128" t="s">
        <v>2411</v>
      </c>
      <c r="G258" s="128" t="s">
        <v>3289</v>
      </c>
      <c r="H258" s="125"/>
      <c r="I258" s="125"/>
      <c r="J258" s="132" t="s">
        <v>1641</v>
      </c>
      <c r="K258" s="130"/>
      <c r="L258" s="129"/>
      <c r="M258" s="127" t="s">
        <v>761</v>
      </c>
      <c r="N258" s="127" t="s">
        <v>1641</v>
      </c>
      <c r="O258" s="127" t="s">
        <v>3306</v>
      </c>
      <c r="P258" s="127" t="s">
        <v>812</v>
      </c>
      <c r="Q258" s="127">
        <v>0</v>
      </c>
      <c r="R258" s="127">
        <v>0</v>
      </c>
      <c r="S258" s="127">
        <v>0</v>
      </c>
      <c r="T258" s="127">
        <v>0</v>
      </c>
      <c r="U258" s="127">
        <v>0</v>
      </c>
      <c r="V258" s="127">
        <v>0</v>
      </c>
      <c r="W258" s="127">
        <v>0</v>
      </c>
      <c r="X258" s="127">
        <v>0</v>
      </c>
      <c r="Y258" s="127">
        <v>0</v>
      </c>
      <c r="Z258" s="127">
        <v>0</v>
      </c>
      <c r="AA258" s="127" t="s">
        <v>2510</v>
      </c>
      <c r="AB258" s="131" t="s">
        <v>1133</v>
      </c>
      <c r="AC258" s="127" t="s">
        <v>1946</v>
      </c>
      <c r="AD258" s="131" t="s">
        <v>1418</v>
      </c>
      <c r="AE258" s="131" t="e">
        <v>#N/A</v>
      </c>
      <c r="AF258" s="131" t="e">
        <v>#N/A</v>
      </c>
      <c r="AG258" s="131" t="e">
        <v>#REF!</v>
      </c>
    </row>
    <row r="259" spans="1:33" s="131" customFormat="1" ht="18" customHeight="1" x14ac:dyDescent="0.25">
      <c r="A259" s="125">
        <v>258</v>
      </c>
      <c r="B259" s="126" t="s">
        <v>14</v>
      </c>
      <c r="C259" s="126" t="s">
        <v>2830</v>
      </c>
      <c r="D259" s="126" t="s">
        <v>2790</v>
      </c>
      <c r="E259" s="127" t="s">
        <v>2322</v>
      </c>
      <c r="F259" s="128" t="s">
        <v>2411</v>
      </c>
      <c r="G259" s="128" t="s">
        <v>3289</v>
      </c>
      <c r="H259" s="125"/>
      <c r="I259" s="125"/>
      <c r="J259" s="129" t="s">
        <v>1641</v>
      </c>
      <c r="K259" s="130"/>
      <c r="L259" s="129"/>
      <c r="M259" s="127" t="s">
        <v>761</v>
      </c>
      <c r="N259" s="127" t="s">
        <v>1641</v>
      </c>
      <c r="O259" s="127" t="s">
        <v>1496</v>
      </c>
      <c r="P259" s="127" t="s">
        <v>812</v>
      </c>
      <c r="Q259" s="127">
        <v>0</v>
      </c>
      <c r="R259" s="127">
        <v>0</v>
      </c>
      <c r="S259" s="127">
        <v>0</v>
      </c>
      <c r="T259" s="127">
        <v>0</v>
      </c>
      <c r="U259" s="127">
        <v>0</v>
      </c>
      <c r="V259" s="127">
        <v>0</v>
      </c>
      <c r="W259" s="127">
        <v>0</v>
      </c>
      <c r="X259" s="127">
        <v>0</v>
      </c>
      <c r="Y259" s="127">
        <v>0</v>
      </c>
      <c r="Z259" s="127">
        <v>0</v>
      </c>
      <c r="AA259" s="127" t="s">
        <v>2511</v>
      </c>
      <c r="AB259" s="131" t="s">
        <v>1134</v>
      </c>
      <c r="AC259" s="127" t="s">
        <v>1947</v>
      </c>
      <c r="AD259" s="131" t="s">
        <v>2322</v>
      </c>
      <c r="AE259" s="131" t="e">
        <v>#N/A</v>
      </c>
      <c r="AF259" s="131" t="e">
        <v>#N/A</v>
      </c>
      <c r="AG259" s="131" t="e">
        <v>#REF!</v>
      </c>
    </row>
    <row r="260" spans="1:33" s="131" customFormat="1" ht="18" customHeight="1" x14ac:dyDescent="0.25">
      <c r="A260" s="125">
        <v>259</v>
      </c>
      <c r="B260" s="126" t="s">
        <v>87</v>
      </c>
      <c r="C260" s="126" t="s">
        <v>2831</v>
      </c>
      <c r="D260" s="126" t="s">
        <v>2790</v>
      </c>
      <c r="E260" s="127" t="s">
        <v>2322</v>
      </c>
      <c r="F260" s="128" t="s">
        <v>2411</v>
      </c>
      <c r="G260" s="128" t="s">
        <v>3289</v>
      </c>
      <c r="H260" s="125"/>
      <c r="I260" s="125"/>
      <c r="J260" s="132"/>
      <c r="K260" s="130"/>
      <c r="L260" s="129"/>
      <c r="M260" s="127" t="s">
        <v>758</v>
      </c>
      <c r="N260" s="127" t="s">
        <v>765</v>
      </c>
      <c r="O260" s="127" t="s">
        <v>1503</v>
      </c>
      <c r="P260" s="127" t="s">
        <v>812</v>
      </c>
      <c r="Q260" s="127">
        <v>0</v>
      </c>
      <c r="R260" s="127">
        <v>0</v>
      </c>
      <c r="S260" s="127">
        <v>0</v>
      </c>
      <c r="T260" s="127">
        <v>0</v>
      </c>
      <c r="U260" s="127">
        <v>0</v>
      </c>
      <c r="V260" s="127">
        <v>0</v>
      </c>
      <c r="W260" s="127">
        <v>0</v>
      </c>
      <c r="X260" s="127">
        <v>0</v>
      </c>
      <c r="Y260" s="127">
        <v>0</v>
      </c>
      <c r="Z260" s="127">
        <v>0</v>
      </c>
      <c r="AA260" s="127" t="s">
        <v>2511</v>
      </c>
      <c r="AB260" s="131" t="s">
        <v>1136</v>
      </c>
      <c r="AC260" s="127" t="s">
        <v>2278</v>
      </c>
      <c r="AD260" s="131" t="s">
        <v>2322</v>
      </c>
      <c r="AE260" s="131" t="e">
        <v>#N/A</v>
      </c>
      <c r="AF260" s="131" t="e">
        <v>#N/A</v>
      </c>
      <c r="AG260" s="131" t="e">
        <v>#REF!</v>
      </c>
    </row>
    <row r="261" spans="1:33" s="131" customFormat="1" ht="18" customHeight="1" x14ac:dyDescent="0.25">
      <c r="A261" s="125">
        <v>260</v>
      </c>
      <c r="B261" s="126" t="s">
        <v>74</v>
      </c>
      <c r="C261" s="126" t="s">
        <v>2832</v>
      </c>
      <c r="D261" s="126" t="s">
        <v>2798</v>
      </c>
      <c r="E261" s="127" t="s">
        <v>1418</v>
      </c>
      <c r="F261" s="128" t="s">
        <v>2411</v>
      </c>
      <c r="G261" s="128" t="s">
        <v>3289</v>
      </c>
      <c r="H261" s="125"/>
      <c r="I261" s="125"/>
      <c r="J261" s="132" t="s">
        <v>1641</v>
      </c>
      <c r="K261" s="130"/>
      <c r="L261" s="129"/>
      <c r="M261" s="127" t="s">
        <v>761</v>
      </c>
      <c r="N261" s="127" t="s">
        <v>1641</v>
      </c>
      <c r="O261" s="127" t="s">
        <v>3307</v>
      </c>
      <c r="P261" s="127" t="s">
        <v>812</v>
      </c>
      <c r="Q261" s="127">
        <v>0</v>
      </c>
      <c r="R261" s="127">
        <v>0</v>
      </c>
      <c r="S261" s="127">
        <v>0</v>
      </c>
      <c r="T261" s="127">
        <v>0</v>
      </c>
      <c r="U261" s="127">
        <v>0</v>
      </c>
      <c r="V261" s="127">
        <v>0</v>
      </c>
      <c r="W261" s="127">
        <v>0</v>
      </c>
      <c r="X261" s="127">
        <v>0</v>
      </c>
      <c r="Y261" s="127">
        <v>0</v>
      </c>
      <c r="Z261" s="127">
        <v>0</v>
      </c>
      <c r="AA261" s="127" t="s">
        <v>2511</v>
      </c>
      <c r="AB261" s="131" t="s">
        <v>1138</v>
      </c>
      <c r="AC261" s="127" t="s">
        <v>1948</v>
      </c>
      <c r="AD261" s="131" t="s">
        <v>1418</v>
      </c>
      <c r="AE261" s="131" t="e">
        <v>#N/A</v>
      </c>
      <c r="AF261" s="131" t="e">
        <v>#N/A</v>
      </c>
      <c r="AG261" s="131" t="e">
        <v>#REF!</v>
      </c>
    </row>
    <row r="262" spans="1:33" s="131" customFormat="1" ht="18" customHeight="1" x14ac:dyDescent="0.25">
      <c r="A262" s="125">
        <v>261</v>
      </c>
      <c r="B262" s="126" t="s">
        <v>159</v>
      </c>
      <c r="C262" s="126" t="s">
        <v>2833</v>
      </c>
      <c r="D262" s="126" t="s">
        <v>2796</v>
      </c>
      <c r="E262" s="127" t="s">
        <v>766</v>
      </c>
      <c r="F262" s="128" t="s">
        <v>2411</v>
      </c>
      <c r="G262" s="128" t="s">
        <v>3289</v>
      </c>
      <c r="H262" s="125" t="s">
        <v>925</v>
      </c>
      <c r="I262" s="125"/>
      <c r="J262" s="129"/>
      <c r="K262" s="130"/>
      <c r="L262" s="129"/>
      <c r="M262" s="127" t="s">
        <v>759</v>
      </c>
      <c r="N262" s="127" t="s">
        <v>1639</v>
      </c>
      <c r="O262" s="127" t="s">
        <v>3308</v>
      </c>
      <c r="P262" s="127" t="s">
        <v>812</v>
      </c>
      <c r="Q262" s="127">
        <v>0</v>
      </c>
      <c r="R262" s="127">
        <v>0</v>
      </c>
      <c r="S262" s="127">
        <v>0</v>
      </c>
      <c r="T262" s="127">
        <v>0</v>
      </c>
      <c r="U262" s="127">
        <v>0</v>
      </c>
      <c r="V262" s="127">
        <v>0</v>
      </c>
      <c r="W262" s="127">
        <v>0</v>
      </c>
      <c r="X262" s="127">
        <v>0</v>
      </c>
      <c r="Y262" s="127">
        <v>0</v>
      </c>
      <c r="Z262" s="127">
        <v>0</v>
      </c>
      <c r="AA262" s="127" t="s">
        <v>2511</v>
      </c>
      <c r="AB262" s="131" t="s">
        <v>1140</v>
      </c>
      <c r="AC262" s="127" t="s">
        <v>1949</v>
      </c>
      <c r="AD262" s="131" t="s">
        <v>766</v>
      </c>
      <c r="AE262" s="131" t="e">
        <v>#N/A</v>
      </c>
      <c r="AF262" s="131" t="e">
        <v>#N/A</v>
      </c>
      <c r="AG262" s="131" t="e">
        <v>#REF!</v>
      </c>
    </row>
    <row r="263" spans="1:33" s="131" customFormat="1" ht="18" customHeight="1" x14ac:dyDescent="0.25">
      <c r="A263" s="125">
        <v>262</v>
      </c>
      <c r="B263" s="126" t="s">
        <v>125</v>
      </c>
      <c r="C263" s="126" t="s">
        <v>2834</v>
      </c>
      <c r="D263" s="126" t="s">
        <v>2821</v>
      </c>
      <c r="E263" s="127" t="s">
        <v>766</v>
      </c>
      <c r="F263" s="128" t="s">
        <v>2411</v>
      </c>
      <c r="G263" s="128" t="s">
        <v>3289</v>
      </c>
      <c r="H263" s="125"/>
      <c r="I263" s="125"/>
      <c r="J263" s="132"/>
      <c r="K263" s="130"/>
      <c r="L263" s="129"/>
      <c r="M263" s="127" t="s">
        <v>758</v>
      </c>
      <c r="N263" s="127" t="s">
        <v>765</v>
      </c>
      <c r="O263" s="127" t="s">
        <v>1504</v>
      </c>
      <c r="P263" s="127" t="s">
        <v>812</v>
      </c>
      <c r="Q263" s="127">
        <v>0</v>
      </c>
      <c r="R263" s="127">
        <v>0</v>
      </c>
      <c r="S263" s="127">
        <v>0</v>
      </c>
      <c r="T263" s="127">
        <v>0</v>
      </c>
      <c r="U263" s="127">
        <v>0</v>
      </c>
      <c r="V263" s="127">
        <v>0</v>
      </c>
      <c r="W263" s="127">
        <v>0</v>
      </c>
      <c r="X263" s="127">
        <v>0</v>
      </c>
      <c r="Y263" s="127">
        <v>0</v>
      </c>
      <c r="Z263" s="127">
        <v>0</v>
      </c>
      <c r="AA263" s="127" t="s">
        <v>2511</v>
      </c>
      <c r="AB263" s="131" t="s">
        <v>1141</v>
      </c>
      <c r="AC263" s="127" t="s">
        <v>1950</v>
      </c>
      <c r="AD263" s="131" t="s">
        <v>766</v>
      </c>
      <c r="AE263" s="131" t="e">
        <v>#N/A</v>
      </c>
      <c r="AF263" s="131" t="e">
        <v>#N/A</v>
      </c>
      <c r="AG263" s="131" t="e">
        <v>#REF!</v>
      </c>
    </row>
    <row r="264" spans="1:33" s="131" customFormat="1" ht="18" customHeight="1" x14ac:dyDescent="0.25">
      <c r="A264" s="125">
        <v>263</v>
      </c>
      <c r="B264" s="126" t="s">
        <v>75</v>
      </c>
      <c r="C264" s="126" t="s">
        <v>2835</v>
      </c>
      <c r="D264" s="126" t="s">
        <v>2790</v>
      </c>
      <c r="E264" s="127" t="s">
        <v>1418</v>
      </c>
      <c r="F264" s="128" t="s">
        <v>2411</v>
      </c>
      <c r="G264" s="128" t="s">
        <v>3289</v>
      </c>
      <c r="H264" s="125"/>
      <c r="I264" s="125"/>
      <c r="J264" s="132"/>
      <c r="K264" s="130"/>
      <c r="L264" s="129" t="s">
        <v>2553</v>
      </c>
      <c r="M264" s="127" t="s">
        <v>758</v>
      </c>
      <c r="N264" s="127" t="s">
        <v>765</v>
      </c>
      <c r="O264" s="127" t="s">
        <v>1552</v>
      </c>
      <c r="P264" s="127" t="s">
        <v>812</v>
      </c>
      <c r="Q264" s="127">
        <v>0</v>
      </c>
      <c r="R264" s="127">
        <v>0</v>
      </c>
      <c r="S264" s="127">
        <v>0</v>
      </c>
      <c r="T264" s="127">
        <v>0</v>
      </c>
      <c r="U264" s="127">
        <v>0</v>
      </c>
      <c r="V264" s="127">
        <v>0</v>
      </c>
      <c r="W264" s="127">
        <v>0</v>
      </c>
      <c r="X264" s="127">
        <v>0</v>
      </c>
      <c r="Y264" s="127">
        <v>0</v>
      </c>
      <c r="Z264" s="127">
        <v>0</v>
      </c>
      <c r="AA264" s="127" t="s">
        <v>2511</v>
      </c>
      <c r="AB264" s="131" t="s">
        <v>1142</v>
      </c>
      <c r="AC264" s="127" t="s">
        <v>1951</v>
      </c>
      <c r="AD264" s="131" t="s">
        <v>1418</v>
      </c>
      <c r="AE264" s="131" t="e">
        <v>#N/A</v>
      </c>
      <c r="AF264" s="131" t="e">
        <v>#N/A</v>
      </c>
      <c r="AG264" s="131" t="e">
        <v>#REF!</v>
      </c>
    </row>
    <row r="265" spans="1:33" s="131" customFormat="1" ht="18" customHeight="1" x14ac:dyDescent="0.25">
      <c r="A265" s="125">
        <v>264</v>
      </c>
      <c r="B265" s="126" t="s">
        <v>15</v>
      </c>
      <c r="C265" s="126" t="s">
        <v>2836</v>
      </c>
      <c r="D265" s="126" t="s">
        <v>2798</v>
      </c>
      <c r="E265" s="127" t="s">
        <v>1418</v>
      </c>
      <c r="F265" s="128" t="s">
        <v>2411</v>
      </c>
      <c r="G265" s="128" t="s">
        <v>3289</v>
      </c>
      <c r="H265" s="125"/>
      <c r="I265" s="125"/>
      <c r="J265" s="132" t="s">
        <v>1641</v>
      </c>
      <c r="K265" s="130"/>
      <c r="L265" s="129"/>
      <c r="M265" s="127" t="s">
        <v>761</v>
      </c>
      <c r="N265" s="127" t="s">
        <v>1641</v>
      </c>
      <c r="O265" s="127" t="s">
        <v>1564</v>
      </c>
      <c r="P265" s="127" t="s">
        <v>812</v>
      </c>
      <c r="Q265" s="127">
        <v>0</v>
      </c>
      <c r="R265" s="127">
        <v>0</v>
      </c>
      <c r="S265" s="127">
        <v>0</v>
      </c>
      <c r="T265" s="127">
        <v>0</v>
      </c>
      <c r="U265" s="127">
        <v>0</v>
      </c>
      <c r="V265" s="127">
        <v>0</v>
      </c>
      <c r="W265" s="127">
        <v>0</v>
      </c>
      <c r="X265" s="127">
        <v>0</v>
      </c>
      <c r="Y265" s="127">
        <v>0</v>
      </c>
      <c r="Z265" s="127">
        <v>0</v>
      </c>
      <c r="AA265" s="127" t="s">
        <v>2511</v>
      </c>
      <c r="AB265" s="131" t="s">
        <v>1143</v>
      </c>
      <c r="AC265" s="127" t="s">
        <v>1952</v>
      </c>
      <c r="AD265" s="131" t="s">
        <v>1418</v>
      </c>
      <c r="AE265" s="131" t="e">
        <v>#N/A</v>
      </c>
      <c r="AF265" s="131" t="e">
        <v>#N/A</v>
      </c>
      <c r="AG265" s="131" t="e">
        <v>#REF!</v>
      </c>
    </row>
    <row r="266" spans="1:33" s="131" customFormat="1" ht="18" customHeight="1" x14ac:dyDescent="0.25">
      <c r="A266" s="125">
        <v>265</v>
      </c>
      <c r="B266" s="126" t="s">
        <v>16</v>
      </c>
      <c r="C266" s="126" t="s">
        <v>2837</v>
      </c>
      <c r="D266" s="126" t="s">
        <v>2798</v>
      </c>
      <c r="E266" s="127" t="s">
        <v>1418</v>
      </c>
      <c r="F266" s="128" t="s">
        <v>2411</v>
      </c>
      <c r="G266" s="128" t="s">
        <v>3289</v>
      </c>
      <c r="H266" s="125"/>
      <c r="I266" s="125"/>
      <c r="J266" s="132" t="s">
        <v>1641</v>
      </c>
      <c r="K266" s="130"/>
      <c r="L266" s="129"/>
      <c r="M266" s="127" t="s">
        <v>759</v>
      </c>
      <c r="N266" s="127" t="s">
        <v>1641</v>
      </c>
      <c r="O266" s="127" t="s">
        <v>3309</v>
      </c>
      <c r="P266" s="127" t="s">
        <v>812</v>
      </c>
      <c r="Q266" s="127">
        <v>0</v>
      </c>
      <c r="R266" s="127">
        <v>0</v>
      </c>
      <c r="S266" s="127">
        <v>0</v>
      </c>
      <c r="T266" s="127">
        <v>0</v>
      </c>
      <c r="U266" s="127">
        <v>0</v>
      </c>
      <c r="V266" s="127">
        <v>0</v>
      </c>
      <c r="W266" s="127">
        <v>0</v>
      </c>
      <c r="X266" s="127">
        <v>0</v>
      </c>
      <c r="Y266" s="127">
        <v>0</v>
      </c>
      <c r="Z266" s="127">
        <v>0</v>
      </c>
      <c r="AA266" s="127" t="s">
        <v>2511</v>
      </c>
      <c r="AB266" s="131" t="s">
        <v>1145</v>
      </c>
      <c r="AC266" s="127" t="s">
        <v>1953</v>
      </c>
      <c r="AD266" s="131" t="s">
        <v>1418</v>
      </c>
      <c r="AE266" s="131" t="e">
        <v>#N/A</v>
      </c>
      <c r="AF266" s="131" t="e">
        <v>#N/A</v>
      </c>
      <c r="AG266" s="131" t="e">
        <v>#REF!</v>
      </c>
    </row>
    <row r="267" spans="1:33" s="131" customFormat="1" ht="18" customHeight="1" x14ac:dyDescent="0.25">
      <c r="A267" s="125">
        <v>266</v>
      </c>
      <c r="B267" s="126" t="s">
        <v>17</v>
      </c>
      <c r="C267" s="126" t="s">
        <v>2838</v>
      </c>
      <c r="D267" s="126" t="s">
        <v>2798</v>
      </c>
      <c r="E267" s="127" t="s">
        <v>1418</v>
      </c>
      <c r="F267" s="128" t="s">
        <v>2411</v>
      </c>
      <c r="G267" s="128" t="s">
        <v>3289</v>
      </c>
      <c r="H267" s="125" t="s">
        <v>927</v>
      </c>
      <c r="I267" s="125"/>
      <c r="J267" s="129"/>
      <c r="K267" s="130"/>
      <c r="L267" s="129"/>
      <c r="M267" s="127" t="s">
        <v>759</v>
      </c>
      <c r="N267" s="127" t="s">
        <v>1639</v>
      </c>
      <c r="O267" s="127" t="s">
        <v>3310</v>
      </c>
      <c r="P267" s="127" t="s">
        <v>812</v>
      </c>
      <c r="Q267" s="127">
        <v>0</v>
      </c>
      <c r="R267" s="127">
        <v>0</v>
      </c>
      <c r="S267" s="127">
        <v>0</v>
      </c>
      <c r="T267" s="127">
        <v>0</v>
      </c>
      <c r="U267" s="127">
        <v>0</v>
      </c>
      <c r="V267" s="127">
        <v>0</v>
      </c>
      <c r="W267" s="127">
        <v>0</v>
      </c>
      <c r="X267" s="127">
        <v>0</v>
      </c>
      <c r="Y267" s="127">
        <v>0</v>
      </c>
      <c r="Z267" s="127">
        <v>0</v>
      </c>
      <c r="AA267" s="127" t="s">
        <v>2511</v>
      </c>
      <c r="AB267" s="131" t="s">
        <v>1146</v>
      </c>
      <c r="AC267" s="127" t="s">
        <v>1954</v>
      </c>
      <c r="AD267" s="131" t="s">
        <v>1418</v>
      </c>
      <c r="AE267" s="131" t="e">
        <v>#N/A</v>
      </c>
      <c r="AF267" s="131" t="e">
        <v>#N/A</v>
      </c>
      <c r="AG267" s="131" t="e">
        <v>#REF!</v>
      </c>
    </row>
    <row r="268" spans="1:33" s="131" customFormat="1" ht="18" customHeight="1" x14ac:dyDescent="0.25">
      <c r="A268" s="125">
        <v>267</v>
      </c>
      <c r="B268" s="126" t="s">
        <v>160</v>
      </c>
      <c r="C268" s="126" t="s">
        <v>2839</v>
      </c>
      <c r="D268" s="126" t="s">
        <v>2796</v>
      </c>
      <c r="E268" s="127" t="s">
        <v>766</v>
      </c>
      <c r="F268" s="128" t="s">
        <v>2411</v>
      </c>
      <c r="G268" s="128" t="s">
        <v>3289</v>
      </c>
      <c r="H268" s="125"/>
      <c r="I268" s="125"/>
      <c r="J268" s="132" t="s">
        <v>1641</v>
      </c>
      <c r="K268" s="130"/>
      <c r="L268" s="129"/>
      <c r="M268" s="127" t="s">
        <v>759</v>
      </c>
      <c r="N268" s="132" t="s">
        <v>1641</v>
      </c>
      <c r="O268" s="127" t="s">
        <v>1553</v>
      </c>
      <c r="P268" s="127" t="s">
        <v>1554</v>
      </c>
      <c r="Q268" s="127">
        <v>2</v>
      </c>
      <c r="R268" s="127" t="s">
        <v>1502</v>
      </c>
      <c r="S268" s="127" t="s">
        <v>160</v>
      </c>
      <c r="T268" s="127">
        <v>0</v>
      </c>
      <c r="U268" s="127">
        <v>0</v>
      </c>
      <c r="V268" s="127">
        <v>0</v>
      </c>
      <c r="W268" s="127">
        <v>0</v>
      </c>
      <c r="X268" s="127">
        <v>0</v>
      </c>
      <c r="Y268" s="127">
        <v>0</v>
      </c>
      <c r="Z268" s="127">
        <v>0</v>
      </c>
      <c r="AA268" s="127" t="s">
        <v>2511</v>
      </c>
      <c r="AB268" s="131" t="s">
        <v>1148</v>
      </c>
      <c r="AC268" s="127" t="s">
        <v>1955</v>
      </c>
      <c r="AD268" s="131" t="s">
        <v>766</v>
      </c>
      <c r="AE268" s="131" t="e">
        <v>#N/A</v>
      </c>
      <c r="AF268" s="131" t="e">
        <v>#N/A</v>
      </c>
      <c r="AG268" s="131" t="e">
        <v>#REF!</v>
      </c>
    </row>
    <row r="269" spans="1:33" s="131" customFormat="1" ht="18" customHeight="1" x14ac:dyDescent="0.25">
      <c r="A269" s="125">
        <v>268</v>
      </c>
      <c r="B269" s="126" t="s">
        <v>161</v>
      </c>
      <c r="C269" s="126" t="s">
        <v>2840</v>
      </c>
      <c r="D269" s="126" t="s">
        <v>2796</v>
      </c>
      <c r="E269" s="127" t="s">
        <v>766</v>
      </c>
      <c r="F269" s="128" t="s">
        <v>2411</v>
      </c>
      <c r="G269" s="128" t="s">
        <v>3290</v>
      </c>
      <c r="H269" s="125"/>
      <c r="I269" s="125" t="s">
        <v>991</v>
      </c>
      <c r="J269" s="132"/>
      <c r="K269" s="130"/>
      <c r="L269" s="129"/>
      <c r="M269" s="127" t="s">
        <v>759</v>
      </c>
      <c r="N269" s="127" t="s">
        <v>770</v>
      </c>
      <c r="O269" s="127" t="s">
        <v>1553</v>
      </c>
      <c r="P269" s="127" t="s">
        <v>1554</v>
      </c>
      <c r="Q269" s="127">
        <v>2</v>
      </c>
      <c r="R269" s="127" t="s">
        <v>1441</v>
      </c>
      <c r="S269" s="127" t="s">
        <v>161</v>
      </c>
      <c r="T269" s="127">
        <v>0</v>
      </c>
      <c r="U269" s="127">
        <v>0</v>
      </c>
      <c r="V269" s="127">
        <v>0</v>
      </c>
      <c r="W269" s="127">
        <v>0</v>
      </c>
      <c r="X269" s="127">
        <v>0</v>
      </c>
      <c r="Y269" s="127">
        <v>0</v>
      </c>
      <c r="Z269" s="127" t="s">
        <v>1568</v>
      </c>
      <c r="AA269" s="127" t="s">
        <v>2510</v>
      </c>
      <c r="AB269" s="131" t="s">
        <v>656</v>
      </c>
      <c r="AC269" s="127" t="s">
        <v>1956</v>
      </c>
      <c r="AD269" s="131" t="s">
        <v>766</v>
      </c>
      <c r="AE269" s="131" t="e">
        <v>#N/A</v>
      </c>
      <c r="AF269" s="131" t="e">
        <v>#N/A</v>
      </c>
      <c r="AG269" s="131" t="e">
        <v>#REF!</v>
      </c>
    </row>
    <row r="270" spans="1:33" s="131" customFormat="1" ht="15.75" x14ac:dyDescent="0.25">
      <c r="A270" s="125">
        <v>269</v>
      </c>
      <c r="B270" s="126" t="s">
        <v>76</v>
      </c>
      <c r="C270" s="126" t="s">
        <v>2841</v>
      </c>
      <c r="D270" s="126" t="s">
        <v>2790</v>
      </c>
      <c r="E270" s="127" t="s">
        <v>2322</v>
      </c>
      <c r="F270" s="128" t="s">
        <v>2410</v>
      </c>
      <c r="G270" s="128" t="s">
        <v>3290</v>
      </c>
      <c r="H270" s="125"/>
      <c r="I270" s="125"/>
      <c r="J270" s="127"/>
      <c r="K270" s="130" t="s">
        <v>64</v>
      </c>
      <c r="L270" s="129" t="s">
        <v>2553</v>
      </c>
      <c r="M270" s="127" t="s">
        <v>758</v>
      </c>
      <c r="N270" s="127" t="s">
        <v>764</v>
      </c>
      <c r="O270" s="127" t="s">
        <v>1427</v>
      </c>
      <c r="P270" s="127" t="s">
        <v>1554</v>
      </c>
      <c r="Q270" s="127">
        <v>0</v>
      </c>
      <c r="R270" s="127">
        <v>0</v>
      </c>
      <c r="S270" s="127">
        <v>0</v>
      </c>
      <c r="T270" s="127">
        <v>4</v>
      </c>
      <c r="U270" s="127" t="s">
        <v>1491</v>
      </c>
      <c r="V270" s="127" t="s">
        <v>76</v>
      </c>
      <c r="W270" s="127">
        <v>0</v>
      </c>
      <c r="X270" s="127">
        <v>0</v>
      </c>
      <c r="Y270" s="127">
        <v>0</v>
      </c>
      <c r="Z270" s="127">
        <v>0</v>
      </c>
      <c r="AA270" s="127" t="s">
        <v>2511</v>
      </c>
      <c r="AB270" s="131" t="s">
        <v>1149</v>
      </c>
      <c r="AC270" s="127" t="s">
        <v>1957</v>
      </c>
      <c r="AD270" s="131" t="s">
        <v>2322</v>
      </c>
      <c r="AE270" s="131" t="e">
        <v>#N/A</v>
      </c>
      <c r="AF270" s="131" t="e">
        <v>#N/A</v>
      </c>
      <c r="AG270" s="131" t="e">
        <v>#REF!</v>
      </c>
    </row>
    <row r="271" spans="1:33" s="131" customFormat="1" ht="18" customHeight="1" x14ac:dyDescent="0.25">
      <c r="A271" s="125">
        <v>270</v>
      </c>
      <c r="B271" s="126" t="s">
        <v>134</v>
      </c>
      <c r="C271" s="126" t="s">
        <v>2842</v>
      </c>
      <c r="D271" s="126" t="s">
        <v>2796</v>
      </c>
      <c r="E271" s="127" t="s">
        <v>766</v>
      </c>
      <c r="F271" s="128"/>
      <c r="G271" s="128" t="s">
        <v>3290</v>
      </c>
      <c r="H271" s="125"/>
      <c r="I271" s="125"/>
      <c r="J271" s="132"/>
      <c r="K271" s="130"/>
      <c r="L271" s="129" t="s">
        <v>2554</v>
      </c>
      <c r="M271" s="127" t="s">
        <v>760</v>
      </c>
      <c r="N271" s="127" t="s">
        <v>760</v>
      </c>
      <c r="O271" s="127" t="s">
        <v>1553</v>
      </c>
      <c r="P271" s="127">
        <v>0</v>
      </c>
      <c r="Q271" s="127">
        <v>2</v>
      </c>
      <c r="R271" s="127" t="s">
        <v>800</v>
      </c>
      <c r="S271" s="127" t="s">
        <v>134</v>
      </c>
      <c r="T271" s="127">
        <v>0</v>
      </c>
      <c r="U271" s="127">
        <v>0</v>
      </c>
      <c r="V271" s="127">
        <v>0</v>
      </c>
      <c r="W271" s="127" t="s">
        <v>1441</v>
      </c>
      <c r="X271" s="127" t="s">
        <v>134</v>
      </c>
      <c r="Y271" s="127" t="s">
        <v>1436</v>
      </c>
      <c r="Z271" s="127" t="s">
        <v>1568</v>
      </c>
      <c r="AA271" s="127" t="s">
        <v>2510</v>
      </c>
      <c r="AB271" s="131" t="s">
        <v>834</v>
      </c>
      <c r="AC271" s="127" t="e">
        <v>#N/A</v>
      </c>
      <c r="AD271" s="131" t="s">
        <v>766</v>
      </c>
      <c r="AE271" s="131" t="e">
        <v>#N/A</v>
      </c>
      <c r="AF271" s="131" t="e">
        <v>#N/A</v>
      </c>
      <c r="AG271" s="131" t="e">
        <v>#REF!</v>
      </c>
    </row>
    <row r="272" spans="1:33" s="131" customFormat="1" ht="18" customHeight="1" x14ac:dyDescent="0.25">
      <c r="A272" s="125">
        <v>271</v>
      </c>
      <c r="B272" s="126" t="s">
        <v>119</v>
      </c>
      <c r="C272" s="126" t="s">
        <v>2843</v>
      </c>
      <c r="D272" s="126" t="s">
        <v>2821</v>
      </c>
      <c r="E272" s="127" t="s">
        <v>766</v>
      </c>
      <c r="F272" s="128" t="s">
        <v>2410</v>
      </c>
      <c r="G272" s="128" t="s">
        <v>3290</v>
      </c>
      <c r="H272" s="125"/>
      <c r="I272" s="125" t="s">
        <v>934</v>
      </c>
      <c r="J272" s="132"/>
      <c r="K272" s="130" t="s">
        <v>4</v>
      </c>
      <c r="L272" s="129"/>
      <c r="M272" s="127" t="s">
        <v>759</v>
      </c>
      <c r="N272" s="127" t="s">
        <v>770</v>
      </c>
      <c r="O272" s="127" t="s">
        <v>1427</v>
      </c>
      <c r="P272" s="127">
        <v>0</v>
      </c>
      <c r="Q272" s="127">
        <v>0</v>
      </c>
      <c r="R272" s="127">
        <v>0</v>
      </c>
      <c r="S272" s="127">
        <v>0</v>
      </c>
      <c r="T272" s="127">
        <v>4</v>
      </c>
      <c r="U272" s="127" t="s">
        <v>1441</v>
      </c>
      <c r="V272" s="127" t="s">
        <v>119</v>
      </c>
      <c r="W272" s="127">
        <v>0</v>
      </c>
      <c r="X272" s="127">
        <v>0</v>
      </c>
      <c r="Y272" s="127">
        <v>0</v>
      </c>
      <c r="Z272" s="127">
        <v>0</v>
      </c>
      <c r="AA272" s="127" t="s">
        <v>2511</v>
      </c>
      <c r="AB272" s="131" t="s">
        <v>1150</v>
      </c>
      <c r="AC272" s="127" t="s">
        <v>1958</v>
      </c>
      <c r="AD272" s="131" t="s">
        <v>766</v>
      </c>
      <c r="AE272" s="131" t="e">
        <v>#N/A</v>
      </c>
      <c r="AF272" s="131" t="e">
        <v>#N/A</v>
      </c>
      <c r="AG272" s="131" t="e">
        <v>#REF!</v>
      </c>
    </row>
    <row r="273" spans="1:33" s="131" customFormat="1" ht="18" customHeight="1" x14ac:dyDescent="0.25">
      <c r="A273" s="125">
        <v>272</v>
      </c>
      <c r="B273" s="126" t="s">
        <v>121</v>
      </c>
      <c r="C273" s="126" t="s">
        <v>2844</v>
      </c>
      <c r="D273" s="126" t="s">
        <v>2796</v>
      </c>
      <c r="E273" s="127" t="s">
        <v>766</v>
      </c>
      <c r="F273" s="128" t="s">
        <v>2411</v>
      </c>
      <c r="G273" s="128" t="s">
        <v>3289</v>
      </c>
      <c r="H273" s="125"/>
      <c r="I273" s="125"/>
      <c r="J273" s="132"/>
      <c r="K273" s="130"/>
      <c r="L273" s="129"/>
      <c r="M273" s="127" t="s">
        <v>758</v>
      </c>
      <c r="N273" s="127" t="s">
        <v>765</v>
      </c>
      <c r="O273" s="127" t="s">
        <v>1502</v>
      </c>
      <c r="P273" s="127" t="s">
        <v>812</v>
      </c>
      <c r="Q273" s="127">
        <v>0</v>
      </c>
      <c r="R273" s="127">
        <v>0</v>
      </c>
      <c r="S273" s="127">
        <v>0</v>
      </c>
      <c r="T273" s="127">
        <v>0</v>
      </c>
      <c r="U273" s="127">
        <v>0</v>
      </c>
      <c r="V273" s="127">
        <v>0</v>
      </c>
      <c r="W273" s="127">
        <v>0</v>
      </c>
      <c r="X273" s="127">
        <v>0</v>
      </c>
      <c r="Y273" s="127">
        <v>0</v>
      </c>
      <c r="Z273" s="127">
        <v>0</v>
      </c>
      <c r="AA273" s="127" t="s">
        <v>2510</v>
      </c>
      <c r="AB273" s="131" t="s">
        <v>1151</v>
      </c>
      <c r="AC273" s="127" t="s">
        <v>1959</v>
      </c>
      <c r="AD273" s="131" t="s">
        <v>766</v>
      </c>
      <c r="AE273" s="131" t="e">
        <v>#N/A</v>
      </c>
      <c r="AF273" s="131" t="e">
        <v>#N/A</v>
      </c>
      <c r="AG273" s="131" t="e">
        <v>#REF!</v>
      </c>
    </row>
    <row r="274" spans="1:33" s="131" customFormat="1" ht="18" customHeight="1" x14ac:dyDescent="0.25">
      <c r="A274" s="125">
        <v>273</v>
      </c>
      <c r="B274" s="126" t="s">
        <v>103</v>
      </c>
      <c r="C274" s="126" t="s">
        <v>2845</v>
      </c>
      <c r="D274" s="126" t="s">
        <v>2790</v>
      </c>
      <c r="E274" s="127" t="s">
        <v>2322</v>
      </c>
      <c r="F274" s="128" t="s">
        <v>2411</v>
      </c>
      <c r="G274" s="128" t="s">
        <v>3289</v>
      </c>
      <c r="H274" s="125"/>
      <c r="I274" s="125"/>
      <c r="J274" s="132" t="s">
        <v>1641</v>
      </c>
      <c r="K274" s="130"/>
      <c r="L274" s="129"/>
      <c r="M274" s="127" t="s">
        <v>759</v>
      </c>
      <c r="N274" s="127" t="s">
        <v>1641</v>
      </c>
      <c r="O274" s="127" t="s">
        <v>801</v>
      </c>
      <c r="P274" s="127" t="s">
        <v>812</v>
      </c>
      <c r="Q274" s="127">
        <v>0</v>
      </c>
      <c r="R274" s="127">
        <v>0</v>
      </c>
      <c r="S274" s="127">
        <v>0</v>
      </c>
      <c r="T274" s="127">
        <v>0</v>
      </c>
      <c r="U274" s="127">
        <v>0</v>
      </c>
      <c r="V274" s="127">
        <v>0</v>
      </c>
      <c r="W274" s="127">
        <v>0</v>
      </c>
      <c r="X274" s="127">
        <v>0</v>
      </c>
      <c r="Y274" s="127">
        <v>0</v>
      </c>
      <c r="Z274" s="127">
        <v>0</v>
      </c>
      <c r="AA274" s="127" t="s">
        <v>2511</v>
      </c>
      <c r="AB274" s="131" t="s">
        <v>657</v>
      </c>
      <c r="AC274" s="127" t="s">
        <v>1960</v>
      </c>
      <c r="AD274" s="131" t="s">
        <v>2322</v>
      </c>
      <c r="AE274" s="131" t="e">
        <v>#N/A</v>
      </c>
      <c r="AF274" s="131" t="e">
        <v>#N/A</v>
      </c>
      <c r="AG274" s="131" t="e">
        <v>#REF!</v>
      </c>
    </row>
    <row r="275" spans="1:33" s="131" customFormat="1" ht="15.75" x14ac:dyDescent="0.25">
      <c r="A275" s="125">
        <v>274</v>
      </c>
      <c r="B275" s="126" t="s">
        <v>135</v>
      </c>
      <c r="C275" s="126" t="s">
        <v>2846</v>
      </c>
      <c r="D275" s="126" t="s">
        <v>2796</v>
      </c>
      <c r="E275" s="127" t="s">
        <v>766</v>
      </c>
      <c r="F275" s="128" t="s">
        <v>2411</v>
      </c>
      <c r="G275" s="128" t="s">
        <v>3289</v>
      </c>
      <c r="H275" s="125"/>
      <c r="I275" s="125"/>
      <c r="J275" s="132" t="s">
        <v>1641</v>
      </c>
      <c r="K275" s="130"/>
      <c r="L275" s="129"/>
      <c r="M275" s="127" t="s">
        <v>759</v>
      </c>
      <c r="N275" s="127" t="s">
        <v>1641</v>
      </c>
      <c r="O275" s="127" t="s">
        <v>3311</v>
      </c>
      <c r="P275" s="127" t="s">
        <v>812</v>
      </c>
      <c r="Q275" s="127">
        <v>0</v>
      </c>
      <c r="R275" s="127">
        <v>0</v>
      </c>
      <c r="S275" s="127">
        <v>0</v>
      </c>
      <c r="T275" s="127">
        <v>0</v>
      </c>
      <c r="U275" s="127">
        <v>0</v>
      </c>
      <c r="V275" s="127">
        <v>0</v>
      </c>
      <c r="W275" s="127">
        <v>0</v>
      </c>
      <c r="X275" s="127">
        <v>0</v>
      </c>
      <c r="Y275" s="127">
        <v>0</v>
      </c>
      <c r="Z275" s="127">
        <v>0</v>
      </c>
      <c r="AA275" s="127" t="s">
        <v>2511</v>
      </c>
      <c r="AB275" s="131" t="s">
        <v>1152</v>
      </c>
      <c r="AC275" s="127" t="s">
        <v>2279</v>
      </c>
      <c r="AD275" s="131" t="s">
        <v>766</v>
      </c>
      <c r="AE275" s="131" t="e">
        <v>#N/A</v>
      </c>
      <c r="AF275" s="131" t="e">
        <v>#N/A</v>
      </c>
      <c r="AG275" s="131" t="e">
        <v>#REF!</v>
      </c>
    </row>
    <row r="276" spans="1:33" s="131" customFormat="1" ht="18" customHeight="1" x14ac:dyDescent="0.25">
      <c r="A276" s="125">
        <v>275</v>
      </c>
      <c r="B276" s="126" t="s">
        <v>77</v>
      </c>
      <c r="C276" s="126" t="s">
        <v>2847</v>
      </c>
      <c r="D276" s="126" t="s">
        <v>2790</v>
      </c>
      <c r="E276" s="127" t="s">
        <v>2322</v>
      </c>
      <c r="F276" s="128" t="s">
        <v>2411</v>
      </c>
      <c r="G276" s="128" t="s">
        <v>3289</v>
      </c>
      <c r="H276" s="125"/>
      <c r="I276" s="125"/>
      <c r="J276" s="132"/>
      <c r="K276" s="130"/>
      <c r="L276" s="129"/>
      <c r="M276" s="127" t="s">
        <v>758</v>
      </c>
      <c r="N276" s="127" t="s">
        <v>765</v>
      </c>
      <c r="O276" s="127" t="s">
        <v>1565</v>
      </c>
      <c r="P276" s="127" t="s">
        <v>812</v>
      </c>
      <c r="Q276" s="127">
        <v>0</v>
      </c>
      <c r="R276" s="127">
        <v>0</v>
      </c>
      <c r="S276" s="127">
        <v>0</v>
      </c>
      <c r="T276" s="127">
        <v>0</v>
      </c>
      <c r="U276" s="127">
        <v>0</v>
      </c>
      <c r="V276" s="127">
        <v>0</v>
      </c>
      <c r="W276" s="127">
        <v>0</v>
      </c>
      <c r="X276" s="127">
        <v>0</v>
      </c>
      <c r="Y276" s="127">
        <v>0</v>
      </c>
      <c r="Z276" s="127">
        <v>0</v>
      </c>
      <c r="AA276" s="127" t="s">
        <v>2511</v>
      </c>
      <c r="AB276" s="131" t="s">
        <v>1154</v>
      </c>
      <c r="AC276" s="127" t="s">
        <v>1961</v>
      </c>
      <c r="AD276" s="131" t="s">
        <v>2322</v>
      </c>
      <c r="AE276" s="131" t="e">
        <v>#N/A</v>
      </c>
      <c r="AF276" s="131" t="e">
        <v>#N/A</v>
      </c>
      <c r="AG276" s="131" t="e">
        <v>#REF!</v>
      </c>
    </row>
    <row r="277" spans="1:33" s="131" customFormat="1" ht="18" customHeight="1" x14ac:dyDescent="0.25">
      <c r="A277" s="125">
        <v>276</v>
      </c>
      <c r="B277" s="126" t="s">
        <v>104</v>
      </c>
      <c r="C277" s="126" t="s">
        <v>2848</v>
      </c>
      <c r="D277" s="126" t="s">
        <v>2796</v>
      </c>
      <c r="E277" s="127" t="s">
        <v>766</v>
      </c>
      <c r="F277" s="128" t="s">
        <v>2410</v>
      </c>
      <c r="G277" s="128" t="s">
        <v>3290</v>
      </c>
      <c r="H277" s="125"/>
      <c r="I277" s="125"/>
      <c r="J277" s="127"/>
      <c r="K277" s="130"/>
      <c r="L277" s="129" t="s">
        <v>2554</v>
      </c>
      <c r="M277" s="127" t="s">
        <v>758</v>
      </c>
      <c r="N277" s="127" t="s">
        <v>764</v>
      </c>
      <c r="O277" s="127" t="s">
        <v>1553</v>
      </c>
      <c r="P277" s="127">
        <v>0</v>
      </c>
      <c r="Q277" s="127">
        <v>2</v>
      </c>
      <c r="R277" s="127" t="s">
        <v>1487</v>
      </c>
      <c r="S277" s="127" t="s">
        <v>104</v>
      </c>
      <c r="T277" s="127">
        <v>0</v>
      </c>
      <c r="U277" s="127">
        <v>0</v>
      </c>
      <c r="V277" s="127">
        <v>0</v>
      </c>
      <c r="W277" s="127" t="s">
        <v>1441</v>
      </c>
      <c r="X277" s="127" t="s">
        <v>104</v>
      </c>
      <c r="Y277" s="127" t="s">
        <v>1436</v>
      </c>
      <c r="Z277" s="127" t="s">
        <v>1568</v>
      </c>
      <c r="AA277" s="127" t="s">
        <v>2510</v>
      </c>
      <c r="AB277" s="131" t="s">
        <v>1155</v>
      </c>
      <c r="AC277" s="127" t="s">
        <v>1962</v>
      </c>
      <c r="AD277" s="131" t="s">
        <v>766</v>
      </c>
      <c r="AE277" s="131" t="e">
        <v>#N/A</v>
      </c>
      <c r="AF277" s="131" t="e">
        <v>#N/A</v>
      </c>
      <c r="AG277" s="131" t="e">
        <v>#REF!</v>
      </c>
    </row>
    <row r="278" spans="1:33" s="131" customFormat="1" ht="18" customHeight="1" x14ac:dyDescent="0.25">
      <c r="A278" s="125">
        <v>277</v>
      </c>
      <c r="B278" s="126" t="s">
        <v>105</v>
      </c>
      <c r="C278" s="126" t="s">
        <v>2849</v>
      </c>
      <c r="D278" s="126" t="s">
        <v>2796</v>
      </c>
      <c r="E278" s="127" t="s">
        <v>766</v>
      </c>
      <c r="F278" s="128"/>
      <c r="G278" s="128" t="s">
        <v>3290</v>
      </c>
      <c r="H278" s="125"/>
      <c r="I278" s="125"/>
      <c r="J278" s="132" t="s">
        <v>1641</v>
      </c>
      <c r="K278" s="130"/>
      <c r="L278" s="129"/>
      <c r="M278" s="127" t="s">
        <v>759</v>
      </c>
      <c r="N278" s="127" t="s">
        <v>1641</v>
      </c>
      <c r="O278" s="127" t="s">
        <v>1427</v>
      </c>
      <c r="P278" s="127">
        <v>0</v>
      </c>
      <c r="Q278" s="127">
        <v>0</v>
      </c>
      <c r="R278" s="127">
        <v>0</v>
      </c>
      <c r="S278" s="127">
        <v>0</v>
      </c>
      <c r="T278" s="127">
        <v>2</v>
      </c>
      <c r="U278" s="127" t="s">
        <v>1500</v>
      </c>
      <c r="V278" s="127" t="s">
        <v>105</v>
      </c>
      <c r="W278" s="127">
        <v>0</v>
      </c>
      <c r="X278" s="127">
        <v>0</v>
      </c>
      <c r="Y278" s="127">
        <v>0</v>
      </c>
      <c r="Z278" s="127">
        <v>0</v>
      </c>
      <c r="AA278" s="127" t="s">
        <v>2511</v>
      </c>
      <c r="AB278" s="131" t="s">
        <v>1156</v>
      </c>
      <c r="AC278" s="127" t="s">
        <v>2280</v>
      </c>
      <c r="AD278" s="131" t="s">
        <v>766</v>
      </c>
      <c r="AE278" s="131" t="e">
        <v>#N/A</v>
      </c>
      <c r="AF278" s="131" t="e">
        <v>#N/A</v>
      </c>
      <c r="AG278" s="131" t="e">
        <v>#REF!</v>
      </c>
    </row>
    <row r="279" spans="1:33" s="131" customFormat="1" ht="18" customHeight="1" x14ac:dyDescent="0.25">
      <c r="A279" s="125">
        <v>278</v>
      </c>
      <c r="B279" s="126" t="s">
        <v>377</v>
      </c>
      <c r="C279" s="126" t="s">
        <v>2850</v>
      </c>
      <c r="D279" s="126" t="s">
        <v>2821</v>
      </c>
      <c r="E279" s="127" t="s">
        <v>766</v>
      </c>
      <c r="F279" s="128" t="s">
        <v>2411</v>
      </c>
      <c r="G279" s="128" t="s">
        <v>3290</v>
      </c>
      <c r="H279" s="125"/>
      <c r="I279" s="125"/>
      <c r="J279" s="132"/>
      <c r="K279" s="130"/>
      <c r="L279" s="129" t="s">
        <v>2554</v>
      </c>
      <c r="M279" s="127" t="s">
        <v>759</v>
      </c>
      <c r="N279" s="127" t="s">
        <v>770</v>
      </c>
      <c r="O279" s="127" t="s">
        <v>1427</v>
      </c>
      <c r="P279" s="127" t="s">
        <v>1554</v>
      </c>
      <c r="Q279" s="127">
        <v>0</v>
      </c>
      <c r="R279" s="127">
        <v>0</v>
      </c>
      <c r="S279" s="127">
        <v>0</v>
      </c>
      <c r="T279" s="127">
        <v>4</v>
      </c>
      <c r="U279" s="127" t="s">
        <v>1441</v>
      </c>
      <c r="V279" s="127" t="s">
        <v>377</v>
      </c>
      <c r="W279" s="127">
        <v>0</v>
      </c>
      <c r="X279" s="127">
        <v>0</v>
      </c>
      <c r="Y279" s="127">
        <v>0</v>
      </c>
      <c r="Z279" s="127" t="s">
        <v>1568</v>
      </c>
      <c r="AA279" s="127" t="s">
        <v>2511</v>
      </c>
      <c r="AB279" s="131" t="s">
        <v>1158</v>
      </c>
      <c r="AC279" s="127" t="s">
        <v>1963</v>
      </c>
      <c r="AD279" s="131" t="s">
        <v>766</v>
      </c>
      <c r="AE279" s="131" t="e">
        <v>#N/A</v>
      </c>
      <c r="AF279" s="131" t="e">
        <v>#N/A</v>
      </c>
      <c r="AG279" s="131" t="e">
        <v>#REF!</v>
      </c>
    </row>
    <row r="280" spans="1:33" s="131" customFormat="1" ht="18" customHeight="1" x14ac:dyDescent="0.25">
      <c r="A280" s="125">
        <v>279</v>
      </c>
      <c r="B280" s="126" t="s">
        <v>106</v>
      </c>
      <c r="C280" s="126" t="s">
        <v>2851</v>
      </c>
      <c r="D280" s="126" t="s">
        <v>2790</v>
      </c>
      <c r="E280" s="127" t="s">
        <v>2322</v>
      </c>
      <c r="F280" s="128" t="s">
        <v>2410</v>
      </c>
      <c r="G280" s="128" t="s">
        <v>3290</v>
      </c>
      <c r="H280" s="125"/>
      <c r="I280" s="125"/>
      <c r="J280" s="132"/>
      <c r="K280" s="130" t="s">
        <v>103</v>
      </c>
      <c r="L280" s="129" t="s">
        <v>2553</v>
      </c>
      <c r="M280" s="127" t="s">
        <v>761</v>
      </c>
      <c r="N280" s="127" t="s">
        <v>764</v>
      </c>
      <c r="O280" s="127" t="s">
        <v>1553</v>
      </c>
      <c r="P280" s="127">
        <v>0</v>
      </c>
      <c r="Q280" s="127">
        <v>2</v>
      </c>
      <c r="R280" s="127" t="s">
        <v>801</v>
      </c>
      <c r="S280" s="127" t="s">
        <v>106</v>
      </c>
      <c r="T280" s="127">
        <v>0</v>
      </c>
      <c r="U280" s="127">
        <v>0</v>
      </c>
      <c r="V280" s="127">
        <v>0</v>
      </c>
      <c r="W280" s="127">
        <v>0</v>
      </c>
      <c r="X280" s="127">
        <v>0</v>
      </c>
      <c r="Y280" s="127">
        <v>0</v>
      </c>
      <c r="Z280" s="127">
        <v>0</v>
      </c>
      <c r="AA280" s="127" t="s">
        <v>2511</v>
      </c>
      <c r="AB280" s="131" t="s">
        <v>1159</v>
      </c>
      <c r="AC280" s="127" t="s">
        <v>1964</v>
      </c>
      <c r="AD280" s="131" t="s">
        <v>2322</v>
      </c>
      <c r="AE280" s="131" t="s">
        <v>103</v>
      </c>
      <c r="AF280" s="131" t="b">
        <v>1</v>
      </c>
      <c r="AG280" s="131" t="e">
        <v>#REF!</v>
      </c>
    </row>
    <row r="281" spans="1:33" s="131" customFormat="1" ht="18" customHeight="1" x14ac:dyDescent="0.25">
      <c r="A281" s="125">
        <v>280</v>
      </c>
      <c r="B281" s="126" t="s">
        <v>126</v>
      </c>
      <c r="C281" s="126" t="s">
        <v>2852</v>
      </c>
      <c r="D281" s="126" t="s">
        <v>2821</v>
      </c>
      <c r="E281" s="127" t="s">
        <v>766</v>
      </c>
      <c r="F281" s="128" t="s">
        <v>2521</v>
      </c>
      <c r="G281" s="128" t="s">
        <v>3290</v>
      </c>
      <c r="H281" s="125"/>
      <c r="I281" s="125"/>
      <c r="J281" s="127" t="s">
        <v>2520</v>
      </c>
      <c r="K281" s="130"/>
      <c r="L281" s="129"/>
      <c r="M281" s="127" t="s">
        <v>758</v>
      </c>
      <c r="N281" s="127" t="s">
        <v>2520</v>
      </c>
      <c r="O281" s="127" t="s">
        <v>1553</v>
      </c>
      <c r="P281" s="127" t="s">
        <v>1554</v>
      </c>
      <c r="Q281" s="127">
        <v>2</v>
      </c>
      <c r="R281" s="127" t="s">
        <v>1504</v>
      </c>
      <c r="S281" s="127" t="s">
        <v>126</v>
      </c>
      <c r="T281" s="127">
        <v>0</v>
      </c>
      <c r="U281" s="127">
        <v>0</v>
      </c>
      <c r="V281" s="127">
        <v>0</v>
      </c>
      <c r="W281" s="127">
        <v>0</v>
      </c>
      <c r="X281" s="127">
        <v>0</v>
      </c>
      <c r="Y281" s="127">
        <v>0</v>
      </c>
      <c r="Z281" s="127" t="s">
        <v>1568</v>
      </c>
      <c r="AA281" s="127" t="s">
        <v>2510</v>
      </c>
      <c r="AB281" s="131" t="s">
        <v>1161</v>
      </c>
      <c r="AC281" s="127" t="s">
        <v>1965</v>
      </c>
      <c r="AD281" s="131" t="s">
        <v>766</v>
      </c>
      <c r="AE281" s="131" t="e">
        <v>#N/A</v>
      </c>
      <c r="AF281" s="131" t="e">
        <v>#N/A</v>
      </c>
      <c r="AG281" s="131" t="e">
        <v>#REF!</v>
      </c>
    </row>
    <row r="282" spans="1:33" s="131" customFormat="1" ht="15.75" x14ac:dyDescent="0.25">
      <c r="A282" s="125">
        <v>281</v>
      </c>
      <c r="B282" s="126" t="s">
        <v>107</v>
      </c>
      <c r="C282" s="126" t="s">
        <v>2853</v>
      </c>
      <c r="D282" s="126" t="s">
        <v>2796</v>
      </c>
      <c r="E282" s="127" t="s">
        <v>766</v>
      </c>
      <c r="F282" s="128" t="s">
        <v>2411</v>
      </c>
      <c r="G282" s="128" t="s">
        <v>3289</v>
      </c>
      <c r="H282" s="125"/>
      <c r="I282" s="125"/>
      <c r="J282" s="132"/>
      <c r="K282" s="130"/>
      <c r="L282" s="129" t="s">
        <v>2554</v>
      </c>
      <c r="M282" s="127" t="s">
        <v>758</v>
      </c>
      <c r="N282" s="127" t="s">
        <v>765</v>
      </c>
      <c r="O282" s="127" t="s">
        <v>3312</v>
      </c>
      <c r="P282" s="127" t="s">
        <v>812</v>
      </c>
      <c r="Q282" s="127">
        <v>0</v>
      </c>
      <c r="R282" s="127">
        <v>0</v>
      </c>
      <c r="S282" s="127">
        <v>0</v>
      </c>
      <c r="T282" s="127">
        <v>0</v>
      </c>
      <c r="U282" s="127">
        <v>0</v>
      </c>
      <c r="V282" s="127">
        <v>0</v>
      </c>
      <c r="W282" s="127">
        <v>0</v>
      </c>
      <c r="X282" s="127">
        <v>0</v>
      </c>
      <c r="Y282" s="127">
        <v>0</v>
      </c>
      <c r="Z282" s="127">
        <v>0</v>
      </c>
      <c r="AA282" s="127" t="s">
        <v>2511</v>
      </c>
      <c r="AB282" s="131" t="s">
        <v>1162</v>
      </c>
      <c r="AC282" s="127" t="s">
        <v>1966</v>
      </c>
      <c r="AD282" s="131" t="s">
        <v>766</v>
      </c>
      <c r="AE282" s="131" t="e">
        <v>#N/A</v>
      </c>
      <c r="AF282" s="131" t="e">
        <v>#N/A</v>
      </c>
      <c r="AG282" s="131" t="e">
        <v>#REF!</v>
      </c>
    </row>
    <row r="283" spans="1:33" s="131" customFormat="1" ht="18" customHeight="1" x14ac:dyDescent="0.25">
      <c r="A283" s="125">
        <v>282</v>
      </c>
      <c r="B283" s="126" t="s">
        <v>108</v>
      </c>
      <c r="C283" s="126" t="s">
        <v>2854</v>
      </c>
      <c r="D283" s="126" t="s">
        <v>2796</v>
      </c>
      <c r="E283" s="127" t="s">
        <v>766</v>
      </c>
      <c r="F283" s="128" t="s">
        <v>2411</v>
      </c>
      <c r="G283" s="128" t="s">
        <v>3289</v>
      </c>
      <c r="H283" s="125"/>
      <c r="I283" s="125"/>
      <c r="J283" s="132"/>
      <c r="K283" s="130"/>
      <c r="L283" s="129"/>
      <c r="M283" s="127" t="s">
        <v>758</v>
      </c>
      <c r="N283" s="127" t="s">
        <v>765</v>
      </c>
      <c r="O283" s="127" t="s">
        <v>3313</v>
      </c>
      <c r="P283" s="127" t="s">
        <v>812</v>
      </c>
      <c r="Q283" s="127">
        <v>0</v>
      </c>
      <c r="R283" s="127">
        <v>0</v>
      </c>
      <c r="S283" s="127">
        <v>0</v>
      </c>
      <c r="T283" s="127">
        <v>0</v>
      </c>
      <c r="U283" s="127">
        <v>0</v>
      </c>
      <c r="V283" s="127">
        <v>0</v>
      </c>
      <c r="W283" s="127">
        <v>0</v>
      </c>
      <c r="X283" s="127">
        <v>0</v>
      </c>
      <c r="Y283" s="127">
        <v>0</v>
      </c>
      <c r="Z283" s="127">
        <v>0</v>
      </c>
      <c r="AA283" s="127" t="s">
        <v>2511</v>
      </c>
      <c r="AB283" s="131" t="s">
        <v>1163</v>
      </c>
      <c r="AC283" s="127" t="s">
        <v>1967</v>
      </c>
      <c r="AD283" s="127" t="s">
        <v>766</v>
      </c>
      <c r="AE283" s="131" t="e">
        <v>#N/A</v>
      </c>
      <c r="AF283" s="131" t="e">
        <v>#N/A</v>
      </c>
      <c r="AG283" s="131" t="e">
        <v>#REF!</v>
      </c>
    </row>
    <row r="284" spans="1:33" s="131" customFormat="1" ht="18" customHeight="1" x14ac:dyDescent="0.25">
      <c r="A284" s="125">
        <v>283</v>
      </c>
      <c r="B284" s="126" t="s">
        <v>78</v>
      </c>
      <c r="C284" s="126" t="s">
        <v>2855</v>
      </c>
      <c r="D284" s="126" t="s">
        <v>2790</v>
      </c>
      <c r="E284" s="127" t="s">
        <v>1418</v>
      </c>
      <c r="F284" s="128" t="s">
        <v>2410</v>
      </c>
      <c r="G284" s="128" t="s">
        <v>3290</v>
      </c>
      <c r="H284" s="125"/>
      <c r="I284" s="125"/>
      <c r="J284" s="132"/>
      <c r="K284" s="130" t="s">
        <v>64</v>
      </c>
      <c r="L284" s="129" t="s">
        <v>2553</v>
      </c>
      <c r="M284" s="127" t="s">
        <v>758</v>
      </c>
      <c r="N284" s="127" t="s">
        <v>765</v>
      </c>
      <c r="O284" s="127" t="s">
        <v>1427</v>
      </c>
      <c r="P284" s="127" t="s">
        <v>1554</v>
      </c>
      <c r="Q284" s="127">
        <v>0</v>
      </c>
      <c r="R284" s="127">
        <v>0</v>
      </c>
      <c r="S284" s="127">
        <v>0</v>
      </c>
      <c r="T284" s="127">
        <v>2</v>
      </c>
      <c r="U284" s="127" t="s">
        <v>1491</v>
      </c>
      <c r="V284" s="127" t="s">
        <v>78</v>
      </c>
      <c r="W284" s="127">
        <v>0</v>
      </c>
      <c r="X284" s="127">
        <v>0</v>
      </c>
      <c r="Y284" s="127">
        <v>0</v>
      </c>
      <c r="Z284" s="127">
        <v>0</v>
      </c>
      <c r="AA284" s="127" t="s">
        <v>2511</v>
      </c>
      <c r="AB284" s="131" t="s">
        <v>1164</v>
      </c>
      <c r="AC284" s="127" t="s">
        <v>1968</v>
      </c>
      <c r="AD284" s="127" t="s">
        <v>1418</v>
      </c>
      <c r="AE284" s="131" t="s">
        <v>297</v>
      </c>
      <c r="AF284" s="131" t="b">
        <v>0</v>
      </c>
      <c r="AG284" s="131" t="e">
        <v>#REF!</v>
      </c>
    </row>
    <row r="285" spans="1:33" s="131" customFormat="1" ht="18" customHeight="1" x14ac:dyDescent="0.25">
      <c r="A285" s="125">
        <v>284</v>
      </c>
      <c r="B285" s="126" t="s">
        <v>88</v>
      </c>
      <c r="C285" s="126" t="s">
        <v>2856</v>
      </c>
      <c r="D285" s="126" t="s">
        <v>2790</v>
      </c>
      <c r="E285" s="127" t="s">
        <v>2322</v>
      </c>
      <c r="F285" s="128" t="s">
        <v>2410</v>
      </c>
      <c r="G285" s="128" t="s">
        <v>3290</v>
      </c>
      <c r="H285" s="125"/>
      <c r="I285" s="125"/>
      <c r="J285" s="127"/>
      <c r="K285" s="130" t="s">
        <v>87</v>
      </c>
      <c r="L285" s="129" t="s">
        <v>2553</v>
      </c>
      <c r="M285" s="127" t="s">
        <v>758</v>
      </c>
      <c r="N285" s="127" t="s">
        <v>764</v>
      </c>
      <c r="O285" s="127" t="s">
        <v>1553</v>
      </c>
      <c r="P285" s="127">
        <v>0</v>
      </c>
      <c r="Q285" s="127">
        <v>2</v>
      </c>
      <c r="R285" s="127" t="s">
        <v>1503</v>
      </c>
      <c r="S285" s="127" t="s">
        <v>88</v>
      </c>
      <c r="T285" s="127">
        <v>0</v>
      </c>
      <c r="U285" s="127">
        <v>0</v>
      </c>
      <c r="V285" s="127">
        <v>0</v>
      </c>
      <c r="W285" s="127">
        <v>0</v>
      </c>
      <c r="X285" s="127">
        <v>0</v>
      </c>
      <c r="Y285" s="127">
        <v>0</v>
      </c>
      <c r="Z285" s="127">
        <v>0</v>
      </c>
      <c r="AA285" s="127" t="s">
        <v>2511</v>
      </c>
      <c r="AB285" s="131" t="s">
        <v>1165</v>
      </c>
      <c r="AC285" s="127" t="s">
        <v>1969</v>
      </c>
      <c r="AD285" s="131" t="s">
        <v>2322</v>
      </c>
      <c r="AE285" s="131" t="s">
        <v>87</v>
      </c>
      <c r="AF285" s="131" t="b">
        <v>1</v>
      </c>
      <c r="AG285" s="131" t="e">
        <v>#REF!</v>
      </c>
    </row>
    <row r="286" spans="1:33" s="131" customFormat="1" ht="18" customHeight="1" x14ac:dyDescent="0.25">
      <c r="A286" s="125">
        <v>285</v>
      </c>
      <c r="B286" s="126" t="s">
        <v>26</v>
      </c>
      <c r="C286" s="126" t="s">
        <v>2857</v>
      </c>
      <c r="D286" s="126" t="s">
        <v>2798</v>
      </c>
      <c r="E286" s="127" t="s">
        <v>1418</v>
      </c>
      <c r="F286" s="128" t="s">
        <v>2411</v>
      </c>
      <c r="G286" s="128" t="s">
        <v>3289</v>
      </c>
      <c r="H286" s="125"/>
      <c r="I286" s="125"/>
      <c r="J286" s="132"/>
      <c r="K286" s="130"/>
      <c r="L286" s="129"/>
      <c r="M286" s="127" t="s">
        <v>758</v>
      </c>
      <c r="N286" s="127" t="s">
        <v>765</v>
      </c>
      <c r="O286" s="127" t="s">
        <v>1505</v>
      </c>
      <c r="P286" s="127" t="s">
        <v>812</v>
      </c>
      <c r="Q286" s="127">
        <v>0</v>
      </c>
      <c r="R286" s="127">
        <v>0</v>
      </c>
      <c r="S286" s="127">
        <v>0</v>
      </c>
      <c r="T286" s="127">
        <v>0</v>
      </c>
      <c r="U286" s="127">
        <v>0</v>
      </c>
      <c r="V286" s="127">
        <v>0</v>
      </c>
      <c r="W286" s="127">
        <v>0</v>
      </c>
      <c r="X286" s="127">
        <v>0</v>
      </c>
      <c r="Y286" s="127">
        <v>0</v>
      </c>
      <c r="Z286" s="127">
        <v>0</v>
      </c>
      <c r="AA286" s="127" t="s">
        <v>2511</v>
      </c>
      <c r="AB286" s="131" t="s">
        <v>1166</v>
      </c>
      <c r="AC286" s="127" t="s">
        <v>1970</v>
      </c>
      <c r="AD286" s="127" t="s">
        <v>1418</v>
      </c>
      <c r="AE286" s="131" t="e">
        <v>#N/A</v>
      </c>
      <c r="AF286" s="131" t="e">
        <v>#N/A</v>
      </c>
      <c r="AG286" s="131" t="e">
        <v>#REF!</v>
      </c>
    </row>
    <row r="287" spans="1:33" s="131" customFormat="1" ht="18" customHeight="1" x14ac:dyDescent="0.25">
      <c r="A287" s="125">
        <v>286</v>
      </c>
      <c r="B287" s="126" t="s">
        <v>132</v>
      </c>
      <c r="C287" s="126" t="s">
        <v>2858</v>
      </c>
      <c r="D287" s="126" t="s">
        <v>2796</v>
      </c>
      <c r="E287" s="127" t="s">
        <v>766</v>
      </c>
      <c r="F287" s="128" t="s">
        <v>2411</v>
      </c>
      <c r="G287" s="128" t="s">
        <v>3289</v>
      </c>
      <c r="H287" s="125"/>
      <c r="I287" s="125"/>
      <c r="J287" s="132"/>
      <c r="K287" s="130"/>
      <c r="L287" s="129"/>
      <c r="M287" s="127" t="s">
        <v>758</v>
      </c>
      <c r="N287" s="127" t="s">
        <v>765</v>
      </c>
      <c r="O287" s="127" t="s">
        <v>1495</v>
      </c>
      <c r="P287" s="127" t="s">
        <v>812</v>
      </c>
      <c r="Q287" s="127">
        <v>0</v>
      </c>
      <c r="R287" s="127">
        <v>0</v>
      </c>
      <c r="S287" s="127">
        <v>0</v>
      </c>
      <c r="T287" s="127">
        <v>0</v>
      </c>
      <c r="U287" s="127">
        <v>0</v>
      </c>
      <c r="V287" s="127">
        <v>0</v>
      </c>
      <c r="W287" s="127">
        <v>0</v>
      </c>
      <c r="X287" s="127">
        <v>0</v>
      </c>
      <c r="Y287" s="127">
        <v>0</v>
      </c>
      <c r="Z287" s="127">
        <v>0</v>
      </c>
      <c r="AA287" s="127" t="s">
        <v>2511</v>
      </c>
      <c r="AB287" s="131" t="s">
        <v>1167</v>
      </c>
      <c r="AC287" s="127" t="s">
        <v>1971</v>
      </c>
      <c r="AD287" s="127" t="s">
        <v>766</v>
      </c>
      <c r="AE287" s="131" t="e">
        <v>#N/A</v>
      </c>
      <c r="AF287" s="131" t="e">
        <v>#N/A</v>
      </c>
      <c r="AG287" s="131" t="e">
        <v>#REF!</v>
      </c>
    </row>
    <row r="288" spans="1:33" s="131" customFormat="1" ht="18" customHeight="1" x14ac:dyDescent="0.25">
      <c r="A288" s="125">
        <v>287</v>
      </c>
      <c r="B288" s="126" t="s">
        <v>2</v>
      </c>
      <c r="C288" s="126" t="s">
        <v>2859</v>
      </c>
      <c r="D288" s="126" t="s">
        <v>2790</v>
      </c>
      <c r="E288" s="127" t="s">
        <v>1418</v>
      </c>
      <c r="F288" s="128" t="s">
        <v>2410</v>
      </c>
      <c r="G288" s="128" t="s">
        <v>3289</v>
      </c>
      <c r="H288" s="125"/>
      <c r="I288" s="125"/>
      <c r="J288" s="132"/>
      <c r="K288" s="130" t="s">
        <v>64</v>
      </c>
      <c r="L288" s="129" t="s">
        <v>2553</v>
      </c>
      <c r="M288" s="127" t="s">
        <v>761</v>
      </c>
      <c r="N288" s="127" t="s">
        <v>764</v>
      </c>
      <c r="O288" s="127" t="s">
        <v>1553</v>
      </c>
      <c r="P288" s="127" t="s">
        <v>1554</v>
      </c>
      <c r="Q288" s="127">
        <v>4</v>
      </c>
      <c r="R288" s="127" t="s">
        <v>1491</v>
      </c>
      <c r="S288" s="127" t="s">
        <v>2</v>
      </c>
      <c r="T288" s="127">
        <v>0</v>
      </c>
      <c r="U288" s="127">
        <v>0</v>
      </c>
      <c r="V288" s="127">
        <v>0</v>
      </c>
      <c r="W288" s="127">
        <v>0</v>
      </c>
      <c r="X288" s="127">
        <v>0</v>
      </c>
      <c r="Y288" s="127">
        <v>0</v>
      </c>
      <c r="Z288" s="127">
        <v>0</v>
      </c>
      <c r="AA288" s="127" t="s">
        <v>2511</v>
      </c>
      <c r="AB288" s="131" t="s">
        <v>658</v>
      </c>
      <c r="AC288" s="127" t="e">
        <v>#N/A</v>
      </c>
      <c r="AD288" s="131" t="s">
        <v>1418</v>
      </c>
      <c r="AE288" s="131" t="s">
        <v>64</v>
      </c>
      <c r="AF288" s="131" t="b">
        <v>1</v>
      </c>
      <c r="AG288" s="131" t="e">
        <v>#REF!</v>
      </c>
    </row>
    <row r="289" spans="1:33" s="131" customFormat="1" ht="18" customHeight="1" x14ac:dyDescent="0.25">
      <c r="A289" s="125">
        <v>288</v>
      </c>
      <c r="B289" s="126" t="s">
        <v>109</v>
      </c>
      <c r="C289" s="126" t="s">
        <v>2860</v>
      </c>
      <c r="D289" s="126" t="s">
        <v>2796</v>
      </c>
      <c r="E289" s="127" t="s">
        <v>766</v>
      </c>
      <c r="F289" s="128" t="s">
        <v>2411</v>
      </c>
      <c r="G289" s="128" t="s">
        <v>3289</v>
      </c>
      <c r="H289" s="125" t="s">
        <v>952</v>
      </c>
      <c r="I289" s="125"/>
      <c r="J289" s="129"/>
      <c r="K289" s="130"/>
      <c r="L289" s="129"/>
      <c r="M289" s="127" t="s">
        <v>759</v>
      </c>
      <c r="N289" s="127" t="s">
        <v>1639</v>
      </c>
      <c r="O289" s="127" t="s">
        <v>1548</v>
      </c>
      <c r="P289" s="127" t="s">
        <v>812</v>
      </c>
      <c r="Q289" s="127">
        <v>0</v>
      </c>
      <c r="R289" s="127">
        <v>0</v>
      </c>
      <c r="S289" s="127">
        <v>0</v>
      </c>
      <c r="T289" s="127">
        <v>0</v>
      </c>
      <c r="U289" s="127">
        <v>0</v>
      </c>
      <c r="V289" s="127">
        <v>0</v>
      </c>
      <c r="W289" s="127">
        <v>0</v>
      </c>
      <c r="X289" s="127">
        <v>0</v>
      </c>
      <c r="Y289" s="127">
        <v>0</v>
      </c>
      <c r="Z289" s="127">
        <v>0</v>
      </c>
      <c r="AA289" s="127" t="s">
        <v>2511</v>
      </c>
      <c r="AB289" s="131" t="s">
        <v>1168</v>
      </c>
      <c r="AC289" s="127" t="s">
        <v>1972</v>
      </c>
      <c r="AD289" s="127" t="s">
        <v>766</v>
      </c>
      <c r="AE289" s="131" t="e">
        <v>#N/A</v>
      </c>
      <c r="AF289" s="131" t="e">
        <v>#N/A</v>
      </c>
      <c r="AG289" s="131" t="e">
        <v>#REF!</v>
      </c>
    </row>
    <row r="290" spans="1:33" s="131" customFormat="1" ht="18" customHeight="1" x14ac:dyDescent="0.25">
      <c r="A290" s="125">
        <v>289</v>
      </c>
      <c r="B290" s="126" t="s">
        <v>18</v>
      </c>
      <c r="C290" s="126" t="s">
        <v>2861</v>
      </c>
      <c r="D290" s="126" t="s">
        <v>2798</v>
      </c>
      <c r="E290" s="127" t="s">
        <v>1418</v>
      </c>
      <c r="F290" s="128" t="s">
        <v>2411</v>
      </c>
      <c r="G290" s="128" t="s">
        <v>3289</v>
      </c>
      <c r="H290" s="125"/>
      <c r="I290" s="125"/>
      <c r="J290" s="132"/>
      <c r="K290" s="130"/>
      <c r="L290" s="129"/>
      <c r="M290" s="127" t="s">
        <v>758</v>
      </c>
      <c r="N290" s="127" t="s">
        <v>765</v>
      </c>
      <c r="O290" s="127" t="s">
        <v>1501</v>
      </c>
      <c r="P290" s="127" t="s">
        <v>812</v>
      </c>
      <c r="Q290" s="127">
        <v>0</v>
      </c>
      <c r="R290" s="127">
        <v>0</v>
      </c>
      <c r="S290" s="127">
        <v>0</v>
      </c>
      <c r="T290" s="127">
        <v>0</v>
      </c>
      <c r="U290" s="127">
        <v>0</v>
      </c>
      <c r="V290" s="127">
        <v>0</v>
      </c>
      <c r="W290" s="127">
        <v>0</v>
      </c>
      <c r="X290" s="127">
        <v>0</v>
      </c>
      <c r="Y290" s="127">
        <v>0</v>
      </c>
      <c r="Z290" s="127">
        <v>0</v>
      </c>
      <c r="AA290" s="127" t="s">
        <v>2511</v>
      </c>
      <c r="AB290" s="131" t="s">
        <v>1170</v>
      </c>
      <c r="AC290" s="127" t="s">
        <v>1973</v>
      </c>
      <c r="AD290" s="131" t="s">
        <v>1418</v>
      </c>
      <c r="AE290" s="131" t="e">
        <v>#N/A</v>
      </c>
      <c r="AF290" s="131" t="e">
        <v>#N/A</v>
      </c>
      <c r="AG290" s="131" t="e">
        <v>#REF!</v>
      </c>
    </row>
    <row r="291" spans="1:33" s="131" customFormat="1" ht="15.75" x14ac:dyDescent="0.25">
      <c r="A291" s="125">
        <v>290</v>
      </c>
      <c r="B291" s="126" t="s">
        <v>79</v>
      </c>
      <c r="C291" s="126" t="s">
        <v>2862</v>
      </c>
      <c r="D291" s="126" t="s">
        <v>2798</v>
      </c>
      <c r="E291" s="127" t="s">
        <v>1418</v>
      </c>
      <c r="F291" s="128" t="s">
        <v>2521</v>
      </c>
      <c r="G291" s="128" t="s">
        <v>3294</v>
      </c>
      <c r="H291" s="125"/>
      <c r="I291" s="125"/>
      <c r="J291" s="127"/>
      <c r="K291" s="130"/>
      <c r="L291" s="129" t="s">
        <v>2550</v>
      </c>
      <c r="M291" s="127" t="s">
        <v>760</v>
      </c>
      <c r="N291" s="127" t="s">
        <v>760</v>
      </c>
      <c r="O291" s="127" t="s">
        <v>1553</v>
      </c>
      <c r="P291" s="127">
        <v>0</v>
      </c>
      <c r="Q291" s="127">
        <v>2</v>
      </c>
      <c r="R291" s="127" t="s">
        <v>1505</v>
      </c>
      <c r="S291" s="127" t="s">
        <v>79</v>
      </c>
      <c r="T291" s="127">
        <v>0</v>
      </c>
      <c r="U291" s="127">
        <v>0</v>
      </c>
      <c r="V291" s="127">
        <v>0</v>
      </c>
      <c r="W291" s="127" t="s">
        <v>1498</v>
      </c>
      <c r="X291" s="127" t="s">
        <v>79</v>
      </c>
      <c r="Y291" s="127" t="s">
        <v>1436</v>
      </c>
      <c r="Z291" s="127" t="s">
        <v>1568</v>
      </c>
      <c r="AA291" s="127" t="s">
        <v>2511</v>
      </c>
      <c r="AB291" s="131" t="s">
        <v>1172</v>
      </c>
      <c r="AC291" s="127" t="e">
        <v>#N/A</v>
      </c>
      <c r="AD291" s="131" t="s">
        <v>1418</v>
      </c>
      <c r="AE291" s="131" t="e">
        <v>#N/A</v>
      </c>
      <c r="AF291" s="131" t="e">
        <v>#N/A</v>
      </c>
      <c r="AG291" s="131" t="e">
        <v>#REF!</v>
      </c>
    </row>
    <row r="292" spans="1:33" s="131" customFormat="1" ht="18" customHeight="1" x14ac:dyDescent="0.25">
      <c r="A292" s="125">
        <v>291</v>
      </c>
      <c r="B292" s="126" t="s">
        <v>19</v>
      </c>
      <c r="C292" s="126" t="s">
        <v>2863</v>
      </c>
      <c r="D292" s="126" t="s">
        <v>2798</v>
      </c>
      <c r="E292" s="127" t="s">
        <v>1418</v>
      </c>
      <c r="F292" s="128" t="s">
        <v>2411</v>
      </c>
      <c r="G292" s="128" t="s">
        <v>3289</v>
      </c>
      <c r="H292" s="125"/>
      <c r="I292" s="125"/>
      <c r="J292" s="132"/>
      <c r="K292" s="130"/>
      <c r="L292" s="129"/>
      <c r="M292" s="127" t="s">
        <v>774</v>
      </c>
      <c r="N292" s="127" t="s">
        <v>765</v>
      </c>
      <c r="O292" s="127" t="s">
        <v>3314</v>
      </c>
      <c r="P292" s="127" t="s">
        <v>812</v>
      </c>
      <c r="Q292" s="127">
        <v>0</v>
      </c>
      <c r="R292" s="127">
        <v>0</v>
      </c>
      <c r="S292" s="127">
        <v>0</v>
      </c>
      <c r="T292" s="127">
        <v>0</v>
      </c>
      <c r="U292" s="127">
        <v>0</v>
      </c>
      <c r="V292" s="127">
        <v>0</v>
      </c>
      <c r="W292" s="127">
        <v>0</v>
      </c>
      <c r="X292" s="127">
        <v>0</v>
      </c>
      <c r="Y292" s="127">
        <v>0</v>
      </c>
      <c r="Z292" s="127">
        <v>0</v>
      </c>
      <c r="AA292" s="127" t="s">
        <v>2511</v>
      </c>
      <c r="AB292" s="131" t="s">
        <v>1173</v>
      </c>
      <c r="AC292" s="127" t="s">
        <v>1974</v>
      </c>
      <c r="AD292" s="131" t="s">
        <v>1418</v>
      </c>
      <c r="AE292" s="131" t="e">
        <v>#N/A</v>
      </c>
      <c r="AF292" s="131" t="e">
        <v>#N/A</v>
      </c>
      <c r="AG292" s="131" t="e">
        <v>#REF!</v>
      </c>
    </row>
    <row r="293" spans="1:33" s="131" customFormat="1" ht="18" customHeight="1" x14ac:dyDescent="0.25">
      <c r="A293" s="125">
        <v>292</v>
      </c>
      <c r="B293" s="126" t="s">
        <v>20</v>
      </c>
      <c r="C293" s="126" t="s">
        <v>2864</v>
      </c>
      <c r="D293" s="126" t="s">
        <v>2798</v>
      </c>
      <c r="E293" s="127" t="s">
        <v>1418</v>
      </c>
      <c r="F293" s="128" t="s">
        <v>2411</v>
      </c>
      <c r="G293" s="128" t="s">
        <v>3289</v>
      </c>
      <c r="H293" s="125"/>
      <c r="I293" s="125"/>
      <c r="J293" s="132" t="s">
        <v>1641</v>
      </c>
      <c r="K293" s="130"/>
      <c r="L293" s="129"/>
      <c r="M293" s="127" t="s">
        <v>761</v>
      </c>
      <c r="N293" s="127" t="s">
        <v>1641</v>
      </c>
      <c r="O293" s="127" t="s">
        <v>1507</v>
      </c>
      <c r="P293" s="127" t="s">
        <v>812</v>
      </c>
      <c r="Q293" s="127">
        <v>0</v>
      </c>
      <c r="R293" s="127">
        <v>0</v>
      </c>
      <c r="S293" s="127">
        <v>0</v>
      </c>
      <c r="T293" s="127">
        <v>0</v>
      </c>
      <c r="U293" s="127">
        <v>0</v>
      </c>
      <c r="V293" s="127">
        <v>0</v>
      </c>
      <c r="W293" s="127">
        <v>0</v>
      </c>
      <c r="X293" s="127">
        <v>0</v>
      </c>
      <c r="Y293" s="127">
        <v>0</v>
      </c>
      <c r="Z293" s="127">
        <v>0</v>
      </c>
      <c r="AA293" s="127" t="s">
        <v>2511</v>
      </c>
      <c r="AB293" s="131" t="s">
        <v>1174</v>
      </c>
      <c r="AC293" s="127" t="s">
        <v>1975</v>
      </c>
      <c r="AD293" s="131" t="s">
        <v>1418</v>
      </c>
      <c r="AE293" s="131" t="e">
        <v>#N/A</v>
      </c>
      <c r="AF293" s="131" t="e">
        <v>#N/A</v>
      </c>
      <c r="AG293" s="131" t="e">
        <v>#REF!</v>
      </c>
    </row>
    <row r="294" spans="1:33" s="131" customFormat="1" ht="18" customHeight="1" x14ac:dyDescent="0.25">
      <c r="A294" s="125">
        <v>293</v>
      </c>
      <c r="B294" s="126" t="s">
        <v>21</v>
      </c>
      <c r="C294" s="126" t="s">
        <v>2865</v>
      </c>
      <c r="D294" s="126" t="s">
        <v>2798</v>
      </c>
      <c r="E294" s="127" t="s">
        <v>1418</v>
      </c>
      <c r="F294" s="128" t="s">
        <v>2410</v>
      </c>
      <c r="G294" s="128" t="s">
        <v>3290</v>
      </c>
      <c r="H294" s="125"/>
      <c r="I294" s="125"/>
      <c r="J294" s="132" t="s">
        <v>1641</v>
      </c>
      <c r="K294" s="130" t="s">
        <v>20</v>
      </c>
      <c r="L294" s="129"/>
      <c r="M294" s="127" t="s">
        <v>2356</v>
      </c>
      <c r="N294" s="127" t="s">
        <v>1641</v>
      </c>
      <c r="O294" s="127" t="s">
        <v>1427</v>
      </c>
      <c r="P294" s="127" t="s">
        <v>1554</v>
      </c>
      <c r="Q294" s="127">
        <v>0</v>
      </c>
      <c r="R294" s="127">
        <v>0</v>
      </c>
      <c r="S294" s="127">
        <v>0</v>
      </c>
      <c r="T294" s="127">
        <v>2</v>
      </c>
      <c r="U294" s="127" t="s">
        <v>1507</v>
      </c>
      <c r="V294" s="127" t="s">
        <v>21</v>
      </c>
      <c r="W294" s="127">
        <v>0</v>
      </c>
      <c r="X294" s="127">
        <v>0</v>
      </c>
      <c r="Y294" s="127">
        <v>0</v>
      </c>
      <c r="Z294" s="127">
        <v>0</v>
      </c>
      <c r="AA294" s="127" t="s">
        <v>2511</v>
      </c>
      <c r="AB294" s="131" t="s">
        <v>1176</v>
      </c>
      <c r="AC294" s="127" t="s">
        <v>1976</v>
      </c>
      <c r="AD294" s="131" t="s">
        <v>1418</v>
      </c>
      <c r="AE294" s="131" t="e">
        <v>#N/A</v>
      </c>
      <c r="AF294" s="131" t="e">
        <v>#N/A</v>
      </c>
      <c r="AG294" s="131" t="e">
        <v>#REF!</v>
      </c>
    </row>
    <row r="295" spans="1:33" s="131" customFormat="1" ht="18" customHeight="1" x14ac:dyDescent="0.25">
      <c r="A295" s="125">
        <v>294</v>
      </c>
      <c r="B295" s="126" t="s">
        <v>110</v>
      </c>
      <c r="C295" s="126" t="s">
        <v>2866</v>
      </c>
      <c r="D295" s="126" t="s">
        <v>2796</v>
      </c>
      <c r="E295" s="127" t="s">
        <v>766</v>
      </c>
      <c r="F295" s="128" t="s">
        <v>2411</v>
      </c>
      <c r="G295" s="128" t="s">
        <v>3289</v>
      </c>
      <c r="H295" s="125"/>
      <c r="I295" s="125"/>
      <c r="J295" s="132" t="s">
        <v>1641</v>
      </c>
      <c r="K295" s="130"/>
      <c r="L295" s="129"/>
      <c r="M295" s="127" t="s">
        <v>759</v>
      </c>
      <c r="N295" s="127" t="s">
        <v>1641</v>
      </c>
      <c r="O295" s="127" t="s">
        <v>1487</v>
      </c>
      <c r="P295" s="127" t="s">
        <v>812</v>
      </c>
      <c r="Q295" s="127">
        <v>0</v>
      </c>
      <c r="R295" s="127">
        <v>0</v>
      </c>
      <c r="S295" s="127">
        <v>0</v>
      </c>
      <c r="T295" s="127">
        <v>0</v>
      </c>
      <c r="U295" s="127">
        <v>0</v>
      </c>
      <c r="V295" s="127">
        <v>0</v>
      </c>
      <c r="W295" s="127">
        <v>0</v>
      </c>
      <c r="X295" s="127">
        <v>0</v>
      </c>
      <c r="Y295" s="127">
        <v>0</v>
      </c>
      <c r="Z295" s="127">
        <v>0</v>
      </c>
      <c r="AA295" s="127" t="s">
        <v>2511</v>
      </c>
      <c r="AB295" s="131" t="s">
        <v>1177</v>
      </c>
      <c r="AC295" s="127" t="s">
        <v>1977</v>
      </c>
      <c r="AD295" s="131" t="s">
        <v>766</v>
      </c>
      <c r="AE295" s="131" t="e">
        <v>#N/A</v>
      </c>
      <c r="AF295" s="131" t="e">
        <v>#N/A</v>
      </c>
      <c r="AG295" s="131" t="e">
        <v>#REF!</v>
      </c>
    </row>
    <row r="296" spans="1:33" s="131" customFormat="1" ht="18" customHeight="1" x14ac:dyDescent="0.25">
      <c r="A296" s="125">
        <v>295</v>
      </c>
      <c r="B296" s="126" t="s">
        <v>111</v>
      </c>
      <c r="C296" s="126" t="s">
        <v>2867</v>
      </c>
      <c r="D296" s="126" t="s">
        <v>2790</v>
      </c>
      <c r="E296" s="127" t="s">
        <v>2322</v>
      </c>
      <c r="F296" s="128" t="s">
        <v>2411</v>
      </c>
      <c r="G296" s="128" t="s">
        <v>3289</v>
      </c>
      <c r="H296" s="125"/>
      <c r="I296" s="125"/>
      <c r="J296" s="132"/>
      <c r="K296" s="130"/>
      <c r="L296" s="129"/>
      <c r="M296" s="127" t="s">
        <v>774</v>
      </c>
      <c r="N296" s="127" t="s">
        <v>765</v>
      </c>
      <c r="O296" s="127" t="s">
        <v>3315</v>
      </c>
      <c r="P296" s="127" t="s">
        <v>812</v>
      </c>
      <c r="Q296" s="127">
        <v>0</v>
      </c>
      <c r="R296" s="127">
        <v>0</v>
      </c>
      <c r="S296" s="127">
        <v>0</v>
      </c>
      <c r="T296" s="127">
        <v>0</v>
      </c>
      <c r="U296" s="127">
        <v>0</v>
      </c>
      <c r="V296" s="127">
        <v>0</v>
      </c>
      <c r="W296" s="127">
        <v>0</v>
      </c>
      <c r="X296" s="127">
        <v>0</v>
      </c>
      <c r="Y296" s="127">
        <v>0</v>
      </c>
      <c r="Z296" s="127">
        <v>0</v>
      </c>
      <c r="AA296" s="127" t="s">
        <v>2511</v>
      </c>
      <c r="AB296" s="131" t="s">
        <v>1178</v>
      </c>
      <c r="AC296" s="127" t="s">
        <v>1978</v>
      </c>
      <c r="AD296" s="131" t="s">
        <v>2322</v>
      </c>
      <c r="AE296" s="131" t="e">
        <v>#N/A</v>
      </c>
      <c r="AF296" s="131" t="e">
        <v>#N/A</v>
      </c>
      <c r="AG296" s="131" t="e">
        <v>#REF!</v>
      </c>
    </row>
    <row r="297" spans="1:33" s="131" customFormat="1" ht="18" customHeight="1" x14ac:dyDescent="0.25">
      <c r="A297" s="125">
        <v>296</v>
      </c>
      <c r="B297" s="126" t="s">
        <v>27</v>
      </c>
      <c r="C297" s="126" t="s">
        <v>2868</v>
      </c>
      <c r="D297" s="126" t="s">
        <v>2798</v>
      </c>
      <c r="E297" s="127" t="s">
        <v>1418</v>
      </c>
      <c r="F297" s="128" t="s">
        <v>2411</v>
      </c>
      <c r="G297" s="128" t="s">
        <v>3289</v>
      </c>
      <c r="H297" s="125"/>
      <c r="I297" s="125"/>
      <c r="J297" s="132"/>
      <c r="K297" s="130"/>
      <c r="L297" s="129"/>
      <c r="M297" s="127" t="s">
        <v>774</v>
      </c>
      <c r="N297" s="127" t="s">
        <v>765</v>
      </c>
      <c r="O297" s="127" t="s">
        <v>3316</v>
      </c>
      <c r="P297" s="127" t="s">
        <v>812</v>
      </c>
      <c r="Q297" s="127">
        <v>0</v>
      </c>
      <c r="R297" s="127">
        <v>0</v>
      </c>
      <c r="S297" s="127">
        <v>0</v>
      </c>
      <c r="T297" s="127">
        <v>0</v>
      </c>
      <c r="U297" s="127">
        <v>0</v>
      </c>
      <c r="V297" s="127">
        <v>0</v>
      </c>
      <c r="W297" s="127">
        <v>0</v>
      </c>
      <c r="X297" s="127">
        <v>0</v>
      </c>
      <c r="Y297" s="127">
        <v>0</v>
      </c>
      <c r="Z297" s="127">
        <v>0</v>
      </c>
      <c r="AA297" s="127" t="s">
        <v>2510</v>
      </c>
      <c r="AB297" s="131" t="s">
        <v>1179</v>
      </c>
      <c r="AC297" s="127" t="s">
        <v>1979</v>
      </c>
      <c r="AD297" s="131" t="s">
        <v>1418</v>
      </c>
      <c r="AE297" s="131" t="e">
        <v>#N/A</v>
      </c>
      <c r="AF297" s="131" t="e">
        <v>#N/A</v>
      </c>
      <c r="AG297" s="131" t="e">
        <v>#REF!</v>
      </c>
    </row>
    <row r="298" spans="1:33" s="131" customFormat="1" ht="18" customHeight="1" x14ac:dyDescent="0.25">
      <c r="A298" s="125">
        <v>297</v>
      </c>
      <c r="B298" s="126" t="s">
        <v>133</v>
      </c>
      <c r="C298" s="126" t="s">
        <v>2869</v>
      </c>
      <c r="D298" s="126" t="s">
        <v>2796</v>
      </c>
      <c r="E298" s="127" t="s">
        <v>3</v>
      </c>
      <c r="F298" s="128" t="s">
        <v>2411</v>
      </c>
      <c r="G298" s="128" t="s">
        <v>3290</v>
      </c>
      <c r="H298" s="125"/>
      <c r="I298" s="125"/>
      <c r="J298" s="132"/>
      <c r="K298" s="130"/>
      <c r="L298" s="129" t="s">
        <v>2554</v>
      </c>
      <c r="M298" s="127" t="s">
        <v>774</v>
      </c>
      <c r="N298" s="127" t="s">
        <v>764</v>
      </c>
      <c r="O298" s="127" t="s">
        <v>1427</v>
      </c>
      <c r="P298" s="127" t="s">
        <v>1554</v>
      </c>
      <c r="Q298" s="127">
        <v>0</v>
      </c>
      <c r="R298" s="127">
        <v>0</v>
      </c>
      <c r="S298" s="127">
        <v>0</v>
      </c>
      <c r="T298" s="127">
        <v>4</v>
      </c>
      <c r="U298" s="127" t="s">
        <v>1500</v>
      </c>
      <c r="V298" s="127" t="s">
        <v>133</v>
      </c>
      <c r="W298" s="127">
        <v>0</v>
      </c>
      <c r="X298" s="127">
        <v>0</v>
      </c>
      <c r="Y298" s="127">
        <v>0</v>
      </c>
      <c r="Z298" s="127" t="s">
        <v>1568</v>
      </c>
      <c r="AA298" s="127" t="s">
        <v>2511</v>
      </c>
      <c r="AB298" s="131" t="s">
        <v>1180</v>
      </c>
      <c r="AC298" s="127" t="s">
        <v>1980</v>
      </c>
      <c r="AD298" s="131" t="s">
        <v>2408</v>
      </c>
      <c r="AE298" s="131" t="e">
        <v>#N/A</v>
      </c>
      <c r="AF298" s="131" t="e">
        <v>#N/A</v>
      </c>
      <c r="AG298" s="131" t="e">
        <v>#REF!</v>
      </c>
    </row>
    <row r="299" spans="1:33" s="131" customFormat="1" ht="18" customHeight="1" x14ac:dyDescent="0.25">
      <c r="A299" s="125">
        <v>298</v>
      </c>
      <c r="B299" s="126" t="s">
        <v>22</v>
      </c>
      <c r="C299" s="126" t="s">
        <v>2870</v>
      </c>
      <c r="D299" s="126" t="s">
        <v>2798</v>
      </c>
      <c r="E299" s="127" t="s">
        <v>1418</v>
      </c>
      <c r="F299" s="128" t="s">
        <v>2411</v>
      </c>
      <c r="G299" s="128" t="s">
        <v>3289</v>
      </c>
      <c r="H299" s="125"/>
      <c r="I299" s="125"/>
      <c r="J299" s="132"/>
      <c r="K299" s="130"/>
      <c r="L299" s="129"/>
      <c r="M299" s="127" t="s">
        <v>774</v>
      </c>
      <c r="N299" s="127" t="s">
        <v>765</v>
      </c>
      <c r="O299" s="127" t="s">
        <v>3317</v>
      </c>
      <c r="P299" s="127" t="s">
        <v>812</v>
      </c>
      <c r="Q299" s="127">
        <v>0</v>
      </c>
      <c r="R299" s="127">
        <v>0</v>
      </c>
      <c r="S299" s="127">
        <v>0</v>
      </c>
      <c r="T299" s="127">
        <v>0</v>
      </c>
      <c r="U299" s="127">
        <v>0</v>
      </c>
      <c r="V299" s="127">
        <v>0</v>
      </c>
      <c r="W299" s="127">
        <v>0</v>
      </c>
      <c r="X299" s="127">
        <v>0</v>
      </c>
      <c r="Y299" s="127">
        <v>0</v>
      </c>
      <c r="Z299" s="127">
        <v>0</v>
      </c>
      <c r="AA299" s="127" t="s">
        <v>2511</v>
      </c>
      <c r="AB299" s="131" t="s">
        <v>1181</v>
      </c>
      <c r="AC299" s="127" t="s">
        <v>1981</v>
      </c>
      <c r="AD299" s="135" t="s">
        <v>1418</v>
      </c>
      <c r="AE299" s="131" t="e">
        <v>#N/A</v>
      </c>
      <c r="AF299" s="131" t="e">
        <v>#N/A</v>
      </c>
      <c r="AG299" s="131" t="e">
        <v>#REF!</v>
      </c>
    </row>
    <row r="300" spans="1:33" s="131" customFormat="1" ht="18" customHeight="1" x14ac:dyDescent="0.25">
      <c r="A300" s="125">
        <v>299</v>
      </c>
      <c r="B300" s="126" t="s">
        <v>23</v>
      </c>
      <c r="C300" s="126" t="s">
        <v>2871</v>
      </c>
      <c r="D300" s="126" t="s">
        <v>2790</v>
      </c>
      <c r="E300" s="127" t="s">
        <v>2322</v>
      </c>
      <c r="F300" s="128" t="s">
        <v>2410</v>
      </c>
      <c r="G300" s="128" t="s">
        <v>3290</v>
      </c>
      <c r="H300" s="125"/>
      <c r="I300" s="125"/>
      <c r="J300" s="132" t="s">
        <v>1641</v>
      </c>
      <c r="K300" s="130" t="s">
        <v>64</v>
      </c>
      <c r="L300" s="129"/>
      <c r="M300" s="127" t="s">
        <v>774</v>
      </c>
      <c r="N300" s="127" t="s">
        <v>1641</v>
      </c>
      <c r="O300" s="127" t="s">
        <v>1427</v>
      </c>
      <c r="P300" s="127" t="s">
        <v>1554</v>
      </c>
      <c r="Q300" s="127">
        <v>0</v>
      </c>
      <c r="R300" s="127">
        <v>0</v>
      </c>
      <c r="S300" s="127">
        <v>0</v>
      </c>
      <c r="T300" s="127">
        <v>2</v>
      </c>
      <c r="U300" s="127" t="s">
        <v>1563</v>
      </c>
      <c r="V300" s="127" t="s">
        <v>23</v>
      </c>
      <c r="W300" s="127">
        <v>0</v>
      </c>
      <c r="X300" s="127">
        <v>0</v>
      </c>
      <c r="Y300" s="127">
        <v>0</v>
      </c>
      <c r="Z300" s="127">
        <v>0</v>
      </c>
      <c r="AA300" s="127" t="s">
        <v>2511</v>
      </c>
      <c r="AB300" s="131" t="s">
        <v>1182</v>
      </c>
      <c r="AC300" s="127" t="s">
        <v>1982</v>
      </c>
      <c r="AD300" s="135" t="s">
        <v>2322</v>
      </c>
      <c r="AE300" s="131" t="s">
        <v>64</v>
      </c>
      <c r="AF300" s="131" t="b">
        <v>1</v>
      </c>
      <c r="AG300" s="131" t="e">
        <v>#REF!</v>
      </c>
    </row>
    <row r="301" spans="1:33" s="131" customFormat="1" ht="15.75" x14ac:dyDescent="0.25">
      <c r="A301" s="125">
        <v>300</v>
      </c>
      <c r="B301" s="126" t="s">
        <v>112</v>
      </c>
      <c r="C301" s="126" t="s">
        <v>2872</v>
      </c>
      <c r="D301" s="126" t="s">
        <v>2796</v>
      </c>
      <c r="E301" s="127" t="s">
        <v>766</v>
      </c>
      <c r="F301" s="128" t="s">
        <v>2411</v>
      </c>
      <c r="G301" s="128" t="s">
        <v>3290</v>
      </c>
      <c r="H301" s="125"/>
      <c r="I301" s="125"/>
      <c r="J301" s="132" t="s">
        <v>1641</v>
      </c>
      <c r="K301" s="130"/>
      <c r="L301" s="129"/>
      <c r="M301" s="127" t="s">
        <v>759</v>
      </c>
      <c r="N301" s="127" t="s">
        <v>1641</v>
      </c>
      <c r="O301" s="127" t="s">
        <v>1427</v>
      </c>
      <c r="P301" s="127" t="s">
        <v>1554</v>
      </c>
      <c r="Q301" s="127">
        <v>0</v>
      </c>
      <c r="R301" s="127">
        <v>0</v>
      </c>
      <c r="S301" s="127">
        <v>0</v>
      </c>
      <c r="T301" s="127">
        <v>4</v>
      </c>
      <c r="U301" s="127" t="s">
        <v>1441</v>
      </c>
      <c r="V301" s="127" t="s">
        <v>112</v>
      </c>
      <c r="W301" s="127">
        <v>0</v>
      </c>
      <c r="X301" s="127">
        <v>0</v>
      </c>
      <c r="Y301" s="127">
        <v>0</v>
      </c>
      <c r="Z301" s="127" t="s">
        <v>1568</v>
      </c>
      <c r="AA301" s="127" t="s">
        <v>2510</v>
      </c>
      <c r="AB301" s="131" t="s">
        <v>1183</v>
      </c>
      <c r="AC301" s="127" t="s">
        <v>1983</v>
      </c>
      <c r="AD301" s="131" t="s">
        <v>766</v>
      </c>
      <c r="AE301" s="131" t="e">
        <v>#N/A</v>
      </c>
      <c r="AF301" s="131" t="e">
        <v>#N/A</v>
      </c>
      <c r="AG301" s="131" t="e">
        <v>#REF!</v>
      </c>
    </row>
    <row r="302" spans="1:33" s="131" customFormat="1" ht="15.75" x14ac:dyDescent="0.25">
      <c r="A302" s="125">
        <v>301</v>
      </c>
      <c r="B302" s="126" t="s">
        <v>113</v>
      </c>
      <c r="C302" s="126" t="s">
        <v>2873</v>
      </c>
      <c r="D302" s="126" t="s">
        <v>2798</v>
      </c>
      <c r="E302" s="127" t="s">
        <v>1418</v>
      </c>
      <c r="F302" s="128" t="s">
        <v>2410</v>
      </c>
      <c r="G302" s="128" t="s">
        <v>3290</v>
      </c>
      <c r="H302" s="125"/>
      <c r="I302" s="125"/>
      <c r="J302" s="132"/>
      <c r="K302" s="130" t="s">
        <v>96</v>
      </c>
      <c r="L302" s="129" t="s">
        <v>2550</v>
      </c>
      <c r="M302" s="127" t="s">
        <v>774</v>
      </c>
      <c r="N302" s="127" t="s">
        <v>764</v>
      </c>
      <c r="O302" s="127" t="s">
        <v>1553</v>
      </c>
      <c r="P302" s="127">
        <v>0</v>
      </c>
      <c r="Q302" s="127">
        <v>2</v>
      </c>
      <c r="R302" s="127" t="s">
        <v>799</v>
      </c>
      <c r="S302" s="127" t="s">
        <v>113</v>
      </c>
      <c r="T302" s="127">
        <v>0</v>
      </c>
      <c r="U302" s="127">
        <v>0</v>
      </c>
      <c r="V302" s="127">
        <v>0</v>
      </c>
      <c r="W302" s="127" t="s">
        <v>1498</v>
      </c>
      <c r="X302" s="127" t="s">
        <v>113</v>
      </c>
      <c r="Y302" s="127" t="s">
        <v>2420</v>
      </c>
      <c r="Z302" s="127">
        <v>0</v>
      </c>
      <c r="AA302" s="127" t="s">
        <v>2511</v>
      </c>
      <c r="AB302" s="131" t="s">
        <v>835</v>
      </c>
      <c r="AC302" s="127" t="s">
        <v>1984</v>
      </c>
      <c r="AD302" s="135" t="s">
        <v>1418</v>
      </c>
      <c r="AE302" s="131" t="s">
        <v>96</v>
      </c>
      <c r="AF302" s="131" t="b">
        <v>1</v>
      </c>
      <c r="AG302" s="131" t="e">
        <v>#REF!</v>
      </c>
    </row>
    <row r="303" spans="1:33" s="131" customFormat="1" ht="15.75" x14ac:dyDescent="0.25">
      <c r="A303" s="125">
        <v>302</v>
      </c>
      <c r="B303" s="126" t="s">
        <v>114</v>
      </c>
      <c r="C303" s="126" t="s">
        <v>2874</v>
      </c>
      <c r="D303" s="126" t="s">
        <v>2790</v>
      </c>
      <c r="E303" s="127" t="s">
        <v>2322</v>
      </c>
      <c r="F303" s="128" t="s">
        <v>2410</v>
      </c>
      <c r="G303" s="128" t="s">
        <v>3290</v>
      </c>
      <c r="H303" s="125"/>
      <c r="I303" s="125"/>
      <c r="J303" s="132"/>
      <c r="K303" s="130" t="s">
        <v>103</v>
      </c>
      <c r="L303" s="129" t="s">
        <v>2553</v>
      </c>
      <c r="M303" s="127" t="s">
        <v>774</v>
      </c>
      <c r="N303" s="127" t="s">
        <v>764</v>
      </c>
      <c r="O303" s="127" t="s">
        <v>1553</v>
      </c>
      <c r="P303" s="127">
        <v>0</v>
      </c>
      <c r="Q303" s="127">
        <v>2</v>
      </c>
      <c r="R303" s="127" t="s">
        <v>801</v>
      </c>
      <c r="S303" s="127" t="s">
        <v>114</v>
      </c>
      <c r="T303" s="127">
        <v>0</v>
      </c>
      <c r="U303" s="127">
        <v>0</v>
      </c>
      <c r="V303" s="127">
        <v>0</v>
      </c>
      <c r="W303" s="127">
        <v>0</v>
      </c>
      <c r="X303" s="127">
        <v>0</v>
      </c>
      <c r="Y303" s="127">
        <v>0</v>
      </c>
      <c r="Z303" s="127">
        <v>0</v>
      </c>
      <c r="AA303" s="127" t="s">
        <v>2511</v>
      </c>
      <c r="AB303" s="131" t="s">
        <v>836</v>
      </c>
      <c r="AC303" s="127" t="s">
        <v>1985</v>
      </c>
      <c r="AD303" s="135" t="s">
        <v>766</v>
      </c>
      <c r="AE303" s="131" t="e">
        <v>#N/A</v>
      </c>
      <c r="AF303" s="131" t="e">
        <v>#N/A</v>
      </c>
      <c r="AG303" s="131" t="e">
        <v>#REF!</v>
      </c>
    </row>
    <row r="304" spans="1:33" s="131" customFormat="1" ht="15.75" x14ac:dyDescent="0.25">
      <c r="A304" s="125">
        <v>303</v>
      </c>
      <c r="B304" s="126" t="s">
        <v>120</v>
      </c>
      <c r="C304" s="126" t="s">
        <v>2875</v>
      </c>
      <c r="D304" s="126" t="s">
        <v>2821</v>
      </c>
      <c r="E304" s="127" t="s">
        <v>766</v>
      </c>
      <c r="F304" s="128" t="s">
        <v>2411</v>
      </c>
      <c r="G304" s="128" t="s">
        <v>3289</v>
      </c>
      <c r="H304" s="125"/>
      <c r="I304" s="125" t="s">
        <v>934</v>
      </c>
      <c r="J304" s="132"/>
      <c r="K304" s="130"/>
      <c r="L304" s="129"/>
      <c r="M304" s="127" t="s">
        <v>759</v>
      </c>
      <c r="N304" s="127" t="s">
        <v>770</v>
      </c>
      <c r="O304" s="127" t="s">
        <v>1455</v>
      </c>
      <c r="P304" s="127" t="s">
        <v>812</v>
      </c>
      <c r="Q304" s="127">
        <v>0</v>
      </c>
      <c r="R304" s="127">
        <v>0</v>
      </c>
      <c r="S304" s="127">
        <v>0</v>
      </c>
      <c r="T304" s="127">
        <v>0</v>
      </c>
      <c r="U304" s="127">
        <v>0</v>
      </c>
      <c r="V304" s="127">
        <v>0</v>
      </c>
      <c r="W304" s="127">
        <v>0</v>
      </c>
      <c r="X304" s="127">
        <v>0</v>
      </c>
      <c r="Y304" s="127">
        <v>0</v>
      </c>
      <c r="Z304" s="127">
        <v>0</v>
      </c>
      <c r="AA304" s="127" t="s">
        <v>2511</v>
      </c>
      <c r="AB304" s="131" t="s">
        <v>1185</v>
      </c>
      <c r="AC304" s="127" t="s">
        <v>1986</v>
      </c>
      <c r="AD304" s="131" t="s">
        <v>766</v>
      </c>
      <c r="AE304" s="131" t="e">
        <v>#N/A</v>
      </c>
      <c r="AF304" s="131" t="e">
        <v>#N/A</v>
      </c>
      <c r="AG304" s="131" t="e">
        <v>#REF!</v>
      </c>
    </row>
    <row r="305" spans="1:33" s="131" customFormat="1" ht="15.75" x14ac:dyDescent="0.25">
      <c r="A305" s="125">
        <v>304</v>
      </c>
      <c r="B305" s="126" t="s">
        <v>115</v>
      </c>
      <c r="C305" s="126" t="s">
        <v>2876</v>
      </c>
      <c r="D305" s="126" t="s">
        <v>2790</v>
      </c>
      <c r="E305" s="127" t="s">
        <v>2322</v>
      </c>
      <c r="F305" s="128" t="s">
        <v>2410</v>
      </c>
      <c r="G305" s="128" t="s">
        <v>3294</v>
      </c>
      <c r="H305" s="125"/>
      <c r="I305" s="125"/>
      <c r="J305" s="132"/>
      <c r="K305" s="130" t="s">
        <v>90</v>
      </c>
      <c r="L305" s="129" t="s">
        <v>2553</v>
      </c>
      <c r="M305" s="127" t="s">
        <v>760</v>
      </c>
      <c r="N305" s="127" t="s">
        <v>764</v>
      </c>
      <c r="O305" s="127" t="s">
        <v>1553</v>
      </c>
      <c r="P305" s="127" t="s">
        <v>1554</v>
      </c>
      <c r="Q305" s="127">
        <v>2</v>
      </c>
      <c r="R305" s="127" t="s">
        <v>1506</v>
      </c>
      <c r="S305" s="127" t="s">
        <v>115</v>
      </c>
      <c r="T305" s="127">
        <v>0</v>
      </c>
      <c r="U305" s="127">
        <v>0</v>
      </c>
      <c r="V305" s="127">
        <v>0</v>
      </c>
      <c r="W305" s="127">
        <v>0</v>
      </c>
      <c r="X305" s="127">
        <v>0</v>
      </c>
      <c r="Y305" s="127">
        <v>0</v>
      </c>
      <c r="Z305" s="127" t="s">
        <v>1568</v>
      </c>
      <c r="AA305" s="127" t="s">
        <v>2511</v>
      </c>
      <c r="AB305" s="131" t="s">
        <v>1186</v>
      </c>
      <c r="AC305" s="127" t="e">
        <v>#N/A</v>
      </c>
      <c r="AD305" s="135" t="s">
        <v>2322</v>
      </c>
      <c r="AE305" s="131" t="s">
        <v>90</v>
      </c>
      <c r="AF305" s="131" t="b">
        <v>1</v>
      </c>
      <c r="AG305" s="131" t="e">
        <v>#REF!</v>
      </c>
    </row>
    <row r="306" spans="1:33" s="131" customFormat="1" ht="18" customHeight="1" x14ac:dyDescent="0.25">
      <c r="A306" s="125">
        <v>305</v>
      </c>
      <c r="B306" s="126" t="s">
        <v>136</v>
      </c>
      <c r="C306" s="126" t="s">
        <v>2877</v>
      </c>
      <c r="D306" s="126" t="s">
        <v>2796</v>
      </c>
      <c r="E306" s="127" t="s">
        <v>766</v>
      </c>
      <c r="F306" s="128" t="s">
        <v>2411</v>
      </c>
      <c r="G306" s="128" t="s">
        <v>3289</v>
      </c>
      <c r="H306" s="125"/>
      <c r="I306" s="125" t="s">
        <v>934</v>
      </c>
      <c r="J306" s="132"/>
      <c r="K306" s="130"/>
      <c r="L306" s="129"/>
      <c r="M306" s="127" t="s">
        <v>759</v>
      </c>
      <c r="N306" s="127" t="s">
        <v>770</v>
      </c>
      <c r="O306" s="127" t="s">
        <v>1508</v>
      </c>
      <c r="P306" s="127" t="s">
        <v>812</v>
      </c>
      <c r="Q306" s="127">
        <v>0</v>
      </c>
      <c r="R306" s="127">
        <v>0</v>
      </c>
      <c r="S306" s="127">
        <v>0</v>
      </c>
      <c r="T306" s="127">
        <v>0</v>
      </c>
      <c r="U306" s="127">
        <v>0</v>
      </c>
      <c r="V306" s="127">
        <v>0</v>
      </c>
      <c r="W306" s="127">
        <v>0</v>
      </c>
      <c r="X306" s="127">
        <v>0</v>
      </c>
      <c r="Y306" s="127">
        <v>0</v>
      </c>
      <c r="Z306" s="127">
        <v>0</v>
      </c>
      <c r="AA306" s="127" t="s">
        <v>2511</v>
      </c>
      <c r="AB306" s="131" t="s">
        <v>1187</v>
      </c>
      <c r="AC306" s="127" t="s">
        <v>1987</v>
      </c>
      <c r="AD306" s="131" t="s">
        <v>766</v>
      </c>
      <c r="AE306" s="131" t="e">
        <v>#N/A</v>
      </c>
      <c r="AF306" s="131" t="e">
        <v>#N/A</v>
      </c>
      <c r="AG306" s="131" t="e">
        <v>#REF!</v>
      </c>
    </row>
    <row r="307" spans="1:33" s="131" customFormat="1" ht="18" customHeight="1" x14ac:dyDescent="0.25">
      <c r="A307" s="125">
        <v>306</v>
      </c>
      <c r="B307" s="126" t="s">
        <v>116</v>
      </c>
      <c r="C307" s="126" t="s">
        <v>2878</v>
      </c>
      <c r="D307" s="126" t="s">
        <v>2796</v>
      </c>
      <c r="E307" s="127" t="s">
        <v>766</v>
      </c>
      <c r="F307" s="128" t="s">
        <v>2411</v>
      </c>
      <c r="G307" s="128" t="s">
        <v>3289</v>
      </c>
      <c r="H307" s="125"/>
      <c r="I307" s="125" t="s">
        <v>934</v>
      </c>
      <c r="J307" s="132"/>
      <c r="K307" s="130"/>
      <c r="L307" s="129"/>
      <c r="M307" s="127" t="s">
        <v>759</v>
      </c>
      <c r="N307" s="127" t="s">
        <v>770</v>
      </c>
      <c r="O307" s="127" t="s">
        <v>1442</v>
      </c>
      <c r="P307" s="127" t="s">
        <v>812</v>
      </c>
      <c r="Q307" s="127">
        <v>0</v>
      </c>
      <c r="R307" s="127">
        <v>0</v>
      </c>
      <c r="S307" s="127">
        <v>0</v>
      </c>
      <c r="T307" s="127">
        <v>0</v>
      </c>
      <c r="U307" s="127">
        <v>0</v>
      </c>
      <c r="V307" s="127">
        <v>0</v>
      </c>
      <c r="W307" s="127">
        <v>0</v>
      </c>
      <c r="X307" s="127">
        <v>0</v>
      </c>
      <c r="Y307" s="127">
        <v>0</v>
      </c>
      <c r="Z307" s="127">
        <v>0</v>
      </c>
      <c r="AA307" s="127" t="s">
        <v>2511</v>
      </c>
      <c r="AB307" s="131" t="s">
        <v>1188</v>
      </c>
      <c r="AC307" s="127" t="s">
        <v>1988</v>
      </c>
      <c r="AD307" s="131" t="s">
        <v>766</v>
      </c>
      <c r="AE307" s="131" t="e">
        <v>#N/A</v>
      </c>
      <c r="AF307" s="131" t="e">
        <v>#N/A</v>
      </c>
      <c r="AG307" s="131" t="e">
        <v>#REF!</v>
      </c>
    </row>
    <row r="308" spans="1:33" s="131" customFormat="1" ht="18" customHeight="1" x14ac:dyDescent="0.25">
      <c r="A308" s="125">
        <v>307</v>
      </c>
      <c r="B308" s="126" t="s">
        <v>162</v>
      </c>
      <c r="C308" s="126" t="s">
        <v>2879</v>
      </c>
      <c r="D308" s="126" t="s">
        <v>2821</v>
      </c>
      <c r="E308" s="127" t="s">
        <v>766</v>
      </c>
      <c r="F308" s="128" t="s">
        <v>2411</v>
      </c>
      <c r="G308" s="128" t="s">
        <v>3290</v>
      </c>
      <c r="H308" s="125"/>
      <c r="I308" s="125" t="s">
        <v>934</v>
      </c>
      <c r="J308" s="132"/>
      <c r="K308" s="130"/>
      <c r="L308" s="129"/>
      <c r="M308" s="127" t="s">
        <v>2334</v>
      </c>
      <c r="N308" s="127" t="s">
        <v>770</v>
      </c>
      <c r="O308" s="127" t="s">
        <v>1427</v>
      </c>
      <c r="P308" s="127" t="s">
        <v>1554</v>
      </c>
      <c r="Q308" s="127">
        <v>0</v>
      </c>
      <c r="R308" s="127">
        <v>0</v>
      </c>
      <c r="S308" s="127">
        <v>0</v>
      </c>
      <c r="T308" s="127">
        <v>4</v>
      </c>
      <c r="U308" s="127" t="s">
        <v>1441</v>
      </c>
      <c r="V308" s="127" t="s">
        <v>162</v>
      </c>
      <c r="W308" s="127">
        <v>0</v>
      </c>
      <c r="X308" s="127">
        <v>0</v>
      </c>
      <c r="Y308" s="127">
        <v>0</v>
      </c>
      <c r="Z308" s="127" t="s">
        <v>1568</v>
      </c>
      <c r="AA308" s="127" t="s">
        <v>2511</v>
      </c>
      <c r="AB308" s="131" t="s">
        <v>1189</v>
      </c>
      <c r="AC308" s="127" t="s">
        <v>1989</v>
      </c>
      <c r="AD308" s="131" t="s">
        <v>766</v>
      </c>
      <c r="AE308" s="131" t="e">
        <v>#N/A</v>
      </c>
      <c r="AF308" s="131" t="e">
        <v>#N/A</v>
      </c>
      <c r="AG308" s="131" t="e">
        <v>#REF!</v>
      </c>
    </row>
    <row r="309" spans="1:33" s="131" customFormat="1" ht="18" customHeight="1" x14ac:dyDescent="0.25">
      <c r="A309" s="125">
        <v>308</v>
      </c>
      <c r="B309" s="126" t="s">
        <v>35</v>
      </c>
      <c r="C309" s="126" t="s">
        <v>2880</v>
      </c>
      <c r="D309" s="126" t="s">
        <v>2798</v>
      </c>
      <c r="E309" s="127" t="s">
        <v>1418</v>
      </c>
      <c r="F309" s="128" t="s">
        <v>2411</v>
      </c>
      <c r="G309" s="128" t="s">
        <v>3289</v>
      </c>
      <c r="H309" s="125" t="s">
        <v>1732</v>
      </c>
      <c r="I309" s="125"/>
      <c r="J309" s="129"/>
      <c r="K309" s="130"/>
      <c r="L309" s="129"/>
      <c r="M309" s="127" t="s">
        <v>761</v>
      </c>
      <c r="N309" s="127" t="s">
        <v>1639</v>
      </c>
      <c r="O309" s="127" t="s">
        <v>1498</v>
      </c>
      <c r="P309" s="127" t="s">
        <v>812</v>
      </c>
      <c r="Q309" s="127">
        <v>0</v>
      </c>
      <c r="R309" s="127">
        <v>0</v>
      </c>
      <c r="S309" s="127">
        <v>0</v>
      </c>
      <c r="T309" s="127">
        <v>0</v>
      </c>
      <c r="U309" s="127">
        <v>0</v>
      </c>
      <c r="V309" s="127">
        <v>0</v>
      </c>
      <c r="W309" s="127">
        <v>0</v>
      </c>
      <c r="X309" s="127">
        <v>0</v>
      </c>
      <c r="Y309" s="127">
        <v>0</v>
      </c>
      <c r="Z309" s="127">
        <v>0</v>
      </c>
      <c r="AA309" s="127" t="s">
        <v>2511</v>
      </c>
      <c r="AB309" s="131" t="s">
        <v>1190</v>
      </c>
      <c r="AC309" s="127" t="s">
        <v>1990</v>
      </c>
      <c r="AD309" s="131" t="s">
        <v>1418</v>
      </c>
      <c r="AE309" s="131" t="e">
        <v>#N/A</v>
      </c>
      <c r="AF309" s="131" t="e">
        <v>#N/A</v>
      </c>
      <c r="AG309" s="131" t="e">
        <v>#REF!</v>
      </c>
    </row>
    <row r="310" spans="1:33" s="131" customFormat="1" ht="18" customHeight="1" x14ac:dyDescent="0.25">
      <c r="A310" s="125">
        <v>309</v>
      </c>
      <c r="B310" s="126" t="s">
        <v>137</v>
      </c>
      <c r="C310" s="126" t="s">
        <v>2881</v>
      </c>
      <c r="D310" s="126" t="s">
        <v>2796</v>
      </c>
      <c r="E310" s="127" t="s">
        <v>766</v>
      </c>
      <c r="F310" s="128" t="s">
        <v>2411</v>
      </c>
      <c r="G310" s="128" t="s">
        <v>3289</v>
      </c>
      <c r="H310" s="125" t="s">
        <v>1732</v>
      </c>
      <c r="I310" s="125"/>
      <c r="J310" s="129"/>
      <c r="K310" s="130"/>
      <c r="L310" s="129"/>
      <c r="M310" s="127" t="s">
        <v>759</v>
      </c>
      <c r="N310" s="127" t="s">
        <v>1639</v>
      </c>
      <c r="O310" s="127" t="s">
        <v>1497</v>
      </c>
      <c r="P310" s="127" t="s">
        <v>812</v>
      </c>
      <c r="Q310" s="127">
        <v>0</v>
      </c>
      <c r="R310" s="127">
        <v>0</v>
      </c>
      <c r="S310" s="127">
        <v>0</v>
      </c>
      <c r="T310" s="127">
        <v>0</v>
      </c>
      <c r="U310" s="127">
        <v>0</v>
      </c>
      <c r="V310" s="127">
        <v>0</v>
      </c>
      <c r="W310" s="127">
        <v>0</v>
      </c>
      <c r="X310" s="127">
        <v>0</v>
      </c>
      <c r="Y310" s="127">
        <v>0</v>
      </c>
      <c r="Z310" s="127">
        <v>0</v>
      </c>
      <c r="AA310" s="127" t="s">
        <v>2511</v>
      </c>
      <c r="AB310" s="131" t="s">
        <v>1192</v>
      </c>
      <c r="AC310" s="127" t="s">
        <v>1991</v>
      </c>
      <c r="AD310" s="131" t="s">
        <v>766</v>
      </c>
      <c r="AE310" s="131" t="e">
        <v>#N/A</v>
      </c>
      <c r="AF310" s="131" t="e">
        <v>#N/A</v>
      </c>
      <c r="AG310" s="131" t="e">
        <v>#REF!</v>
      </c>
    </row>
    <row r="311" spans="1:33" s="131" customFormat="1" ht="18" customHeight="1" x14ac:dyDescent="0.25">
      <c r="A311" s="125">
        <v>310</v>
      </c>
      <c r="B311" s="126" t="s">
        <v>138</v>
      </c>
      <c r="C311" s="126" t="s">
        <v>2882</v>
      </c>
      <c r="D311" s="126" t="s">
        <v>2821</v>
      </c>
      <c r="E311" s="127" t="s">
        <v>766</v>
      </c>
      <c r="F311" s="128"/>
      <c r="G311" s="128" t="s">
        <v>3290</v>
      </c>
      <c r="H311" s="125"/>
      <c r="I311" s="125" t="s">
        <v>934</v>
      </c>
      <c r="J311" s="132"/>
      <c r="K311" s="130"/>
      <c r="L311" s="129"/>
      <c r="M311" s="127" t="s">
        <v>759</v>
      </c>
      <c r="N311" s="127" t="s">
        <v>770</v>
      </c>
      <c r="O311" s="127" t="s">
        <v>1553</v>
      </c>
      <c r="P311" s="127">
        <v>0</v>
      </c>
      <c r="Q311" s="127">
        <v>2</v>
      </c>
      <c r="R311" s="127" t="s">
        <v>1499</v>
      </c>
      <c r="S311" s="127" t="s">
        <v>138</v>
      </c>
      <c r="T311" s="127">
        <v>0</v>
      </c>
      <c r="U311" s="127">
        <v>0</v>
      </c>
      <c r="V311" s="127">
        <v>0</v>
      </c>
      <c r="W311" s="127">
        <v>0</v>
      </c>
      <c r="X311" s="127">
        <v>0</v>
      </c>
      <c r="Y311" s="127">
        <v>0</v>
      </c>
      <c r="Z311" s="127">
        <v>0</v>
      </c>
      <c r="AA311" s="127" t="s">
        <v>2511</v>
      </c>
      <c r="AB311" s="131" t="s">
        <v>1193</v>
      </c>
      <c r="AC311" s="127" t="s">
        <v>1992</v>
      </c>
      <c r="AD311" s="131" t="s">
        <v>766</v>
      </c>
      <c r="AE311" s="131" t="e">
        <v>#N/A</v>
      </c>
      <c r="AF311" s="131" t="e">
        <v>#N/A</v>
      </c>
      <c r="AG311" s="131" t="e">
        <v>#REF!</v>
      </c>
    </row>
    <row r="312" spans="1:33" s="131" customFormat="1" ht="18" customHeight="1" x14ac:dyDescent="0.25">
      <c r="A312" s="125">
        <v>311</v>
      </c>
      <c r="B312" s="126" t="s">
        <v>139</v>
      </c>
      <c r="C312" s="126" t="s">
        <v>2883</v>
      </c>
      <c r="D312" s="126" t="s">
        <v>2796</v>
      </c>
      <c r="E312" s="127" t="s">
        <v>766</v>
      </c>
      <c r="F312" s="128" t="s">
        <v>2411</v>
      </c>
      <c r="G312" s="128" t="s">
        <v>3289</v>
      </c>
      <c r="H312" s="125" t="s">
        <v>2391</v>
      </c>
      <c r="I312" s="125"/>
      <c r="J312" s="129"/>
      <c r="K312" s="130"/>
      <c r="L312" s="129"/>
      <c r="M312" s="127" t="s">
        <v>759</v>
      </c>
      <c r="N312" s="127" t="s">
        <v>1639</v>
      </c>
      <c r="O312" s="127" t="s">
        <v>1566</v>
      </c>
      <c r="P312" s="127" t="s">
        <v>812</v>
      </c>
      <c r="Q312" s="127">
        <v>0</v>
      </c>
      <c r="R312" s="127">
        <v>0</v>
      </c>
      <c r="S312" s="127">
        <v>0</v>
      </c>
      <c r="T312" s="127">
        <v>0</v>
      </c>
      <c r="U312" s="127">
        <v>0</v>
      </c>
      <c r="V312" s="127">
        <v>0</v>
      </c>
      <c r="W312" s="127">
        <v>0</v>
      </c>
      <c r="X312" s="127">
        <v>0</v>
      </c>
      <c r="Y312" s="127">
        <v>0</v>
      </c>
      <c r="Z312" s="127">
        <v>0</v>
      </c>
      <c r="AA312" s="127" t="s">
        <v>2511</v>
      </c>
      <c r="AB312" s="131" t="s">
        <v>1195</v>
      </c>
      <c r="AC312" s="127" t="s">
        <v>1993</v>
      </c>
      <c r="AD312" s="131" t="s">
        <v>766</v>
      </c>
      <c r="AE312" s="131" t="e">
        <v>#N/A</v>
      </c>
      <c r="AF312" s="131" t="e">
        <v>#N/A</v>
      </c>
      <c r="AG312" s="131" t="e">
        <v>#REF!</v>
      </c>
    </row>
    <row r="313" spans="1:33" s="131" customFormat="1" ht="18" customHeight="1" x14ac:dyDescent="0.25">
      <c r="A313" s="125">
        <v>312</v>
      </c>
      <c r="B313" s="126" t="s">
        <v>140</v>
      </c>
      <c r="C313" s="126" t="s">
        <v>2884</v>
      </c>
      <c r="D313" s="126" t="s">
        <v>2821</v>
      </c>
      <c r="E313" s="127" t="s">
        <v>766</v>
      </c>
      <c r="F313" s="128" t="s">
        <v>2411</v>
      </c>
      <c r="G313" s="128" t="s">
        <v>3290</v>
      </c>
      <c r="H313" s="125"/>
      <c r="I313" s="125" t="s">
        <v>934</v>
      </c>
      <c r="J313" s="132"/>
      <c r="K313" s="130"/>
      <c r="L313" s="129"/>
      <c r="M313" s="127" t="s">
        <v>759</v>
      </c>
      <c r="N313" s="127" t="s">
        <v>770</v>
      </c>
      <c r="O313" s="127" t="s">
        <v>1427</v>
      </c>
      <c r="P313" s="127" t="s">
        <v>1554</v>
      </c>
      <c r="Q313" s="127">
        <v>0</v>
      </c>
      <c r="R313" s="127">
        <v>0</v>
      </c>
      <c r="S313" s="127">
        <v>0</v>
      </c>
      <c r="T313" s="127">
        <v>4</v>
      </c>
      <c r="U313" s="127" t="s">
        <v>1441</v>
      </c>
      <c r="V313" s="127" t="s">
        <v>140</v>
      </c>
      <c r="W313" s="127">
        <v>0</v>
      </c>
      <c r="X313" s="127">
        <v>0</v>
      </c>
      <c r="Y313" s="127">
        <v>0</v>
      </c>
      <c r="Z313" s="127" t="s">
        <v>1568</v>
      </c>
      <c r="AA313" s="127" t="s">
        <v>2511</v>
      </c>
      <c r="AB313" s="131" t="s">
        <v>1196</v>
      </c>
      <c r="AC313" s="127" t="s">
        <v>1994</v>
      </c>
      <c r="AD313" s="131" t="s">
        <v>766</v>
      </c>
      <c r="AE313" s="131" t="e">
        <v>#N/A</v>
      </c>
      <c r="AF313" s="131" t="e">
        <v>#N/A</v>
      </c>
      <c r="AG313" s="131" t="e">
        <v>#REF!</v>
      </c>
    </row>
    <row r="314" spans="1:33" s="131" customFormat="1" ht="18" customHeight="1" x14ac:dyDescent="0.25">
      <c r="A314" s="125">
        <v>313</v>
      </c>
      <c r="B314" s="126" t="s">
        <v>36</v>
      </c>
      <c r="C314" s="126" t="s">
        <v>2885</v>
      </c>
      <c r="D314" s="126" t="s">
        <v>2798</v>
      </c>
      <c r="E314" s="127" t="s">
        <v>1418</v>
      </c>
      <c r="F314" s="128" t="s">
        <v>2410</v>
      </c>
      <c r="G314" s="128" t="s">
        <v>3290</v>
      </c>
      <c r="H314" s="125"/>
      <c r="I314" s="125"/>
      <c r="J314" s="132"/>
      <c r="K314" s="130" t="s">
        <v>20</v>
      </c>
      <c r="L314" s="129" t="s">
        <v>2550</v>
      </c>
      <c r="M314" s="127" t="s">
        <v>879</v>
      </c>
      <c r="N314" s="127" t="s">
        <v>764</v>
      </c>
      <c r="O314" s="127" t="s">
        <v>1427</v>
      </c>
      <c r="P314" s="127">
        <v>0</v>
      </c>
      <c r="Q314" s="127">
        <v>0</v>
      </c>
      <c r="R314" s="127">
        <v>0</v>
      </c>
      <c r="S314" s="127">
        <v>0</v>
      </c>
      <c r="T314" s="127">
        <v>2</v>
      </c>
      <c r="U314" s="127" t="s">
        <v>1507</v>
      </c>
      <c r="V314" s="127" t="s">
        <v>36</v>
      </c>
      <c r="W314" s="127">
        <v>0</v>
      </c>
      <c r="X314" s="127">
        <v>0</v>
      </c>
      <c r="Y314" s="127">
        <v>0</v>
      </c>
      <c r="Z314" s="127">
        <v>0</v>
      </c>
      <c r="AA314" s="127" t="s">
        <v>2511</v>
      </c>
      <c r="AB314" s="131" t="s">
        <v>1197</v>
      </c>
      <c r="AC314" s="127" t="s">
        <v>1995</v>
      </c>
      <c r="AD314" s="131" t="s">
        <v>1418</v>
      </c>
      <c r="AE314" s="131" t="s">
        <v>20</v>
      </c>
      <c r="AF314" s="131" t="b">
        <v>1</v>
      </c>
      <c r="AG314" s="131" t="e">
        <v>#REF!</v>
      </c>
    </row>
    <row r="315" spans="1:33" s="131" customFormat="1" ht="18" customHeight="1" x14ac:dyDescent="0.25">
      <c r="A315" s="125">
        <v>314</v>
      </c>
      <c r="B315" s="126" t="s">
        <v>383</v>
      </c>
      <c r="C315" s="126" t="s">
        <v>2886</v>
      </c>
      <c r="D315" s="126" t="s">
        <v>2798</v>
      </c>
      <c r="E315" s="127" t="s">
        <v>1418</v>
      </c>
      <c r="F315" s="128" t="s">
        <v>2411</v>
      </c>
      <c r="G315" s="128" t="s">
        <v>3290</v>
      </c>
      <c r="H315" s="125"/>
      <c r="I315" s="125" t="s">
        <v>1643</v>
      </c>
      <c r="J315" s="132"/>
      <c r="K315" s="130"/>
      <c r="L315" s="129" t="s">
        <v>2552</v>
      </c>
      <c r="M315" s="127" t="s">
        <v>761</v>
      </c>
      <c r="N315" s="127" t="s">
        <v>2549</v>
      </c>
      <c r="O315" s="127" t="s">
        <v>1427</v>
      </c>
      <c r="P315" s="127" t="s">
        <v>1554</v>
      </c>
      <c r="Q315" s="127">
        <v>0</v>
      </c>
      <c r="R315" s="127">
        <v>0</v>
      </c>
      <c r="S315" s="127">
        <v>0</v>
      </c>
      <c r="T315" s="127">
        <v>4</v>
      </c>
      <c r="U315" s="127" t="s">
        <v>1491</v>
      </c>
      <c r="V315" s="127" t="s">
        <v>383</v>
      </c>
      <c r="W315" s="127">
        <v>0</v>
      </c>
      <c r="X315" s="127">
        <v>0</v>
      </c>
      <c r="Y315" s="127">
        <v>0</v>
      </c>
      <c r="Z315" s="127" t="s">
        <v>1568</v>
      </c>
      <c r="AA315" s="127" t="s">
        <v>2511</v>
      </c>
      <c r="AB315" s="131" t="s">
        <v>1198</v>
      </c>
      <c r="AC315" s="127" t="s">
        <v>1996</v>
      </c>
      <c r="AD315" s="131" t="s">
        <v>1418</v>
      </c>
      <c r="AE315" s="131" t="e">
        <v>#N/A</v>
      </c>
      <c r="AF315" s="131" t="e">
        <v>#N/A</v>
      </c>
      <c r="AG315" s="131" t="e">
        <v>#REF!</v>
      </c>
    </row>
    <row r="316" spans="1:33" s="131" customFormat="1" ht="18" customHeight="1" x14ac:dyDescent="0.25">
      <c r="A316" s="125">
        <v>315</v>
      </c>
      <c r="B316" s="126" t="s">
        <v>384</v>
      </c>
      <c r="C316" s="126" t="s">
        <v>2887</v>
      </c>
      <c r="D316" s="126" t="s">
        <v>2798</v>
      </c>
      <c r="E316" s="127" t="s">
        <v>1418</v>
      </c>
      <c r="F316" s="128" t="s">
        <v>2410</v>
      </c>
      <c r="G316" s="128" t="s">
        <v>3290</v>
      </c>
      <c r="H316" s="125"/>
      <c r="I316" s="125"/>
      <c r="J316" s="132"/>
      <c r="K316" s="130" t="s">
        <v>15</v>
      </c>
      <c r="L316" s="129" t="s">
        <v>2550</v>
      </c>
      <c r="M316" s="127" t="s">
        <v>879</v>
      </c>
      <c r="N316" s="127" t="s">
        <v>764</v>
      </c>
      <c r="O316" s="127" t="s">
        <v>1427</v>
      </c>
      <c r="P316" s="127">
        <v>0</v>
      </c>
      <c r="Q316" s="127">
        <v>0</v>
      </c>
      <c r="R316" s="127">
        <v>0</v>
      </c>
      <c r="S316" s="127">
        <v>0</v>
      </c>
      <c r="T316" s="127">
        <v>4</v>
      </c>
      <c r="U316" s="127" t="s">
        <v>1564</v>
      </c>
      <c r="V316" s="127" t="s">
        <v>384</v>
      </c>
      <c r="W316" s="127">
        <v>0</v>
      </c>
      <c r="X316" s="127">
        <v>0</v>
      </c>
      <c r="Y316" s="127">
        <v>0</v>
      </c>
      <c r="Z316" s="127">
        <v>0</v>
      </c>
      <c r="AA316" s="127" t="s">
        <v>2511</v>
      </c>
      <c r="AB316" s="131" t="s">
        <v>1199</v>
      </c>
      <c r="AC316" s="127" t="e">
        <v>#N/A</v>
      </c>
      <c r="AD316" s="131" t="s">
        <v>1418</v>
      </c>
      <c r="AE316" s="131" t="s">
        <v>64</v>
      </c>
      <c r="AF316" s="131" t="b">
        <v>0</v>
      </c>
      <c r="AG316" s="131" t="e">
        <v>#REF!</v>
      </c>
    </row>
    <row r="317" spans="1:33" s="131" customFormat="1" ht="18" customHeight="1" x14ac:dyDescent="0.25">
      <c r="A317" s="125">
        <v>316</v>
      </c>
      <c r="B317" s="126" t="s">
        <v>424</v>
      </c>
      <c r="C317" s="126" t="s">
        <v>2888</v>
      </c>
      <c r="D317" s="126" t="s">
        <v>2790</v>
      </c>
      <c r="E317" s="127" t="s">
        <v>1418</v>
      </c>
      <c r="F317" s="128" t="s">
        <v>2521</v>
      </c>
      <c r="G317" s="128" t="s">
        <v>3294</v>
      </c>
      <c r="H317" s="125"/>
      <c r="I317" s="125"/>
      <c r="J317" s="132"/>
      <c r="K317" s="130"/>
      <c r="L317" s="129" t="s">
        <v>2553</v>
      </c>
      <c r="M317" s="127" t="s">
        <v>783</v>
      </c>
      <c r="N317" s="127" t="s">
        <v>764</v>
      </c>
      <c r="O317" s="127" t="s">
        <v>2364</v>
      </c>
      <c r="P317" s="127">
        <v>0</v>
      </c>
      <c r="Q317" s="127">
        <v>0</v>
      </c>
      <c r="R317" s="127">
        <v>0</v>
      </c>
      <c r="S317" s="127">
        <v>0</v>
      </c>
      <c r="T317" s="127">
        <v>0</v>
      </c>
      <c r="U317" s="127">
        <v>0</v>
      </c>
      <c r="V317" s="127">
        <v>0</v>
      </c>
      <c r="W317" s="127">
        <v>0</v>
      </c>
      <c r="X317" s="127">
        <v>0</v>
      </c>
      <c r="Y317" s="127">
        <v>0</v>
      </c>
      <c r="Z317" s="127">
        <v>0</v>
      </c>
      <c r="AA317" s="127" t="s">
        <v>2511</v>
      </c>
      <c r="AB317" s="131" t="s">
        <v>1200</v>
      </c>
      <c r="AC317" s="127" t="e">
        <v>#N/A</v>
      </c>
      <c r="AD317" s="131" t="s">
        <v>1418</v>
      </c>
      <c r="AE317" s="131" t="e">
        <v>#N/A</v>
      </c>
      <c r="AF317" s="131" t="e">
        <v>#N/A</v>
      </c>
      <c r="AG317" s="131" t="e">
        <v>#REF!</v>
      </c>
    </row>
    <row r="318" spans="1:33" s="131" customFormat="1" ht="18" customHeight="1" x14ac:dyDescent="0.25">
      <c r="A318" s="125">
        <v>317</v>
      </c>
      <c r="B318" s="126" t="s">
        <v>390</v>
      </c>
      <c r="C318" s="126" t="s">
        <v>2889</v>
      </c>
      <c r="D318" s="126" t="s">
        <v>2821</v>
      </c>
      <c r="E318" s="127" t="s">
        <v>766</v>
      </c>
      <c r="F318" s="128" t="s">
        <v>2411</v>
      </c>
      <c r="G318" s="128" t="s">
        <v>3289</v>
      </c>
      <c r="H318" s="125"/>
      <c r="I318" s="125"/>
      <c r="J318" s="132" t="s">
        <v>1641</v>
      </c>
      <c r="K318" s="130"/>
      <c r="L318" s="129"/>
      <c r="M318" s="127" t="s">
        <v>759</v>
      </c>
      <c r="N318" s="127" t="s">
        <v>1641</v>
      </c>
      <c r="O318" s="127" t="s">
        <v>1499</v>
      </c>
      <c r="P318" s="127" t="s">
        <v>812</v>
      </c>
      <c r="Q318" s="127">
        <v>0</v>
      </c>
      <c r="R318" s="127">
        <v>0</v>
      </c>
      <c r="S318" s="127">
        <v>0</v>
      </c>
      <c r="T318" s="127">
        <v>0</v>
      </c>
      <c r="U318" s="127">
        <v>0</v>
      </c>
      <c r="V318" s="127">
        <v>0</v>
      </c>
      <c r="W318" s="127">
        <v>0</v>
      </c>
      <c r="X318" s="127">
        <v>0</v>
      </c>
      <c r="Y318" s="127">
        <v>0</v>
      </c>
      <c r="Z318" s="127">
        <v>0</v>
      </c>
      <c r="AA318" s="127" t="s">
        <v>2511</v>
      </c>
      <c r="AB318" s="131" t="s">
        <v>1201</v>
      </c>
      <c r="AC318" s="127" t="s">
        <v>1997</v>
      </c>
      <c r="AD318" s="131" t="s">
        <v>766</v>
      </c>
      <c r="AE318" s="131" t="e">
        <v>#N/A</v>
      </c>
      <c r="AF318" s="131" t="e">
        <v>#N/A</v>
      </c>
      <c r="AG318" s="131" t="e">
        <v>#REF!</v>
      </c>
    </row>
    <row r="319" spans="1:33" s="131" customFormat="1" ht="18" customHeight="1" x14ac:dyDescent="0.25">
      <c r="A319" s="125">
        <v>318</v>
      </c>
      <c r="B319" s="126" t="s">
        <v>391</v>
      </c>
      <c r="C319" s="126" t="s">
        <v>2890</v>
      </c>
      <c r="D319" s="126" t="s">
        <v>2821</v>
      </c>
      <c r="E319" s="127" t="s">
        <v>2512</v>
      </c>
      <c r="F319" s="128" t="s">
        <v>2410</v>
      </c>
      <c r="G319" s="128" t="s">
        <v>3290</v>
      </c>
      <c r="H319" s="125"/>
      <c r="I319" s="125" t="s">
        <v>934</v>
      </c>
      <c r="J319" s="132"/>
      <c r="K319" s="130" t="s">
        <v>175</v>
      </c>
      <c r="L319" s="129"/>
      <c r="M319" s="127" t="s">
        <v>759</v>
      </c>
      <c r="N319" s="127" t="s">
        <v>770</v>
      </c>
      <c r="O319" s="127" t="s">
        <v>1427</v>
      </c>
      <c r="P319" s="127">
        <v>0</v>
      </c>
      <c r="Q319" s="127">
        <v>0</v>
      </c>
      <c r="R319" s="127">
        <v>0</v>
      </c>
      <c r="S319" s="127">
        <v>0</v>
      </c>
      <c r="T319" s="127">
        <v>4</v>
      </c>
      <c r="U319" s="127" t="s">
        <v>1480</v>
      </c>
      <c r="V319" s="127" t="s">
        <v>391</v>
      </c>
      <c r="W319" s="127">
        <v>0</v>
      </c>
      <c r="X319" s="127">
        <v>0</v>
      </c>
      <c r="Y319" s="127">
        <v>0</v>
      </c>
      <c r="Z319" s="127">
        <v>0</v>
      </c>
      <c r="AA319" s="127" t="s">
        <v>2511</v>
      </c>
      <c r="AB319" s="131" t="s">
        <v>1202</v>
      </c>
      <c r="AC319" s="127" t="s">
        <v>1998</v>
      </c>
      <c r="AD319" s="131" t="s">
        <v>766</v>
      </c>
      <c r="AE319" s="131" t="e">
        <v>#N/A</v>
      </c>
      <c r="AF319" s="131" t="e">
        <v>#N/A</v>
      </c>
      <c r="AG319" s="131" t="e">
        <v>#REF!</v>
      </c>
    </row>
    <row r="320" spans="1:33" s="131" customFormat="1" ht="18" customHeight="1" x14ac:dyDescent="0.25">
      <c r="A320" s="125">
        <v>319</v>
      </c>
      <c r="B320" s="126" t="s">
        <v>438</v>
      </c>
      <c r="C320" s="126" t="s">
        <v>2891</v>
      </c>
      <c r="D320" s="126" t="s">
        <v>2798</v>
      </c>
      <c r="E320" s="127" t="s">
        <v>1418</v>
      </c>
      <c r="F320" s="128" t="s">
        <v>2411</v>
      </c>
      <c r="G320" s="128" t="s">
        <v>3289</v>
      </c>
      <c r="H320" s="125"/>
      <c r="I320" s="125"/>
      <c r="J320" s="132"/>
      <c r="K320" s="130"/>
      <c r="L320" s="129" t="s">
        <v>2550</v>
      </c>
      <c r="M320" s="127" t="s">
        <v>783</v>
      </c>
      <c r="N320" s="127" t="s">
        <v>764</v>
      </c>
      <c r="O320" s="127" t="s">
        <v>3318</v>
      </c>
      <c r="P320" s="127" t="s">
        <v>812</v>
      </c>
      <c r="Q320" s="127">
        <v>0</v>
      </c>
      <c r="R320" s="127">
        <v>0</v>
      </c>
      <c r="S320" s="127">
        <v>0</v>
      </c>
      <c r="T320" s="127">
        <v>0</v>
      </c>
      <c r="U320" s="127">
        <v>0</v>
      </c>
      <c r="V320" s="127">
        <v>0</v>
      </c>
      <c r="W320" s="127">
        <v>0</v>
      </c>
      <c r="X320" s="127">
        <v>0</v>
      </c>
      <c r="Y320" s="127">
        <v>0</v>
      </c>
      <c r="Z320" s="127">
        <v>0</v>
      </c>
      <c r="AA320" s="127" t="s">
        <v>2511</v>
      </c>
      <c r="AB320" s="131" t="s">
        <v>1203</v>
      </c>
      <c r="AC320" s="127" t="e">
        <v>#N/A</v>
      </c>
      <c r="AD320" s="131" t="s">
        <v>1418</v>
      </c>
      <c r="AE320" s="131" t="e">
        <v>#N/A</v>
      </c>
      <c r="AF320" s="131" t="e">
        <v>#N/A</v>
      </c>
      <c r="AG320" s="131" t="e">
        <v>#REF!</v>
      </c>
    </row>
    <row r="321" spans="1:33" s="131" customFormat="1" ht="15.75" x14ac:dyDescent="0.25">
      <c r="A321" s="125">
        <v>320</v>
      </c>
      <c r="B321" s="126" t="s">
        <v>449</v>
      </c>
      <c r="C321" s="126" t="s">
        <v>2892</v>
      </c>
      <c r="D321" s="126" t="s">
        <v>2790</v>
      </c>
      <c r="E321" s="127" t="s">
        <v>2322</v>
      </c>
      <c r="F321" s="128" t="s">
        <v>2410</v>
      </c>
      <c r="G321" s="128" t="s">
        <v>3290</v>
      </c>
      <c r="H321" s="125" t="s">
        <v>993</v>
      </c>
      <c r="I321" s="125"/>
      <c r="J321" s="129"/>
      <c r="K321" s="130" t="s">
        <v>64</v>
      </c>
      <c r="L321" s="129"/>
      <c r="M321" s="127" t="s">
        <v>761</v>
      </c>
      <c r="N321" s="127" t="s">
        <v>1639</v>
      </c>
      <c r="O321" s="127" t="s">
        <v>1427</v>
      </c>
      <c r="P321" s="127">
        <v>0</v>
      </c>
      <c r="Q321" s="127">
        <v>0</v>
      </c>
      <c r="R321" s="127">
        <v>0</v>
      </c>
      <c r="S321" s="127">
        <v>0</v>
      </c>
      <c r="T321" s="127">
        <v>4</v>
      </c>
      <c r="U321" s="127" t="s">
        <v>1491</v>
      </c>
      <c r="V321" s="127" t="s">
        <v>449</v>
      </c>
      <c r="W321" s="127">
        <v>0</v>
      </c>
      <c r="X321" s="127">
        <v>0</v>
      </c>
      <c r="Y321" s="127">
        <v>0</v>
      </c>
      <c r="Z321" s="127">
        <v>0</v>
      </c>
      <c r="AA321" s="127" t="s">
        <v>2511</v>
      </c>
      <c r="AB321" s="131" t="s">
        <v>1204</v>
      </c>
      <c r="AC321" s="127" t="s">
        <v>1999</v>
      </c>
      <c r="AD321" s="131" t="s">
        <v>2322</v>
      </c>
      <c r="AE321" s="131" t="s">
        <v>64</v>
      </c>
      <c r="AF321" s="131" t="b">
        <v>1</v>
      </c>
      <c r="AG321" s="131" t="e">
        <v>#REF!</v>
      </c>
    </row>
    <row r="322" spans="1:33" s="131" customFormat="1" ht="18" customHeight="1" x14ac:dyDescent="0.25">
      <c r="A322" s="125">
        <v>321</v>
      </c>
      <c r="B322" s="126" t="s">
        <v>547</v>
      </c>
      <c r="C322" s="126" t="s">
        <v>2893</v>
      </c>
      <c r="D322" s="126" t="s">
        <v>2821</v>
      </c>
      <c r="E322" s="127" t="s">
        <v>766</v>
      </c>
      <c r="F322" s="128" t="s">
        <v>2410</v>
      </c>
      <c r="G322" s="128" t="s">
        <v>3290</v>
      </c>
      <c r="H322" s="125"/>
      <c r="I322" s="125"/>
      <c r="J322" s="132"/>
      <c r="K322" s="130"/>
      <c r="L322" s="129" t="s">
        <v>2554</v>
      </c>
      <c r="M322" s="127" t="s">
        <v>783</v>
      </c>
      <c r="N322" s="127" t="s">
        <v>764</v>
      </c>
      <c r="O322" s="127" t="s">
        <v>1427</v>
      </c>
      <c r="P322" s="127">
        <v>0</v>
      </c>
      <c r="Q322" s="127">
        <v>0</v>
      </c>
      <c r="R322" s="127">
        <v>0</v>
      </c>
      <c r="S322" s="127">
        <v>0</v>
      </c>
      <c r="T322" s="127">
        <v>4</v>
      </c>
      <c r="U322" s="127" t="s">
        <v>1455</v>
      </c>
      <c r="V322" s="127" t="s">
        <v>547</v>
      </c>
      <c r="W322" s="127">
        <v>0</v>
      </c>
      <c r="X322" s="127">
        <v>0</v>
      </c>
      <c r="Y322" s="127">
        <v>0</v>
      </c>
      <c r="Z322" s="127">
        <v>0</v>
      </c>
      <c r="AA322" s="127" t="s">
        <v>2511</v>
      </c>
      <c r="AB322" s="131" t="s">
        <v>1411</v>
      </c>
      <c r="AC322" s="127" t="e">
        <v>#N/A</v>
      </c>
      <c r="AD322" s="131" t="s">
        <v>766</v>
      </c>
      <c r="AE322" s="131" t="e">
        <v>#N/A</v>
      </c>
      <c r="AF322" s="131" t="e">
        <v>#N/A</v>
      </c>
      <c r="AG322" s="131" t="e">
        <v>#REF!</v>
      </c>
    </row>
    <row r="323" spans="1:33" s="131" customFormat="1" ht="18" customHeight="1" x14ac:dyDescent="0.25">
      <c r="A323" s="125">
        <v>322</v>
      </c>
      <c r="B323" s="126" t="s">
        <v>588</v>
      </c>
      <c r="C323" s="126" t="s">
        <v>2894</v>
      </c>
      <c r="D323" s="126" t="s">
        <v>2790</v>
      </c>
      <c r="E323" s="127" t="s">
        <v>2322</v>
      </c>
      <c r="F323" s="128" t="s">
        <v>2410</v>
      </c>
      <c r="G323" s="128" t="s">
        <v>3290</v>
      </c>
      <c r="H323" s="125"/>
      <c r="I323" s="125"/>
      <c r="J323" s="132"/>
      <c r="K323" s="130" t="s">
        <v>64</v>
      </c>
      <c r="L323" s="129" t="s">
        <v>2553</v>
      </c>
      <c r="M323" s="127" t="s">
        <v>783</v>
      </c>
      <c r="N323" s="127" t="s">
        <v>764</v>
      </c>
      <c r="O323" s="127" t="s">
        <v>1427</v>
      </c>
      <c r="P323" s="127">
        <v>0</v>
      </c>
      <c r="Q323" s="127">
        <v>0</v>
      </c>
      <c r="R323" s="127">
        <v>0</v>
      </c>
      <c r="S323" s="127">
        <v>0</v>
      </c>
      <c r="T323" s="127">
        <v>2</v>
      </c>
      <c r="U323" s="127" t="s">
        <v>1503</v>
      </c>
      <c r="V323" s="127" t="s">
        <v>588</v>
      </c>
      <c r="W323" s="127">
        <v>0</v>
      </c>
      <c r="X323" s="127">
        <v>0</v>
      </c>
      <c r="Y323" s="127">
        <v>0</v>
      </c>
      <c r="Z323" s="127">
        <v>0</v>
      </c>
      <c r="AA323" s="127" t="s">
        <v>2511</v>
      </c>
      <c r="AB323" s="131" t="s">
        <v>1412</v>
      </c>
      <c r="AC323" s="127" t="e">
        <v>#N/A</v>
      </c>
      <c r="AD323" s="131" t="s">
        <v>2322</v>
      </c>
      <c r="AE323" s="131" t="s">
        <v>64</v>
      </c>
      <c r="AF323" s="131" t="b">
        <v>1</v>
      </c>
      <c r="AG323" s="131" t="e">
        <v>#REF!</v>
      </c>
    </row>
    <row r="324" spans="1:33" s="131" customFormat="1" ht="18" customHeight="1" x14ac:dyDescent="0.25">
      <c r="A324" s="125">
        <v>323</v>
      </c>
      <c r="B324" s="126" t="s">
        <v>546</v>
      </c>
      <c r="C324" s="126" t="s">
        <v>2895</v>
      </c>
      <c r="D324" s="126" t="s">
        <v>2790</v>
      </c>
      <c r="E324" s="127" t="s">
        <v>2322</v>
      </c>
      <c r="F324" s="134" t="s">
        <v>2410</v>
      </c>
      <c r="G324" s="128" t="s">
        <v>3290</v>
      </c>
      <c r="H324" s="125"/>
      <c r="I324" s="125"/>
      <c r="J324" s="132"/>
      <c r="K324" s="130"/>
      <c r="L324" s="129" t="s">
        <v>2553</v>
      </c>
      <c r="M324" s="127" t="s">
        <v>783</v>
      </c>
      <c r="N324" s="127" t="s">
        <v>764</v>
      </c>
      <c r="O324" s="127" t="s">
        <v>1427</v>
      </c>
      <c r="P324" s="127">
        <v>0</v>
      </c>
      <c r="Q324" s="127">
        <v>0</v>
      </c>
      <c r="R324" s="127">
        <v>0</v>
      </c>
      <c r="S324" s="127">
        <v>0</v>
      </c>
      <c r="T324" s="127">
        <v>2</v>
      </c>
      <c r="U324" s="127" t="s">
        <v>1503</v>
      </c>
      <c r="V324" s="127" t="s">
        <v>546</v>
      </c>
      <c r="W324" s="127">
        <v>0</v>
      </c>
      <c r="X324" s="127">
        <v>0</v>
      </c>
      <c r="Y324" s="127">
        <v>0</v>
      </c>
      <c r="Z324" s="127">
        <v>0</v>
      </c>
      <c r="AA324" s="127" t="s">
        <v>2511</v>
      </c>
      <c r="AB324" s="131" t="s">
        <v>1205</v>
      </c>
      <c r="AC324" s="127" t="e">
        <v>#N/A</v>
      </c>
      <c r="AD324" s="131" t="s">
        <v>2322</v>
      </c>
      <c r="AE324" s="131" t="e">
        <v>#N/A</v>
      </c>
      <c r="AF324" s="131" t="e">
        <v>#N/A</v>
      </c>
      <c r="AG324" s="131" t="e">
        <v>#REF!</v>
      </c>
    </row>
    <row r="325" spans="1:33" s="131" customFormat="1" ht="18" customHeight="1" x14ac:dyDescent="0.25">
      <c r="A325" s="125">
        <v>324</v>
      </c>
      <c r="B325" s="126" t="s">
        <v>450</v>
      </c>
      <c r="C325" s="126" t="s">
        <v>2896</v>
      </c>
      <c r="D325" s="126" t="s">
        <v>2790</v>
      </c>
      <c r="E325" s="127" t="s">
        <v>1418</v>
      </c>
      <c r="F325" s="128" t="s">
        <v>2410</v>
      </c>
      <c r="G325" s="128" t="s">
        <v>3290</v>
      </c>
      <c r="H325" s="125"/>
      <c r="I325" s="125"/>
      <c r="J325" s="132"/>
      <c r="K325" s="130" t="s">
        <v>64</v>
      </c>
      <c r="L325" s="129" t="s">
        <v>2553</v>
      </c>
      <c r="M325" s="127" t="s">
        <v>761</v>
      </c>
      <c r="N325" s="127" t="s">
        <v>764</v>
      </c>
      <c r="O325" s="127" t="s">
        <v>1427</v>
      </c>
      <c r="P325" s="127">
        <v>0</v>
      </c>
      <c r="Q325" s="127">
        <v>0</v>
      </c>
      <c r="R325" s="127">
        <v>0</v>
      </c>
      <c r="S325" s="127">
        <v>0</v>
      </c>
      <c r="T325" s="127">
        <v>4</v>
      </c>
      <c r="U325" s="127" t="s">
        <v>1491</v>
      </c>
      <c r="V325" s="127" t="s">
        <v>450</v>
      </c>
      <c r="W325" s="127">
        <v>0</v>
      </c>
      <c r="X325" s="127">
        <v>0</v>
      </c>
      <c r="Y325" s="127">
        <v>0</v>
      </c>
      <c r="Z325" s="127">
        <v>0</v>
      </c>
      <c r="AA325" s="127" t="s">
        <v>2511</v>
      </c>
      <c r="AB325" s="131" t="s">
        <v>1206</v>
      </c>
      <c r="AC325" s="127" t="s">
        <v>2000</v>
      </c>
      <c r="AD325" s="131" t="s">
        <v>1418</v>
      </c>
      <c r="AE325" s="131" t="e">
        <v>#N/A</v>
      </c>
      <c r="AF325" s="131" t="e">
        <v>#N/A</v>
      </c>
      <c r="AG325" s="131" t="e">
        <v>#REF!</v>
      </c>
    </row>
    <row r="326" spans="1:33" s="131" customFormat="1" ht="15.75" x14ac:dyDescent="0.25">
      <c r="A326" s="125">
        <v>325</v>
      </c>
      <c r="B326" s="126" t="s">
        <v>441</v>
      </c>
      <c r="C326" s="126" t="s">
        <v>2897</v>
      </c>
      <c r="D326" s="126" t="s">
        <v>2796</v>
      </c>
      <c r="E326" s="127" t="s">
        <v>766</v>
      </c>
      <c r="F326" s="128" t="s">
        <v>2411</v>
      </c>
      <c r="G326" s="128" t="s">
        <v>3289</v>
      </c>
      <c r="H326" s="125" t="s">
        <v>993</v>
      </c>
      <c r="I326" s="125"/>
      <c r="J326" s="129"/>
      <c r="K326" s="130"/>
      <c r="L326" s="129"/>
      <c r="M326" s="127" t="s">
        <v>759</v>
      </c>
      <c r="N326" s="127" t="s">
        <v>1639</v>
      </c>
      <c r="O326" s="127" t="s">
        <v>3319</v>
      </c>
      <c r="P326" s="127" t="s">
        <v>812</v>
      </c>
      <c r="Q326" s="127">
        <v>0</v>
      </c>
      <c r="R326" s="127">
        <v>0</v>
      </c>
      <c r="S326" s="127">
        <v>0</v>
      </c>
      <c r="T326" s="127">
        <v>0</v>
      </c>
      <c r="U326" s="127">
        <v>0</v>
      </c>
      <c r="V326" s="127">
        <v>0</v>
      </c>
      <c r="W326" s="127">
        <v>0</v>
      </c>
      <c r="X326" s="127">
        <v>0</v>
      </c>
      <c r="Y326" s="127">
        <v>0</v>
      </c>
      <c r="Z326" s="127">
        <v>0</v>
      </c>
      <c r="AA326" s="127" t="s">
        <v>2511</v>
      </c>
      <c r="AB326" s="131" t="s">
        <v>1208</v>
      </c>
      <c r="AC326" s="127" t="s">
        <v>2001</v>
      </c>
      <c r="AD326" s="131" t="s">
        <v>766</v>
      </c>
      <c r="AE326" s="131" t="e">
        <v>#N/A</v>
      </c>
      <c r="AF326" s="131" t="e">
        <v>#N/A</v>
      </c>
      <c r="AG326" s="131" t="e">
        <v>#REF!</v>
      </c>
    </row>
    <row r="327" spans="1:33" s="131" customFormat="1" ht="18" customHeight="1" x14ac:dyDescent="0.25">
      <c r="A327" s="125">
        <v>326</v>
      </c>
      <c r="B327" s="126" t="s">
        <v>464</v>
      </c>
      <c r="C327" s="126" t="s">
        <v>2898</v>
      </c>
      <c r="D327" s="126" t="s">
        <v>2796</v>
      </c>
      <c r="E327" s="127" t="s">
        <v>766</v>
      </c>
      <c r="F327" s="128" t="s">
        <v>2410</v>
      </c>
      <c r="G327" s="128" t="s">
        <v>3294</v>
      </c>
      <c r="H327" s="125"/>
      <c r="I327" s="125"/>
      <c r="J327" s="132" t="s">
        <v>1641</v>
      </c>
      <c r="K327" s="130" t="s">
        <v>4</v>
      </c>
      <c r="L327" s="129"/>
      <c r="M327" s="127" t="s">
        <v>759</v>
      </c>
      <c r="N327" s="127" t="s">
        <v>1641</v>
      </c>
      <c r="O327" s="127" t="s">
        <v>1427</v>
      </c>
      <c r="P327" s="127">
        <v>0</v>
      </c>
      <c r="Q327" s="127">
        <v>0</v>
      </c>
      <c r="R327" s="127">
        <v>0</v>
      </c>
      <c r="S327" s="127">
        <v>0</v>
      </c>
      <c r="T327" s="127">
        <v>4</v>
      </c>
      <c r="U327" s="127" t="s">
        <v>1441</v>
      </c>
      <c r="V327" s="127" t="s">
        <v>464</v>
      </c>
      <c r="W327" s="127">
        <v>0</v>
      </c>
      <c r="X327" s="127">
        <v>0</v>
      </c>
      <c r="Y327" s="127">
        <v>0</v>
      </c>
      <c r="Z327" s="127">
        <v>0</v>
      </c>
      <c r="AA327" s="127" t="s">
        <v>2511</v>
      </c>
      <c r="AB327" s="131" t="s">
        <v>1210</v>
      </c>
      <c r="AC327" s="127" t="s">
        <v>2002</v>
      </c>
      <c r="AD327" s="131" t="s">
        <v>766</v>
      </c>
      <c r="AE327" s="131" t="e">
        <v>#N/A</v>
      </c>
      <c r="AF327" s="131" t="e">
        <v>#N/A</v>
      </c>
      <c r="AG327" s="131" t="e">
        <v>#REF!</v>
      </c>
    </row>
    <row r="328" spans="1:33" s="131" customFormat="1" ht="18" customHeight="1" x14ac:dyDescent="0.25">
      <c r="A328" s="125">
        <v>327</v>
      </c>
      <c r="B328" s="126" t="s">
        <v>451</v>
      </c>
      <c r="C328" s="126" t="s">
        <v>2899</v>
      </c>
      <c r="D328" s="126" t="s">
        <v>2790</v>
      </c>
      <c r="E328" s="127" t="s">
        <v>2322</v>
      </c>
      <c r="F328" s="128" t="s">
        <v>2410</v>
      </c>
      <c r="G328" s="128" t="s">
        <v>3290</v>
      </c>
      <c r="H328" s="125"/>
      <c r="I328" s="125"/>
      <c r="J328" s="132"/>
      <c r="K328" s="130" t="s">
        <v>64</v>
      </c>
      <c r="L328" s="129" t="s">
        <v>2553</v>
      </c>
      <c r="M328" s="127" t="s">
        <v>761</v>
      </c>
      <c r="N328" s="127" t="s">
        <v>764</v>
      </c>
      <c r="O328" s="127" t="s">
        <v>1427</v>
      </c>
      <c r="P328" s="127">
        <v>0</v>
      </c>
      <c r="Q328" s="127">
        <v>0</v>
      </c>
      <c r="R328" s="127">
        <v>0</v>
      </c>
      <c r="S328" s="127">
        <v>0</v>
      </c>
      <c r="T328" s="127">
        <v>2</v>
      </c>
      <c r="U328" s="127" t="s">
        <v>1562</v>
      </c>
      <c r="V328" s="127" t="s">
        <v>451</v>
      </c>
      <c r="W328" s="127">
        <v>0</v>
      </c>
      <c r="X328" s="127">
        <v>0</v>
      </c>
      <c r="Y328" s="127">
        <v>0</v>
      </c>
      <c r="Z328" s="127">
        <v>0</v>
      </c>
      <c r="AA328" s="127" t="s">
        <v>2511</v>
      </c>
      <c r="AB328" s="131" t="s">
        <v>1211</v>
      </c>
      <c r="AC328" s="127" t="s">
        <v>2003</v>
      </c>
      <c r="AD328" s="131" t="s">
        <v>2322</v>
      </c>
      <c r="AE328" s="131" t="s">
        <v>64</v>
      </c>
      <c r="AF328" s="131" t="b">
        <v>1</v>
      </c>
      <c r="AG328" s="131" t="e">
        <v>#REF!</v>
      </c>
    </row>
    <row r="329" spans="1:33" s="131" customFormat="1" ht="18" customHeight="1" x14ac:dyDescent="0.25">
      <c r="A329" s="125">
        <v>328</v>
      </c>
      <c r="B329" s="126" t="s">
        <v>466</v>
      </c>
      <c r="C329" s="126" t="s">
        <v>2900</v>
      </c>
      <c r="D329" s="126" t="s">
        <v>2798</v>
      </c>
      <c r="E329" s="127" t="s">
        <v>1418</v>
      </c>
      <c r="F329" s="128"/>
      <c r="G329" s="128" t="s">
        <v>3294</v>
      </c>
      <c r="H329" s="125"/>
      <c r="I329" s="125"/>
      <c r="J329" s="132"/>
      <c r="K329" s="130" t="s">
        <v>2357</v>
      </c>
      <c r="L329" s="129" t="s">
        <v>2552</v>
      </c>
      <c r="M329" s="127" t="s">
        <v>783</v>
      </c>
      <c r="N329" s="127" t="s">
        <v>764</v>
      </c>
      <c r="O329" s="127" t="s">
        <v>1427</v>
      </c>
      <c r="P329" s="127">
        <v>0</v>
      </c>
      <c r="Q329" s="127">
        <v>0</v>
      </c>
      <c r="R329" s="127">
        <v>0</v>
      </c>
      <c r="S329" s="127">
        <v>0</v>
      </c>
      <c r="T329" s="127">
        <v>2</v>
      </c>
      <c r="U329" s="127" t="s">
        <v>1491</v>
      </c>
      <c r="V329" s="127" t="s">
        <v>466</v>
      </c>
      <c r="W329" s="127">
        <v>0</v>
      </c>
      <c r="X329" s="127">
        <v>0</v>
      </c>
      <c r="Y329" s="127">
        <v>0</v>
      </c>
      <c r="Z329" s="127">
        <v>0</v>
      </c>
      <c r="AA329" s="127" t="s">
        <v>2511</v>
      </c>
      <c r="AB329" s="131" t="s">
        <v>1213</v>
      </c>
      <c r="AC329" s="127" t="e">
        <v>#N/A</v>
      </c>
      <c r="AD329" s="131" t="s">
        <v>1418</v>
      </c>
      <c r="AE329" s="131" t="e">
        <v>#N/A</v>
      </c>
      <c r="AF329" s="131" t="e">
        <v>#N/A</v>
      </c>
      <c r="AG329" s="131" t="e">
        <v>#REF!</v>
      </c>
    </row>
    <row r="330" spans="1:33" s="131" customFormat="1" ht="18" customHeight="1" x14ac:dyDescent="0.25">
      <c r="A330" s="125">
        <v>329</v>
      </c>
      <c r="B330" s="126" t="s">
        <v>465</v>
      </c>
      <c r="C330" s="126" t="s">
        <v>2901</v>
      </c>
      <c r="D330" s="126" t="s">
        <v>2790</v>
      </c>
      <c r="E330" s="127" t="s">
        <v>2322</v>
      </c>
      <c r="F330" s="134" t="s">
        <v>2410</v>
      </c>
      <c r="G330" s="128" t="s">
        <v>3294</v>
      </c>
      <c r="H330" s="125"/>
      <c r="I330" s="125"/>
      <c r="J330" s="132"/>
      <c r="K330" s="130"/>
      <c r="L330" s="129" t="s">
        <v>2553</v>
      </c>
      <c r="M330" s="127" t="s">
        <v>784</v>
      </c>
      <c r="N330" s="127" t="s">
        <v>764</v>
      </c>
      <c r="O330" s="127" t="s">
        <v>2364</v>
      </c>
      <c r="P330" s="127">
        <v>0</v>
      </c>
      <c r="Q330" s="127">
        <v>0</v>
      </c>
      <c r="R330" s="127">
        <v>0</v>
      </c>
      <c r="S330" s="127">
        <v>0</v>
      </c>
      <c r="T330" s="127">
        <v>0</v>
      </c>
      <c r="U330" s="127">
        <v>0</v>
      </c>
      <c r="V330" s="127">
        <v>0</v>
      </c>
      <c r="W330" s="127">
        <v>0</v>
      </c>
      <c r="X330" s="127">
        <v>0</v>
      </c>
      <c r="Y330" s="127">
        <v>0</v>
      </c>
      <c r="Z330" s="127">
        <v>0</v>
      </c>
      <c r="AA330" s="127" t="s">
        <v>2511</v>
      </c>
      <c r="AB330" s="131" t="s">
        <v>1214</v>
      </c>
      <c r="AC330" s="127" t="e">
        <v>#N/A</v>
      </c>
      <c r="AD330" s="131" t="s">
        <v>2322</v>
      </c>
      <c r="AE330" s="131" t="e">
        <v>#N/A</v>
      </c>
      <c r="AF330" s="131" t="e">
        <v>#N/A</v>
      </c>
      <c r="AG330" s="131" t="e">
        <v>#REF!</v>
      </c>
    </row>
    <row r="331" spans="1:33" s="131" customFormat="1" ht="18" customHeight="1" x14ac:dyDescent="0.25">
      <c r="A331" s="125">
        <v>330</v>
      </c>
      <c r="B331" s="126" t="s">
        <v>472</v>
      </c>
      <c r="C331" s="126" t="s">
        <v>2902</v>
      </c>
      <c r="D331" s="126" t="s">
        <v>2821</v>
      </c>
      <c r="E331" s="127" t="s">
        <v>766</v>
      </c>
      <c r="F331" s="128" t="s">
        <v>2410</v>
      </c>
      <c r="G331" s="128" t="s">
        <v>3294</v>
      </c>
      <c r="H331" s="125" t="s">
        <v>998</v>
      </c>
      <c r="I331" s="125"/>
      <c r="J331" s="132"/>
      <c r="K331" s="130" t="s">
        <v>125</v>
      </c>
      <c r="L331" s="129"/>
      <c r="M331" s="127" t="s">
        <v>759</v>
      </c>
      <c r="N331" s="127" t="s">
        <v>1639</v>
      </c>
      <c r="O331" s="127" t="s">
        <v>1553</v>
      </c>
      <c r="P331" s="127">
        <v>0</v>
      </c>
      <c r="Q331" s="127">
        <v>2</v>
      </c>
      <c r="R331" s="127" t="s">
        <v>1504</v>
      </c>
      <c r="S331" s="127" t="s">
        <v>472</v>
      </c>
      <c r="T331" s="127">
        <v>0</v>
      </c>
      <c r="U331" s="127">
        <v>0</v>
      </c>
      <c r="V331" s="127">
        <v>0</v>
      </c>
      <c r="W331" s="127">
        <v>0</v>
      </c>
      <c r="X331" s="127">
        <v>0</v>
      </c>
      <c r="Y331" s="127">
        <v>0</v>
      </c>
      <c r="Z331" s="127">
        <v>0</v>
      </c>
      <c r="AA331" s="127" t="s">
        <v>2511</v>
      </c>
      <c r="AB331" s="131" t="s">
        <v>659</v>
      </c>
      <c r="AC331" s="127" t="s">
        <v>2004</v>
      </c>
      <c r="AD331" s="131" t="s">
        <v>766</v>
      </c>
      <c r="AE331" s="131" t="s">
        <v>125</v>
      </c>
      <c r="AF331" s="131" t="b">
        <v>1</v>
      </c>
      <c r="AG331" s="131" t="e">
        <v>#REF!</v>
      </c>
    </row>
    <row r="332" spans="1:33" s="131" customFormat="1" ht="18" customHeight="1" x14ac:dyDescent="0.25">
      <c r="A332" s="125">
        <v>331</v>
      </c>
      <c r="B332" s="126" t="s">
        <v>473</v>
      </c>
      <c r="C332" s="126" t="s">
        <v>2903</v>
      </c>
      <c r="D332" s="126" t="s">
        <v>2798</v>
      </c>
      <c r="E332" s="127" t="s">
        <v>1418</v>
      </c>
      <c r="F332" s="128"/>
      <c r="G332" s="128" t="s">
        <v>3294</v>
      </c>
      <c r="H332" s="125"/>
      <c r="I332" s="125"/>
      <c r="J332" s="16"/>
      <c r="K332" s="130" t="s">
        <v>2357</v>
      </c>
      <c r="L332" s="129" t="s">
        <v>2552</v>
      </c>
      <c r="M332" s="127" t="s">
        <v>783</v>
      </c>
      <c r="N332" s="127" t="s">
        <v>764</v>
      </c>
      <c r="O332" s="127" t="s">
        <v>1427</v>
      </c>
      <c r="P332" s="127">
        <v>0</v>
      </c>
      <c r="Q332" s="127">
        <v>0</v>
      </c>
      <c r="R332" s="127">
        <v>0</v>
      </c>
      <c r="S332" s="127">
        <v>0</v>
      </c>
      <c r="T332" s="127">
        <v>2</v>
      </c>
      <c r="U332" s="127" t="s">
        <v>1491</v>
      </c>
      <c r="V332" s="127" t="s">
        <v>473</v>
      </c>
      <c r="W332" s="127">
        <v>0</v>
      </c>
      <c r="X332" s="127">
        <v>0</v>
      </c>
      <c r="Y332" s="127">
        <v>0</v>
      </c>
      <c r="Z332" s="127">
        <v>0</v>
      </c>
      <c r="AA332" s="127" t="s">
        <v>2511</v>
      </c>
      <c r="AB332" s="131" t="s">
        <v>660</v>
      </c>
      <c r="AC332" s="127" t="e">
        <v>#N/A</v>
      </c>
      <c r="AD332" s="131" t="s">
        <v>1418</v>
      </c>
      <c r="AE332" s="131" t="e">
        <v>#N/A</v>
      </c>
      <c r="AF332" s="131" t="e">
        <v>#N/A</v>
      </c>
      <c r="AG332" s="131" t="e">
        <v>#REF!</v>
      </c>
    </row>
    <row r="333" spans="1:33" s="131" customFormat="1" ht="15.75" x14ac:dyDescent="0.25">
      <c r="A333" s="125">
        <v>332</v>
      </c>
      <c r="B333" s="126" t="s">
        <v>484</v>
      </c>
      <c r="C333" s="126" t="s">
        <v>2904</v>
      </c>
      <c r="D333" s="126" t="s">
        <v>2796</v>
      </c>
      <c r="E333" s="127" t="s">
        <v>766</v>
      </c>
      <c r="F333" s="128" t="s">
        <v>2410</v>
      </c>
      <c r="G333" s="128" t="s">
        <v>3290</v>
      </c>
      <c r="H333" s="125" t="s">
        <v>998</v>
      </c>
      <c r="I333" s="125"/>
      <c r="J333" s="129"/>
      <c r="K333" s="130" t="s">
        <v>136</v>
      </c>
      <c r="L333" s="129"/>
      <c r="M333" s="127" t="s">
        <v>759</v>
      </c>
      <c r="N333" s="127" t="s">
        <v>1639</v>
      </c>
      <c r="O333" s="127" t="s">
        <v>1553</v>
      </c>
      <c r="P333" s="127">
        <v>0</v>
      </c>
      <c r="Q333" s="127">
        <v>2</v>
      </c>
      <c r="R333" s="127" t="s">
        <v>1508</v>
      </c>
      <c r="S333" s="127" t="s">
        <v>484</v>
      </c>
      <c r="T333" s="127">
        <v>0</v>
      </c>
      <c r="U333" s="127">
        <v>0</v>
      </c>
      <c r="V333" s="127">
        <v>0</v>
      </c>
      <c r="W333" s="127">
        <v>0</v>
      </c>
      <c r="X333" s="127">
        <v>0</v>
      </c>
      <c r="Y333" s="127">
        <v>0</v>
      </c>
      <c r="Z333" s="127">
        <v>0</v>
      </c>
      <c r="AA333" s="127" t="s">
        <v>2511</v>
      </c>
      <c r="AB333" s="131" t="s">
        <v>1216</v>
      </c>
      <c r="AC333" s="127" t="s">
        <v>2281</v>
      </c>
      <c r="AD333" s="131" t="s">
        <v>766</v>
      </c>
      <c r="AE333" s="131" t="s">
        <v>136</v>
      </c>
      <c r="AF333" s="131" t="b">
        <v>1</v>
      </c>
      <c r="AG333" s="131" t="e">
        <v>#REF!</v>
      </c>
    </row>
    <row r="334" spans="1:33" s="131" customFormat="1" ht="15.75" x14ac:dyDescent="0.25">
      <c r="A334" s="125">
        <v>333</v>
      </c>
      <c r="B334" s="126" t="s">
        <v>471</v>
      </c>
      <c r="C334" s="126" t="s">
        <v>2905</v>
      </c>
      <c r="D334" s="126" t="s">
        <v>2796</v>
      </c>
      <c r="E334" s="127" t="s">
        <v>766</v>
      </c>
      <c r="F334" s="128" t="s">
        <v>2410</v>
      </c>
      <c r="G334" s="128" t="s">
        <v>3290</v>
      </c>
      <c r="H334" s="125"/>
      <c r="I334" s="125"/>
      <c r="J334" s="132" t="s">
        <v>1641</v>
      </c>
      <c r="K334" s="130" t="s">
        <v>132</v>
      </c>
      <c r="L334" s="129"/>
      <c r="M334" s="127" t="s">
        <v>759</v>
      </c>
      <c r="N334" s="127" t="s">
        <v>1641</v>
      </c>
      <c r="O334" s="127" t="s">
        <v>1553</v>
      </c>
      <c r="P334" s="127">
        <v>0</v>
      </c>
      <c r="Q334" s="127">
        <v>2</v>
      </c>
      <c r="R334" s="127" t="s">
        <v>1495</v>
      </c>
      <c r="S334" s="127" t="s">
        <v>471</v>
      </c>
      <c r="T334" s="127">
        <v>0</v>
      </c>
      <c r="U334" s="127">
        <v>0</v>
      </c>
      <c r="V334" s="127">
        <v>0</v>
      </c>
      <c r="W334" s="127">
        <v>0</v>
      </c>
      <c r="X334" s="127">
        <v>0</v>
      </c>
      <c r="Y334" s="127">
        <v>0</v>
      </c>
      <c r="Z334" s="127">
        <v>0</v>
      </c>
      <c r="AA334" s="127" t="s">
        <v>2511</v>
      </c>
      <c r="AB334" s="131" t="s">
        <v>661</v>
      </c>
      <c r="AC334" s="127" t="s">
        <v>2005</v>
      </c>
      <c r="AD334" s="131" t="s">
        <v>766</v>
      </c>
      <c r="AE334" s="131" t="e">
        <v>#N/A</v>
      </c>
      <c r="AF334" s="131" t="e">
        <v>#N/A</v>
      </c>
      <c r="AG334" s="131" t="e">
        <v>#REF!</v>
      </c>
    </row>
    <row r="335" spans="1:33" s="131" customFormat="1" ht="15.75" x14ac:dyDescent="0.25">
      <c r="A335" s="125">
        <v>334</v>
      </c>
      <c r="B335" s="126" t="s">
        <v>567</v>
      </c>
      <c r="C335" s="126" t="s">
        <v>2906</v>
      </c>
      <c r="D335" s="126" t="s">
        <v>2798</v>
      </c>
      <c r="E335" s="127" t="s">
        <v>1418</v>
      </c>
      <c r="F335" s="128" t="s">
        <v>2410</v>
      </c>
      <c r="G335" s="128" t="s">
        <v>3290</v>
      </c>
      <c r="H335" s="125"/>
      <c r="I335" s="125"/>
      <c r="J335" s="132" t="s">
        <v>1641</v>
      </c>
      <c r="K335" s="130" t="s">
        <v>35</v>
      </c>
      <c r="L335" s="129"/>
      <c r="M335" s="127" t="s">
        <v>759</v>
      </c>
      <c r="N335" s="127" t="s">
        <v>1641</v>
      </c>
      <c r="O335" s="127" t="s">
        <v>1427</v>
      </c>
      <c r="P335" s="127">
        <v>0</v>
      </c>
      <c r="Q335" s="127">
        <v>0</v>
      </c>
      <c r="R335" s="127">
        <v>0</v>
      </c>
      <c r="S335" s="127">
        <v>0</v>
      </c>
      <c r="T335" s="127">
        <v>2</v>
      </c>
      <c r="U335" s="127" t="s">
        <v>1498</v>
      </c>
      <c r="V335" s="127" t="s">
        <v>567</v>
      </c>
      <c r="W335" s="127">
        <v>0</v>
      </c>
      <c r="X335" s="127">
        <v>0</v>
      </c>
      <c r="Y335" s="127">
        <v>0</v>
      </c>
      <c r="Z335" s="127">
        <v>0</v>
      </c>
      <c r="AA335" s="127" t="s">
        <v>2511</v>
      </c>
      <c r="AB335" s="131" t="s">
        <v>662</v>
      </c>
      <c r="AC335" s="127" t="s">
        <v>2006</v>
      </c>
      <c r="AD335" s="131" t="s">
        <v>1418</v>
      </c>
      <c r="AE335" s="131" t="e">
        <v>#N/A</v>
      </c>
      <c r="AF335" s="131" t="e">
        <v>#N/A</v>
      </c>
      <c r="AG335" s="131" t="e">
        <v>#REF!</v>
      </c>
    </row>
    <row r="336" spans="1:33" s="131" customFormat="1" ht="15.75" x14ac:dyDescent="0.25">
      <c r="A336" s="125">
        <v>335</v>
      </c>
      <c r="B336" s="126" t="s">
        <v>580</v>
      </c>
      <c r="C336" s="126" t="s">
        <v>2907</v>
      </c>
      <c r="D336" s="126" t="s">
        <v>2821</v>
      </c>
      <c r="E336" s="127" t="s">
        <v>2512</v>
      </c>
      <c r="F336" s="128" t="s">
        <v>2410</v>
      </c>
      <c r="G336" s="128" t="s">
        <v>3294</v>
      </c>
      <c r="H336" s="125" t="s">
        <v>927</v>
      </c>
      <c r="I336" s="125"/>
      <c r="J336" s="129"/>
      <c r="K336" s="130" t="s">
        <v>125</v>
      </c>
      <c r="L336" s="129"/>
      <c r="M336" s="127" t="s">
        <v>759</v>
      </c>
      <c r="N336" s="127" t="s">
        <v>1639</v>
      </c>
      <c r="O336" s="127" t="s">
        <v>1553</v>
      </c>
      <c r="P336" s="127">
        <v>0</v>
      </c>
      <c r="Q336" s="127">
        <v>2</v>
      </c>
      <c r="R336" s="127" t="s">
        <v>1504</v>
      </c>
      <c r="S336" s="127" t="s">
        <v>580</v>
      </c>
      <c r="T336" s="127">
        <v>0</v>
      </c>
      <c r="U336" s="127">
        <v>0</v>
      </c>
      <c r="V336" s="127">
        <v>0</v>
      </c>
      <c r="W336" s="127">
        <v>0</v>
      </c>
      <c r="X336" s="127">
        <v>0</v>
      </c>
      <c r="Y336" s="127">
        <v>0</v>
      </c>
      <c r="Z336" s="127">
        <v>0</v>
      </c>
      <c r="AA336" s="127" t="s">
        <v>2511</v>
      </c>
      <c r="AB336" s="131" t="s">
        <v>663</v>
      </c>
      <c r="AC336" s="127" t="s">
        <v>2007</v>
      </c>
      <c r="AD336" s="131" t="s">
        <v>766</v>
      </c>
      <c r="AE336" s="131" t="s">
        <v>125</v>
      </c>
      <c r="AF336" s="131" t="b">
        <v>1</v>
      </c>
      <c r="AG336" s="131" t="e">
        <v>#REF!</v>
      </c>
    </row>
    <row r="337" spans="1:33" s="131" customFormat="1" ht="15.75" x14ac:dyDescent="0.25">
      <c r="A337" s="125">
        <v>336</v>
      </c>
      <c r="B337" s="126" t="s">
        <v>585</v>
      </c>
      <c r="C337" s="126" t="s">
        <v>2908</v>
      </c>
      <c r="D337" s="126" t="s">
        <v>2796</v>
      </c>
      <c r="E337" s="127" t="s">
        <v>766</v>
      </c>
      <c r="F337" s="128" t="s">
        <v>2410</v>
      </c>
      <c r="G337" s="128" t="s">
        <v>3290</v>
      </c>
      <c r="H337" s="125"/>
      <c r="I337" s="125"/>
      <c r="J337" s="132" t="s">
        <v>1641</v>
      </c>
      <c r="K337" s="130" t="s">
        <v>102</v>
      </c>
      <c r="L337" s="129"/>
      <c r="M337" s="127" t="s">
        <v>759</v>
      </c>
      <c r="N337" s="127" t="s">
        <v>1641</v>
      </c>
      <c r="O337" s="127" t="s">
        <v>1427</v>
      </c>
      <c r="P337" s="127">
        <v>0</v>
      </c>
      <c r="Q337" s="127">
        <v>0</v>
      </c>
      <c r="R337" s="127">
        <v>0</v>
      </c>
      <c r="S337" s="127">
        <v>0</v>
      </c>
      <c r="T337" s="127">
        <v>2</v>
      </c>
      <c r="U337" s="127" t="s">
        <v>800</v>
      </c>
      <c r="V337" s="127" t="s">
        <v>585</v>
      </c>
      <c r="W337" s="127">
        <v>0</v>
      </c>
      <c r="X337" s="127">
        <v>0</v>
      </c>
      <c r="Y337" s="127">
        <v>0</v>
      </c>
      <c r="Z337" s="127">
        <v>0</v>
      </c>
      <c r="AA337" s="127" t="s">
        <v>2511</v>
      </c>
      <c r="AB337" s="131" t="s">
        <v>1410</v>
      </c>
      <c r="AC337" s="127" t="s">
        <v>2008</v>
      </c>
      <c r="AD337" s="131" t="s">
        <v>766</v>
      </c>
      <c r="AE337" s="131" t="e">
        <v>#N/A</v>
      </c>
      <c r="AF337" s="131" t="e">
        <v>#N/A</v>
      </c>
      <c r="AG337" s="131" t="e">
        <v>#REF!</v>
      </c>
    </row>
    <row r="338" spans="1:33" s="131" customFormat="1" ht="15.75" x14ac:dyDescent="0.25">
      <c r="A338" s="125">
        <v>337</v>
      </c>
      <c r="B338" s="133" t="s">
        <v>599</v>
      </c>
      <c r="C338" s="126" t="s">
        <v>2909</v>
      </c>
      <c r="D338" s="126" t="s">
        <v>2796</v>
      </c>
      <c r="E338" s="127" t="s">
        <v>766</v>
      </c>
      <c r="F338" s="128"/>
      <c r="G338" s="128" t="s">
        <v>3290</v>
      </c>
      <c r="H338" s="125"/>
      <c r="I338" s="125"/>
      <c r="J338" s="132"/>
      <c r="K338" s="130"/>
      <c r="L338" s="129" t="s">
        <v>2554</v>
      </c>
      <c r="M338" s="127" t="s">
        <v>759</v>
      </c>
      <c r="N338" s="127" t="s">
        <v>1639</v>
      </c>
      <c r="O338" s="127" t="s">
        <v>1553</v>
      </c>
      <c r="P338" s="127">
        <v>0</v>
      </c>
      <c r="Q338" s="127">
        <v>2</v>
      </c>
      <c r="R338" s="127" t="s">
        <v>1548</v>
      </c>
      <c r="S338" s="127" t="s">
        <v>599</v>
      </c>
      <c r="T338" s="127">
        <v>0</v>
      </c>
      <c r="U338" s="127">
        <v>0</v>
      </c>
      <c r="V338" s="127">
        <v>0</v>
      </c>
      <c r="W338" s="127">
        <v>0</v>
      </c>
      <c r="X338" s="127">
        <v>0</v>
      </c>
      <c r="Y338" s="127">
        <v>0</v>
      </c>
      <c r="Z338" s="127">
        <v>0</v>
      </c>
      <c r="AA338" s="127" t="s">
        <v>2511</v>
      </c>
      <c r="AB338" s="131" t="s">
        <v>741</v>
      </c>
      <c r="AC338" s="127" t="s">
        <v>2009</v>
      </c>
      <c r="AD338" s="131" t="s">
        <v>766</v>
      </c>
      <c r="AE338" s="131" t="e">
        <v>#N/A</v>
      </c>
      <c r="AF338" s="131" t="e">
        <v>#N/A</v>
      </c>
      <c r="AG338" s="131" t="e">
        <v>#REF!</v>
      </c>
    </row>
    <row r="339" spans="1:33" s="131" customFormat="1" ht="18" customHeight="1" x14ac:dyDescent="0.25">
      <c r="A339" s="125">
        <v>338</v>
      </c>
      <c r="B339" s="133" t="s">
        <v>601</v>
      </c>
      <c r="C339" s="126" t="s">
        <v>2910</v>
      </c>
      <c r="D339" s="126" t="s">
        <v>2796</v>
      </c>
      <c r="E339" s="127" t="s">
        <v>766</v>
      </c>
      <c r="F339" s="128" t="s">
        <v>2521</v>
      </c>
      <c r="G339" s="128" t="s">
        <v>3290</v>
      </c>
      <c r="H339" s="125"/>
      <c r="I339" s="125"/>
      <c r="J339" s="132"/>
      <c r="K339" s="130"/>
      <c r="L339" s="129" t="s">
        <v>2554</v>
      </c>
      <c r="M339" s="127" t="s">
        <v>761</v>
      </c>
      <c r="N339" s="127" t="s">
        <v>764</v>
      </c>
      <c r="O339" s="127" t="s">
        <v>1427</v>
      </c>
      <c r="P339" s="127">
        <v>0</v>
      </c>
      <c r="Q339" s="127">
        <v>0</v>
      </c>
      <c r="R339" s="127">
        <v>0</v>
      </c>
      <c r="S339" s="127">
        <v>0</v>
      </c>
      <c r="T339" s="127">
        <v>2</v>
      </c>
      <c r="U339" s="127" t="s">
        <v>1566</v>
      </c>
      <c r="V339" s="127" t="s">
        <v>601</v>
      </c>
      <c r="W339" s="127">
        <v>0</v>
      </c>
      <c r="X339" s="127">
        <v>0</v>
      </c>
      <c r="Y339" s="127">
        <v>0</v>
      </c>
      <c r="Z339" s="127">
        <v>0</v>
      </c>
      <c r="AA339" s="127" t="s">
        <v>2511</v>
      </c>
      <c r="AB339" s="131" t="s">
        <v>743</v>
      </c>
      <c r="AC339" s="127" t="e">
        <v>#N/A</v>
      </c>
      <c r="AD339" s="131" t="s">
        <v>766</v>
      </c>
      <c r="AE339" s="131" t="e">
        <v>#N/A</v>
      </c>
      <c r="AF339" s="131" t="e">
        <v>#N/A</v>
      </c>
      <c r="AG339" s="131" t="e">
        <v>#REF!</v>
      </c>
    </row>
    <row r="340" spans="1:33" s="131" customFormat="1" ht="18" customHeight="1" x14ac:dyDescent="0.25">
      <c r="A340" s="125">
        <v>339</v>
      </c>
      <c r="B340" s="126" t="s">
        <v>1726</v>
      </c>
      <c r="C340" s="126" t="s">
        <v>2911</v>
      </c>
      <c r="D340" s="126" t="s">
        <v>2796</v>
      </c>
      <c r="E340" s="127" t="s">
        <v>766</v>
      </c>
      <c r="F340" s="128" t="s">
        <v>2521</v>
      </c>
      <c r="G340" s="128" t="s">
        <v>3290</v>
      </c>
      <c r="H340" s="125"/>
      <c r="I340" s="125"/>
      <c r="J340" s="132"/>
      <c r="K340" s="16"/>
      <c r="L340" s="129" t="s">
        <v>2554</v>
      </c>
      <c r="M340" s="127" t="s">
        <v>759</v>
      </c>
      <c r="N340" s="127" t="s">
        <v>764</v>
      </c>
      <c r="O340" s="127" t="s">
        <v>2376</v>
      </c>
      <c r="P340" s="127" t="s">
        <v>2376</v>
      </c>
      <c r="Q340" s="127" t="s">
        <v>2376</v>
      </c>
      <c r="R340" s="127" t="s">
        <v>2376</v>
      </c>
      <c r="S340" s="127" t="s">
        <v>2376</v>
      </c>
      <c r="T340" s="127" t="s">
        <v>2376</v>
      </c>
      <c r="U340" s="127" t="s">
        <v>2376</v>
      </c>
      <c r="V340" s="127" t="s">
        <v>2376</v>
      </c>
      <c r="W340" s="127" t="s">
        <v>2376</v>
      </c>
      <c r="X340" s="127" t="s">
        <v>2376</v>
      </c>
      <c r="Y340" s="127" t="s">
        <v>2376</v>
      </c>
      <c r="Z340" s="127" t="s">
        <v>2376</v>
      </c>
      <c r="AA340" s="127" t="s">
        <v>2511</v>
      </c>
      <c r="AB340" s="131" t="e">
        <v>#N/A</v>
      </c>
      <c r="AC340" s="127" t="s">
        <v>2376</v>
      </c>
      <c r="AD340" s="131" t="s">
        <v>766</v>
      </c>
      <c r="AE340" s="131" t="e">
        <v>#N/A</v>
      </c>
      <c r="AF340" s="131" t="e">
        <v>#N/A</v>
      </c>
      <c r="AG340" s="131" t="e">
        <v>#REF!</v>
      </c>
    </row>
    <row r="341" spans="1:33" s="131" customFormat="1" ht="18" customHeight="1" x14ac:dyDescent="0.25">
      <c r="A341" s="125">
        <v>340</v>
      </c>
      <c r="B341" s="133" t="s">
        <v>748</v>
      </c>
      <c r="C341" s="126" t="s">
        <v>2912</v>
      </c>
      <c r="D341" s="126" t="s">
        <v>2798</v>
      </c>
      <c r="E341" s="127" t="s">
        <v>1418</v>
      </c>
      <c r="F341" s="128" t="s">
        <v>2410</v>
      </c>
      <c r="G341" s="128" t="s">
        <v>3290</v>
      </c>
      <c r="H341" s="125"/>
      <c r="I341" s="125"/>
      <c r="J341" s="132"/>
      <c r="K341" s="130" t="s">
        <v>20</v>
      </c>
      <c r="L341" s="129" t="s">
        <v>2552</v>
      </c>
      <c r="M341" s="127" t="s">
        <v>757</v>
      </c>
      <c r="N341" s="127" t="s">
        <v>764</v>
      </c>
      <c r="O341" s="127" t="s">
        <v>1427</v>
      </c>
      <c r="P341" s="127">
        <v>0</v>
      </c>
      <c r="Q341" s="127">
        <v>0</v>
      </c>
      <c r="R341" s="127">
        <v>0</v>
      </c>
      <c r="S341" s="127">
        <v>0</v>
      </c>
      <c r="T341" s="127">
        <v>2</v>
      </c>
      <c r="U341" s="127" t="s">
        <v>1507</v>
      </c>
      <c r="V341" s="127" t="s">
        <v>748</v>
      </c>
      <c r="W341" s="127">
        <v>0</v>
      </c>
      <c r="X341" s="127">
        <v>0</v>
      </c>
      <c r="Y341" s="127">
        <v>0</v>
      </c>
      <c r="Z341" s="127">
        <v>0</v>
      </c>
      <c r="AA341" s="127" t="s">
        <v>2511</v>
      </c>
      <c r="AB341" s="131" t="s">
        <v>749</v>
      </c>
      <c r="AC341" s="127" t="s">
        <v>2010</v>
      </c>
      <c r="AD341" s="131" t="s">
        <v>1418</v>
      </c>
      <c r="AE341" s="131" t="e">
        <v>#N/A</v>
      </c>
      <c r="AF341" s="131" t="e">
        <v>#N/A</v>
      </c>
      <c r="AG341" s="131" t="e">
        <v>#REF!</v>
      </c>
    </row>
    <row r="342" spans="1:33" s="131" customFormat="1" ht="18" customHeight="1" x14ac:dyDescent="0.25">
      <c r="A342" s="125">
        <v>341</v>
      </c>
      <c r="B342" s="126" t="s">
        <v>865</v>
      </c>
      <c r="C342" s="126" t="s">
        <v>2913</v>
      </c>
      <c r="D342" s="126" t="s">
        <v>2798</v>
      </c>
      <c r="E342" s="127" t="s">
        <v>2322</v>
      </c>
      <c r="F342" s="128" t="s">
        <v>2410</v>
      </c>
      <c r="G342" s="128" t="s">
        <v>3290</v>
      </c>
      <c r="H342" s="125"/>
      <c r="I342" s="125"/>
      <c r="J342" s="132"/>
      <c r="K342" s="130" t="s">
        <v>20</v>
      </c>
      <c r="L342" s="129" t="s">
        <v>2552</v>
      </c>
      <c r="M342" s="127" t="s">
        <v>2356</v>
      </c>
      <c r="N342" s="127" t="s">
        <v>2356</v>
      </c>
      <c r="O342" s="127" t="s">
        <v>1427</v>
      </c>
      <c r="P342" s="127">
        <v>0</v>
      </c>
      <c r="Q342" s="127">
        <v>0</v>
      </c>
      <c r="R342" s="127">
        <v>0</v>
      </c>
      <c r="S342" s="127">
        <v>0</v>
      </c>
      <c r="T342" s="127">
        <v>2</v>
      </c>
      <c r="U342" s="127" t="s">
        <v>1507</v>
      </c>
      <c r="V342" s="127" t="s">
        <v>865</v>
      </c>
      <c r="W342" s="127">
        <v>0</v>
      </c>
      <c r="X342" s="127">
        <v>0</v>
      </c>
      <c r="Y342" s="127">
        <v>0</v>
      </c>
      <c r="Z342" s="127">
        <v>0</v>
      </c>
      <c r="AA342" s="127" t="s">
        <v>2511</v>
      </c>
      <c r="AB342" s="131" t="s">
        <v>1666</v>
      </c>
      <c r="AC342" s="127" t="s">
        <v>2011</v>
      </c>
      <c r="AD342" s="131" t="s">
        <v>2322</v>
      </c>
      <c r="AE342" s="131" t="e">
        <v>#N/A</v>
      </c>
      <c r="AF342" s="131" t="e">
        <v>#N/A</v>
      </c>
      <c r="AG342" s="131" t="e">
        <v>#REF!</v>
      </c>
    </row>
    <row r="343" spans="1:33" s="131" customFormat="1" ht="15.75" x14ac:dyDescent="0.25">
      <c r="A343" s="125">
        <v>342</v>
      </c>
      <c r="B343" s="126" t="s">
        <v>1611</v>
      </c>
      <c r="C343" s="126" t="s">
        <v>2914</v>
      </c>
      <c r="D343" s="126" t="s">
        <v>2798</v>
      </c>
      <c r="E343" s="127" t="s">
        <v>1418</v>
      </c>
      <c r="F343" s="128" t="s">
        <v>2410</v>
      </c>
      <c r="G343" s="128" t="s">
        <v>3290</v>
      </c>
      <c r="H343" s="125" t="s">
        <v>998</v>
      </c>
      <c r="I343" s="125"/>
      <c r="J343" s="132"/>
      <c r="K343" s="130" t="s">
        <v>25</v>
      </c>
      <c r="L343" s="129"/>
      <c r="M343" s="127" t="s">
        <v>759</v>
      </c>
      <c r="N343" s="127" t="s">
        <v>1639</v>
      </c>
      <c r="O343" s="127" t="s">
        <v>1427</v>
      </c>
      <c r="P343" s="127">
        <v>0</v>
      </c>
      <c r="Q343" s="127">
        <v>0</v>
      </c>
      <c r="R343" s="127">
        <v>0</v>
      </c>
      <c r="S343" s="127">
        <v>0</v>
      </c>
      <c r="T343" s="127">
        <v>2</v>
      </c>
      <c r="U343" s="127" t="s">
        <v>1459</v>
      </c>
      <c r="V343" s="127" t="s">
        <v>535</v>
      </c>
      <c r="W343" s="127">
        <v>0</v>
      </c>
      <c r="X343" s="127">
        <v>0</v>
      </c>
      <c r="Y343" s="127">
        <v>0</v>
      </c>
      <c r="Z343" s="127">
        <v>0</v>
      </c>
      <c r="AA343" s="127" t="s">
        <v>2511</v>
      </c>
      <c r="AB343" s="131" t="s">
        <v>2359</v>
      </c>
      <c r="AC343" s="127" t="s">
        <v>2264</v>
      </c>
      <c r="AD343" s="131" t="s">
        <v>1418</v>
      </c>
      <c r="AE343" s="131" t="s">
        <v>25</v>
      </c>
      <c r="AF343" s="131" t="b">
        <v>1</v>
      </c>
      <c r="AG343" s="131" t="e">
        <v>#REF!</v>
      </c>
    </row>
    <row r="344" spans="1:33" s="131" customFormat="1" ht="18" customHeight="1" x14ac:dyDescent="0.25">
      <c r="A344" s="125">
        <v>343</v>
      </c>
      <c r="B344" s="136" t="s">
        <v>1717</v>
      </c>
      <c r="C344" s="126" t="s">
        <v>2915</v>
      </c>
      <c r="D344" s="126" t="s">
        <v>2790</v>
      </c>
      <c r="E344" s="127" t="s">
        <v>766</v>
      </c>
      <c r="F344" s="134" t="s">
        <v>2410</v>
      </c>
      <c r="G344" s="128" t="s">
        <v>3294</v>
      </c>
      <c r="H344" s="125"/>
      <c r="I344" s="125"/>
      <c r="J344" s="132"/>
      <c r="K344" s="130" t="s">
        <v>137</v>
      </c>
      <c r="L344" s="129" t="s">
        <v>2550</v>
      </c>
      <c r="M344" s="127" t="s">
        <v>759</v>
      </c>
      <c r="N344" s="127" t="s">
        <v>764</v>
      </c>
      <c r="O344" s="127" t="s">
        <v>1427</v>
      </c>
      <c r="P344" s="127">
        <v>0</v>
      </c>
      <c r="Q344" s="127">
        <v>0</v>
      </c>
      <c r="R344" s="127">
        <v>0</v>
      </c>
      <c r="S344" s="127">
        <v>0</v>
      </c>
      <c r="T344" s="127">
        <v>2</v>
      </c>
      <c r="U344" s="127" t="s">
        <v>1497</v>
      </c>
      <c r="V344" s="127" t="s">
        <v>1717</v>
      </c>
      <c r="W344" s="127">
        <v>0</v>
      </c>
      <c r="X344" s="127">
        <v>0</v>
      </c>
      <c r="Y344" s="127">
        <v>0</v>
      </c>
      <c r="Z344" s="127">
        <v>0</v>
      </c>
      <c r="AA344" s="127" t="s">
        <v>2511</v>
      </c>
      <c r="AB344" s="131" t="s">
        <v>1723</v>
      </c>
      <c r="AC344" s="127" t="e">
        <v>#N/A</v>
      </c>
      <c r="AD344" s="131" t="s">
        <v>766</v>
      </c>
      <c r="AE344" s="131" t="e">
        <v>#N/A</v>
      </c>
      <c r="AF344" s="131" t="e">
        <v>#N/A</v>
      </c>
      <c r="AG344" s="131" t="e">
        <v>#REF!</v>
      </c>
    </row>
    <row r="345" spans="1:33" s="131" customFormat="1" ht="18" customHeight="1" x14ac:dyDescent="0.25">
      <c r="A345" s="125">
        <v>344</v>
      </c>
      <c r="B345" s="136" t="s">
        <v>1718</v>
      </c>
      <c r="C345" s="126" t="s">
        <v>2916</v>
      </c>
      <c r="D345" s="126" t="s">
        <v>2798</v>
      </c>
      <c r="E345" s="127" t="s">
        <v>1418</v>
      </c>
      <c r="F345" s="134" t="s">
        <v>2410</v>
      </c>
      <c r="G345" s="128" t="s">
        <v>3294</v>
      </c>
      <c r="H345" s="125"/>
      <c r="I345" s="125"/>
      <c r="J345" s="132" t="s">
        <v>1641</v>
      </c>
      <c r="K345" s="130" t="s">
        <v>25</v>
      </c>
      <c r="L345" s="129"/>
      <c r="M345" s="127" t="s">
        <v>759</v>
      </c>
      <c r="N345" s="127" t="s">
        <v>1641</v>
      </c>
      <c r="O345" s="127" t="s">
        <v>1427</v>
      </c>
      <c r="P345" s="127">
        <v>0</v>
      </c>
      <c r="Q345" s="127">
        <v>0</v>
      </c>
      <c r="R345" s="127">
        <v>0</v>
      </c>
      <c r="S345" s="127">
        <v>0</v>
      </c>
      <c r="T345" s="127">
        <v>2</v>
      </c>
      <c r="U345" s="127" t="s">
        <v>25</v>
      </c>
      <c r="V345" s="127" t="s">
        <v>1718</v>
      </c>
      <c r="W345" s="127">
        <v>0</v>
      </c>
      <c r="X345" s="127">
        <v>0</v>
      </c>
      <c r="Y345" s="127">
        <v>0</v>
      </c>
      <c r="Z345" s="127">
        <v>0</v>
      </c>
      <c r="AA345" s="127" t="s">
        <v>2511</v>
      </c>
      <c r="AB345" s="131" t="s">
        <v>1724</v>
      </c>
      <c r="AC345" s="127" t="e">
        <v>#N/A</v>
      </c>
      <c r="AD345" s="131" t="s">
        <v>1418</v>
      </c>
      <c r="AE345" s="131" t="s">
        <v>25</v>
      </c>
      <c r="AF345" s="131" t="b">
        <v>1</v>
      </c>
      <c r="AG345" s="131" t="e">
        <v>#REF!</v>
      </c>
    </row>
    <row r="346" spans="1:33" s="131" customFormat="1" ht="18" customHeight="1" x14ac:dyDescent="0.25">
      <c r="A346" s="125">
        <v>345</v>
      </c>
      <c r="B346" s="126" t="s">
        <v>2527</v>
      </c>
      <c r="C346" s="126" t="s">
        <v>2917</v>
      </c>
      <c r="D346" s="126" t="s">
        <v>2821</v>
      </c>
      <c r="E346" s="127" t="s">
        <v>2512</v>
      </c>
      <c r="F346" s="134" t="s">
        <v>2410</v>
      </c>
      <c r="G346" s="128" t="s">
        <v>3294</v>
      </c>
      <c r="H346" s="125"/>
      <c r="I346" s="125"/>
      <c r="J346" s="132" t="s">
        <v>1641</v>
      </c>
      <c r="K346" s="130"/>
      <c r="L346" s="129" t="s">
        <v>2554</v>
      </c>
      <c r="M346" s="127"/>
      <c r="N346" s="127" t="s">
        <v>1641</v>
      </c>
      <c r="O346" s="127" t="s">
        <v>1427</v>
      </c>
      <c r="P346" s="127"/>
      <c r="Q346" s="127">
        <v>0</v>
      </c>
      <c r="R346" s="127">
        <v>0</v>
      </c>
      <c r="S346" s="127">
        <v>0</v>
      </c>
      <c r="T346" s="127">
        <v>2</v>
      </c>
      <c r="U346" s="127" t="s">
        <v>1521</v>
      </c>
      <c r="V346" s="127" t="s">
        <v>2527</v>
      </c>
      <c r="W346" s="127">
        <v>0</v>
      </c>
      <c r="X346" s="127">
        <v>0</v>
      </c>
      <c r="Y346" s="127">
        <v>0</v>
      </c>
      <c r="Z346" s="127">
        <v>0</v>
      </c>
      <c r="AA346" s="127" t="s">
        <v>2511</v>
      </c>
      <c r="AB346" s="131" t="s">
        <v>1681</v>
      </c>
      <c r="AC346" s="127"/>
      <c r="AD346" s="135"/>
      <c r="AG346" s="131" t="e">
        <v>#REF!</v>
      </c>
    </row>
    <row r="347" spans="1:33" s="131" customFormat="1" ht="18" customHeight="1" x14ac:dyDescent="0.25">
      <c r="A347" s="125">
        <v>346</v>
      </c>
      <c r="B347" s="126" t="s">
        <v>2548</v>
      </c>
      <c r="C347" s="126" t="s">
        <v>2918</v>
      </c>
      <c r="D347" s="126" t="s">
        <v>2798</v>
      </c>
      <c r="E347" s="127" t="s">
        <v>2322</v>
      </c>
      <c r="F347" s="134" t="s">
        <v>2410</v>
      </c>
      <c r="G347" s="128" t="s">
        <v>3294</v>
      </c>
      <c r="H347" s="125"/>
      <c r="I347" s="125"/>
      <c r="J347" s="132"/>
      <c r="K347" s="130"/>
      <c r="L347" s="129" t="s">
        <v>2552</v>
      </c>
      <c r="M347" s="127"/>
      <c r="N347" s="127" t="s">
        <v>764</v>
      </c>
      <c r="O347" s="127" t="s">
        <v>1427</v>
      </c>
      <c r="P347" s="127"/>
      <c r="Q347" s="127">
        <v>0</v>
      </c>
      <c r="R347" s="127">
        <v>0</v>
      </c>
      <c r="S347" s="127">
        <v>0</v>
      </c>
      <c r="T347" s="127">
        <v>2</v>
      </c>
      <c r="U347" s="127" t="s">
        <v>1491</v>
      </c>
      <c r="V347" s="127" t="s">
        <v>2414</v>
      </c>
      <c r="W347" s="127">
        <v>0</v>
      </c>
      <c r="X347" s="127">
        <v>0</v>
      </c>
      <c r="Y347" s="127">
        <v>0</v>
      </c>
      <c r="Z347" s="127">
        <v>0</v>
      </c>
      <c r="AA347" s="127" t="s">
        <v>2511</v>
      </c>
      <c r="AB347" s="131" t="s">
        <v>1681</v>
      </c>
      <c r="AC347" s="127"/>
      <c r="AD347" s="135"/>
      <c r="AG347" s="131" t="e">
        <v>#REF!</v>
      </c>
    </row>
    <row r="348" spans="1:33" s="131" customFormat="1" ht="18" customHeight="1" x14ac:dyDescent="0.25">
      <c r="A348" s="125">
        <v>347</v>
      </c>
      <c r="B348" s="126" t="s">
        <v>2528</v>
      </c>
      <c r="C348" s="126" t="s">
        <v>2919</v>
      </c>
      <c r="D348" s="126" t="s">
        <v>2790</v>
      </c>
      <c r="E348" s="127" t="s">
        <v>766</v>
      </c>
      <c r="F348" s="134" t="s">
        <v>2410</v>
      </c>
      <c r="G348" s="128" t="s">
        <v>3294</v>
      </c>
      <c r="H348" s="125"/>
      <c r="I348" s="125"/>
      <c r="J348" s="132"/>
      <c r="K348" s="130"/>
      <c r="L348" s="129" t="s">
        <v>2551</v>
      </c>
      <c r="M348" s="127" t="s">
        <v>2356</v>
      </c>
      <c r="N348" s="127" t="s">
        <v>764</v>
      </c>
      <c r="O348" s="127" t="s">
        <v>1427</v>
      </c>
      <c r="P348" s="127"/>
      <c r="Q348" s="127">
        <v>0</v>
      </c>
      <c r="R348" s="127">
        <v>0</v>
      </c>
      <c r="S348" s="127">
        <v>0</v>
      </c>
      <c r="T348" s="127">
        <v>2</v>
      </c>
      <c r="U348" s="127" t="s">
        <v>1548</v>
      </c>
      <c r="V348" s="127" t="s">
        <v>2528</v>
      </c>
      <c r="W348" s="127">
        <v>0</v>
      </c>
      <c r="X348" s="127">
        <v>0</v>
      </c>
      <c r="Y348" s="127">
        <v>0</v>
      </c>
      <c r="Z348" s="127">
        <v>0</v>
      </c>
      <c r="AA348" s="127" t="s">
        <v>2511</v>
      </c>
      <c r="AB348" s="131" t="s">
        <v>1681</v>
      </c>
      <c r="AC348" s="127"/>
      <c r="AD348" s="135"/>
      <c r="AG348" s="131" t="e">
        <v>#REF!</v>
      </c>
    </row>
    <row r="349" spans="1:33" s="131" customFormat="1" ht="18" customHeight="1" x14ac:dyDescent="0.25">
      <c r="A349" s="125">
        <v>348</v>
      </c>
      <c r="B349" s="126" t="s">
        <v>2529</v>
      </c>
      <c r="C349" s="126" t="s">
        <v>2920</v>
      </c>
      <c r="D349" s="126" t="s">
        <v>2821</v>
      </c>
      <c r="E349" s="127" t="s">
        <v>766</v>
      </c>
      <c r="F349" s="134" t="s">
        <v>2410</v>
      </c>
      <c r="G349" s="128" t="s">
        <v>3294</v>
      </c>
      <c r="H349" s="125"/>
      <c r="I349" s="125"/>
      <c r="J349" s="132"/>
      <c r="K349" s="130"/>
      <c r="L349" s="129" t="s">
        <v>2554</v>
      </c>
      <c r="M349" s="127" t="s">
        <v>2356</v>
      </c>
      <c r="N349" s="127" t="s">
        <v>764</v>
      </c>
      <c r="O349" s="127" t="s">
        <v>1427</v>
      </c>
      <c r="P349" s="127"/>
      <c r="Q349" s="127">
        <v>0</v>
      </c>
      <c r="R349" s="127">
        <v>0</v>
      </c>
      <c r="S349" s="127">
        <v>0</v>
      </c>
      <c r="T349" s="127">
        <v>2</v>
      </c>
      <c r="U349" s="127" t="s">
        <v>120</v>
      </c>
      <c r="V349" s="127" t="s">
        <v>2529</v>
      </c>
      <c r="W349" s="127">
        <v>0</v>
      </c>
      <c r="X349" s="127">
        <v>0</v>
      </c>
      <c r="Y349" s="127">
        <v>0</v>
      </c>
      <c r="Z349" s="127">
        <v>0</v>
      </c>
      <c r="AA349" s="127" t="s">
        <v>2511</v>
      </c>
      <c r="AB349" s="131" t="s">
        <v>1681</v>
      </c>
      <c r="AC349" s="127"/>
      <c r="AD349" s="135"/>
      <c r="AG349" s="131" t="e">
        <v>#REF!</v>
      </c>
    </row>
    <row r="350" spans="1:33" s="131" customFormat="1" ht="18" customHeight="1" x14ac:dyDescent="0.25">
      <c r="A350" s="125">
        <v>349</v>
      </c>
      <c r="B350" s="136" t="s">
        <v>2403</v>
      </c>
      <c r="C350" s="126" t="s">
        <v>2921</v>
      </c>
      <c r="D350" s="126" t="s">
        <v>2798</v>
      </c>
      <c r="E350" s="127" t="s">
        <v>2322</v>
      </c>
      <c r="F350" s="134" t="s">
        <v>2410</v>
      </c>
      <c r="G350" s="128" t="s">
        <v>3290</v>
      </c>
      <c r="H350" s="125"/>
      <c r="I350" s="125"/>
      <c r="J350" s="132"/>
      <c r="K350" s="130" t="s">
        <v>21</v>
      </c>
      <c r="L350" s="129" t="s">
        <v>2552</v>
      </c>
      <c r="M350" s="127"/>
      <c r="N350" s="127" t="s">
        <v>764</v>
      </c>
      <c r="O350" s="127" t="s">
        <v>1427</v>
      </c>
      <c r="P350" s="127">
        <v>0</v>
      </c>
      <c r="Q350" s="127">
        <v>0</v>
      </c>
      <c r="R350" s="127">
        <v>0</v>
      </c>
      <c r="S350" s="127">
        <v>0</v>
      </c>
      <c r="T350" s="127">
        <v>2</v>
      </c>
      <c r="U350" s="127" t="s">
        <v>2430</v>
      </c>
      <c r="V350" s="127" t="s">
        <v>2403</v>
      </c>
      <c r="W350" s="127">
        <v>0</v>
      </c>
      <c r="X350" s="127">
        <v>0</v>
      </c>
      <c r="Y350" s="127">
        <v>0</v>
      </c>
      <c r="Z350" s="127">
        <v>0</v>
      </c>
      <c r="AA350" s="127" t="s">
        <v>2511</v>
      </c>
      <c r="AB350" s="131" t="s">
        <v>2431</v>
      </c>
      <c r="AC350" s="127"/>
      <c r="AD350" s="135" t="s">
        <v>2322</v>
      </c>
      <c r="AE350" s="131" t="e">
        <v>#N/A</v>
      </c>
      <c r="AF350" s="131" t="e">
        <v>#N/A</v>
      </c>
      <c r="AG350" s="131" t="e">
        <v>#REF!</v>
      </c>
    </row>
    <row r="351" spans="1:33" s="131" customFormat="1" ht="18" customHeight="1" x14ac:dyDescent="0.25">
      <c r="A351" s="125">
        <v>350</v>
      </c>
      <c r="B351" s="136" t="s">
        <v>2404</v>
      </c>
      <c r="C351" s="126" t="s">
        <v>2922</v>
      </c>
      <c r="D351" s="126" t="s">
        <v>2798</v>
      </c>
      <c r="E351" s="127" t="s">
        <v>2322</v>
      </c>
      <c r="F351" s="134" t="s">
        <v>2410</v>
      </c>
      <c r="G351" s="128" t="s">
        <v>3294</v>
      </c>
      <c r="H351" s="125"/>
      <c r="I351" s="125"/>
      <c r="J351" s="132"/>
      <c r="K351" s="130" t="s">
        <v>21</v>
      </c>
      <c r="L351" s="129" t="s">
        <v>2552</v>
      </c>
      <c r="M351" s="127"/>
      <c r="N351" s="127" t="s">
        <v>764</v>
      </c>
      <c r="O351" s="127" t="s">
        <v>1427</v>
      </c>
      <c r="P351" s="127">
        <v>0</v>
      </c>
      <c r="Q351" s="127">
        <v>0</v>
      </c>
      <c r="R351" s="127">
        <v>0</v>
      </c>
      <c r="S351" s="127">
        <v>0</v>
      </c>
      <c r="T351" s="127">
        <v>2</v>
      </c>
      <c r="U351" s="127" t="s">
        <v>2430</v>
      </c>
      <c r="V351" s="127" t="s">
        <v>2404</v>
      </c>
      <c r="W351" s="127">
        <v>0</v>
      </c>
      <c r="X351" s="127">
        <v>0</v>
      </c>
      <c r="Y351" s="127">
        <v>0</v>
      </c>
      <c r="Z351" s="127">
        <v>0</v>
      </c>
      <c r="AA351" s="127" t="s">
        <v>2511</v>
      </c>
      <c r="AB351" s="131" t="s">
        <v>2351</v>
      </c>
      <c r="AC351" s="127"/>
      <c r="AD351" s="135" t="s">
        <v>2322</v>
      </c>
      <c r="AE351" s="131" t="e">
        <v>#N/A</v>
      </c>
      <c r="AF351" s="131" t="e">
        <v>#N/A</v>
      </c>
      <c r="AG351" s="131" t="e">
        <v>#REF!</v>
      </c>
    </row>
    <row r="352" spans="1:33" s="131" customFormat="1" ht="18" customHeight="1" x14ac:dyDescent="0.25">
      <c r="A352" s="125">
        <v>351</v>
      </c>
      <c r="B352" s="136" t="s">
        <v>2405</v>
      </c>
      <c r="C352" s="126" t="s">
        <v>2923</v>
      </c>
      <c r="D352" s="126" t="s">
        <v>2790</v>
      </c>
      <c r="E352" s="127" t="s">
        <v>1418</v>
      </c>
      <c r="F352" s="134" t="s">
        <v>2410</v>
      </c>
      <c r="G352" s="128" t="s">
        <v>3294</v>
      </c>
      <c r="H352" s="125"/>
      <c r="I352" s="125"/>
      <c r="J352" s="132"/>
      <c r="K352" s="130" t="s">
        <v>66</v>
      </c>
      <c r="L352" s="129" t="s">
        <v>2550</v>
      </c>
      <c r="M352" s="127"/>
      <c r="N352" s="127" t="s">
        <v>764</v>
      </c>
      <c r="O352" s="127" t="s">
        <v>1427</v>
      </c>
      <c r="P352" s="127">
        <v>0</v>
      </c>
      <c r="Q352" s="127">
        <v>0</v>
      </c>
      <c r="R352" s="127">
        <v>0</v>
      </c>
      <c r="S352" s="127">
        <v>0</v>
      </c>
      <c r="T352" s="127">
        <v>2</v>
      </c>
      <c r="U352" s="127" t="s">
        <v>1561</v>
      </c>
      <c r="V352" s="127" t="s">
        <v>2405</v>
      </c>
      <c r="W352" s="127">
        <v>0</v>
      </c>
      <c r="X352" s="127">
        <v>0</v>
      </c>
      <c r="Y352" s="127">
        <v>0</v>
      </c>
      <c r="Z352" s="127">
        <v>0</v>
      </c>
      <c r="AA352" s="127" t="s">
        <v>2511</v>
      </c>
      <c r="AB352" s="131" t="s">
        <v>2352</v>
      </c>
      <c r="AC352" s="127"/>
      <c r="AD352" s="135" t="s">
        <v>1418</v>
      </c>
      <c r="AE352" s="131" t="e">
        <v>#N/A</v>
      </c>
      <c r="AF352" s="131" t="e">
        <v>#N/A</v>
      </c>
      <c r="AG352" s="131" t="e">
        <v>#REF!</v>
      </c>
    </row>
    <row r="353" spans="1:33" s="131" customFormat="1" ht="18" customHeight="1" x14ac:dyDescent="0.25">
      <c r="A353" s="125">
        <v>352</v>
      </c>
      <c r="B353" s="136" t="s">
        <v>2406</v>
      </c>
      <c r="C353" s="126" t="s">
        <v>2924</v>
      </c>
      <c r="D353" s="126" t="s">
        <v>2821</v>
      </c>
      <c r="E353" s="127" t="s">
        <v>2512</v>
      </c>
      <c r="F353" s="134" t="s">
        <v>2410</v>
      </c>
      <c r="G353" s="128" t="s">
        <v>3294</v>
      </c>
      <c r="H353" s="125"/>
      <c r="I353" s="125"/>
      <c r="J353" s="132" t="s">
        <v>1641</v>
      </c>
      <c r="K353" s="130" t="s">
        <v>422</v>
      </c>
      <c r="L353" s="129" t="s">
        <v>2554</v>
      </c>
      <c r="M353" s="127"/>
      <c r="N353" s="127" t="s">
        <v>1641</v>
      </c>
      <c r="O353" s="127" t="s">
        <v>1427</v>
      </c>
      <c r="P353" s="127">
        <v>0</v>
      </c>
      <c r="Q353" s="127">
        <v>0</v>
      </c>
      <c r="R353" s="127">
        <v>0</v>
      </c>
      <c r="S353" s="127">
        <v>0</v>
      </c>
      <c r="T353" s="127">
        <v>2</v>
      </c>
      <c r="U353" s="127" t="s">
        <v>2432</v>
      </c>
      <c r="V353" s="127" t="s">
        <v>2406</v>
      </c>
      <c r="W353" s="127">
        <v>0</v>
      </c>
      <c r="X353" s="127">
        <v>0</v>
      </c>
      <c r="Y353" s="127">
        <v>0</v>
      </c>
      <c r="Z353" s="127">
        <v>0</v>
      </c>
      <c r="AA353" s="127" t="s">
        <v>2511</v>
      </c>
      <c r="AB353" s="131" t="s">
        <v>2353</v>
      </c>
      <c r="AC353" s="127"/>
      <c r="AD353" s="135" t="s">
        <v>766</v>
      </c>
      <c r="AE353" s="131" t="e">
        <v>#N/A</v>
      </c>
      <c r="AF353" s="131" t="e">
        <v>#N/A</v>
      </c>
      <c r="AG353" s="131" t="e">
        <v>#REF!</v>
      </c>
    </row>
    <row r="354" spans="1:33" s="131" customFormat="1" ht="18" customHeight="1" x14ac:dyDescent="0.25">
      <c r="A354" s="125">
        <v>353</v>
      </c>
      <c r="B354" s="126" t="s">
        <v>2407</v>
      </c>
      <c r="C354" s="126" t="s">
        <v>2925</v>
      </c>
      <c r="D354" s="126" t="s">
        <v>2790</v>
      </c>
      <c r="E354" s="127" t="s">
        <v>2322</v>
      </c>
      <c r="F354" s="134" t="s">
        <v>2410</v>
      </c>
      <c r="G354" s="128" t="s">
        <v>3294</v>
      </c>
      <c r="H354" s="125"/>
      <c r="I354" s="125"/>
      <c r="J354" s="132"/>
      <c r="K354" s="130" t="s">
        <v>76</v>
      </c>
      <c r="L354" s="129" t="s">
        <v>2550</v>
      </c>
      <c r="M354" s="127"/>
      <c r="N354" s="127" t="s">
        <v>764</v>
      </c>
      <c r="O354" s="127" t="s">
        <v>1427</v>
      </c>
      <c r="P354" s="127">
        <v>0</v>
      </c>
      <c r="Q354" s="127">
        <v>0</v>
      </c>
      <c r="R354" s="127">
        <v>0</v>
      </c>
      <c r="S354" s="127">
        <v>0</v>
      </c>
      <c r="T354" s="127">
        <v>2</v>
      </c>
      <c r="U354" s="127" t="s">
        <v>1565</v>
      </c>
      <c r="V354" s="127" t="s">
        <v>2407</v>
      </c>
      <c r="W354" s="127">
        <v>0</v>
      </c>
      <c r="X354" s="127">
        <v>0</v>
      </c>
      <c r="Y354" s="127">
        <v>0</v>
      </c>
      <c r="Z354" s="127">
        <v>0</v>
      </c>
      <c r="AA354" s="127" t="s">
        <v>2511</v>
      </c>
      <c r="AB354" s="131" t="s">
        <v>2433</v>
      </c>
      <c r="AC354" s="127"/>
      <c r="AD354" s="135" t="s">
        <v>2322</v>
      </c>
      <c r="AE354" s="131" t="e">
        <v>#N/A</v>
      </c>
      <c r="AF354" s="131" t="e">
        <v>#N/A</v>
      </c>
      <c r="AG354" s="131" t="e">
        <v>#REF!</v>
      </c>
    </row>
    <row r="355" spans="1:33" s="131" customFormat="1" ht="18" customHeight="1" x14ac:dyDescent="0.25">
      <c r="A355" s="125">
        <v>354</v>
      </c>
      <c r="B355" s="139" t="s">
        <v>869</v>
      </c>
      <c r="C355" s="126" t="s">
        <v>2926</v>
      </c>
      <c r="D355" s="126" t="s">
        <v>2821</v>
      </c>
      <c r="E355" s="127" t="s">
        <v>766</v>
      </c>
      <c r="F355" s="128" t="s">
        <v>2410</v>
      </c>
      <c r="G355" s="128" t="s">
        <v>3294</v>
      </c>
      <c r="H355" s="125"/>
      <c r="I355" s="125"/>
      <c r="J355" s="132"/>
      <c r="K355" s="130" t="s">
        <v>547</v>
      </c>
      <c r="L355" s="129" t="s">
        <v>2554</v>
      </c>
      <c r="M355" s="127" t="s">
        <v>783</v>
      </c>
      <c r="N355" s="127" t="s">
        <v>764</v>
      </c>
      <c r="O355" s="127" t="s">
        <v>1427</v>
      </c>
      <c r="P355" s="127">
        <v>0</v>
      </c>
      <c r="Q355" s="127">
        <v>0</v>
      </c>
      <c r="R355" s="127">
        <v>0</v>
      </c>
      <c r="S355" s="127">
        <v>0</v>
      </c>
      <c r="T355" s="127">
        <v>0</v>
      </c>
      <c r="U355" s="127" t="s">
        <v>547</v>
      </c>
      <c r="V355" s="127" t="s">
        <v>869</v>
      </c>
      <c r="W355" s="127">
        <v>0</v>
      </c>
      <c r="X355" s="127">
        <v>0</v>
      </c>
      <c r="Y355" s="127">
        <v>0</v>
      </c>
      <c r="Z355" s="127">
        <v>0</v>
      </c>
      <c r="AA355" s="127" t="s">
        <v>2511</v>
      </c>
      <c r="AB355" s="131" t="s">
        <v>1669</v>
      </c>
      <c r="AC355" s="127" t="e">
        <v>#N/A</v>
      </c>
      <c r="AD355" s="131" t="s">
        <v>766</v>
      </c>
      <c r="AE355" s="131" t="e">
        <v>#N/A</v>
      </c>
      <c r="AF355" s="131" t="e">
        <v>#N/A</v>
      </c>
      <c r="AG355" s="131" t="e">
        <v>#REF!</v>
      </c>
    </row>
    <row r="356" spans="1:33" s="131" customFormat="1" ht="15.75" x14ac:dyDescent="0.25">
      <c r="A356" s="125">
        <v>355</v>
      </c>
      <c r="B356" s="139" t="s">
        <v>867</v>
      </c>
      <c r="C356" s="126" t="s">
        <v>2927</v>
      </c>
      <c r="D356" s="126" t="s">
        <v>2798</v>
      </c>
      <c r="E356" s="127" t="s">
        <v>1418</v>
      </c>
      <c r="F356" s="128" t="s">
        <v>2410</v>
      </c>
      <c r="G356" s="128" t="s">
        <v>3294</v>
      </c>
      <c r="H356" s="125"/>
      <c r="I356" s="125"/>
      <c r="J356" s="132"/>
      <c r="K356" s="130" t="s">
        <v>15</v>
      </c>
      <c r="L356" s="129" t="s">
        <v>2550</v>
      </c>
      <c r="M356" s="127" t="s">
        <v>879</v>
      </c>
      <c r="N356" s="127" t="s">
        <v>764</v>
      </c>
      <c r="O356" s="127" t="s">
        <v>1427</v>
      </c>
      <c r="P356" s="127">
        <v>0</v>
      </c>
      <c r="Q356" s="127">
        <v>0</v>
      </c>
      <c r="R356" s="127">
        <v>0</v>
      </c>
      <c r="S356" s="127">
        <v>0</v>
      </c>
      <c r="T356" s="127">
        <v>0</v>
      </c>
      <c r="U356" s="127" t="s">
        <v>15</v>
      </c>
      <c r="V356" s="127" t="s">
        <v>867</v>
      </c>
      <c r="W356" s="127">
        <v>0</v>
      </c>
      <c r="X356" s="127">
        <v>0</v>
      </c>
      <c r="Y356" s="127">
        <v>0</v>
      </c>
      <c r="Z356" s="127">
        <v>0</v>
      </c>
      <c r="AA356" s="127" t="s">
        <v>2511</v>
      </c>
      <c r="AB356" s="131" t="s">
        <v>1670</v>
      </c>
      <c r="AC356" s="127" t="e">
        <v>#N/A</v>
      </c>
      <c r="AD356" s="131" t="s">
        <v>1418</v>
      </c>
      <c r="AE356" s="131" t="e">
        <v>#N/A</v>
      </c>
      <c r="AF356" s="131" t="e">
        <v>#N/A</v>
      </c>
      <c r="AG356" s="131" t="e">
        <v>#REF!</v>
      </c>
    </row>
    <row r="357" spans="1:33" s="131" customFormat="1" ht="18" customHeight="1" x14ac:dyDescent="0.25">
      <c r="A357" s="125">
        <v>356</v>
      </c>
      <c r="B357" s="139" t="s">
        <v>871</v>
      </c>
      <c r="C357" s="126" t="s">
        <v>2928</v>
      </c>
      <c r="D357" s="126" t="s">
        <v>2798</v>
      </c>
      <c r="E357" s="127" t="s">
        <v>1418</v>
      </c>
      <c r="F357" s="128" t="s">
        <v>2410</v>
      </c>
      <c r="G357" s="128" t="s">
        <v>3294</v>
      </c>
      <c r="H357" s="125"/>
      <c r="I357" s="125"/>
      <c r="J357" s="132"/>
      <c r="K357" s="130" t="s">
        <v>16</v>
      </c>
      <c r="L357" s="129" t="s">
        <v>2550</v>
      </c>
      <c r="M357" s="127" t="s">
        <v>879</v>
      </c>
      <c r="N357" s="127" t="s">
        <v>764</v>
      </c>
      <c r="O357" s="127" t="s">
        <v>1427</v>
      </c>
      <c r="P357" s="127">
        <v>0</v>
      </c>
      <c r="Q357" s="127">
        <v>0</v>
      </c>
      <c r="R357" s="127">
        <v>0</v>
      </c>
      <c r="S357" s="127">
        <v>0</v>
      </c>
      <c r="T357" s="127">
        <v>0</v>
      </c>
      <c r="U357" s="127" t="s">
        <v>16</v>
      </c>
      <c r="V357" s="127" t="s">
        <v>871</v>
      </c>
      <c r="W357" s="127">
        <v>0</v>
      </c>
      <c r="X357" s="127">
        <v>0</v>
      </c>
      <c r="Y357" s="127">
        <v>0</v>
      </c>
      <c r="Z357" s="127">
        <v>0</v>
      </c>
      <c r="AA357" s="127" t="s">
        <v>2511</v>
      </c>
      <c r="AB357" s="131" t="s">
        <v>1671</v>
      </c>
      <c r="AC357" s="127" t="e">
        <v>#N/A</v>
      </c>
      <c r="AD357" s="131" t="s">
        <v>1418</v>
      </c>
      <c r="AE357" s="131" t="e">
        <v>#N/A</v>
      </c>
      <c r="AF357" s="131" t="e">
        <v>#N/A</v>
      </c>
      <c r="AG357" s="131" t="e">
        <v>#REF!</v>
      </c>
    </row>
    <row r="358" spans="1:33" s="131" customFormat="1" ht="18" customHeight="1" x14ac:dyDescent="0.25">
      <c r="A358" s="125">
        <v>357</v>
      </c>
      <c r="B358" s="139" t="s">
        <v>868</v>
      </c>
      <c r="C358" s="126" t="s">
        <v>2929</v>
      </c>
      <c r="D358" s="126" t="s">
        <v>2798</v>
      </c>
      <c r="E358" s="127" t="s">
        <v>1418</v>
      </c>
      <c r="F358" s="128" t="s">
        <v>2410</v>
      </c>
      <c r="G358" s="128" t="s">
        <v>3294</v>
      </c>
      <c r="H358" s="125"/>
      <c r="I358" s="125"/>
      <c r="J358" s="132"/>
      <c r="K358" s="130" t="s">
        <v>17</v>
      </c>
      <c r="L358" s="129" t="s">
        <v>2550</v>
      </c>
      <c r="M358" s="127" t="s">
        <v>879</v>
      </c>
      <c r="N358" s="127" t="s">
        <v>764</v>
      </c>
      <c r="O358" s="127" t="s">
        <v>1427</v>
      </c>
      <c r="P358" s="127">
        <v>0</v>
      </c>
      <c r="Q358" s="127">
        <v>0</v>
      </c>
      <c r="R358" s="127">
        <v>0</v>
      </c>
      <c r="S358" s="127">
        <v>0</v>
      </c>
      <c r="T358" s="127">
        <v>0</v>
      </c>
      <c r="U358" s="127" t="s">
        <v>17</v>
      </c>
      <c r="V358" s="127" t="s">
        <v>868</v>
      </c>
      <c r="W358" s="127">
        <v>0</v>
      </c>
      <c r="X358" s="127">
        <v>0</v>
      </c>
      <c r="Y358" s="127">
        <v>0</v>
      </c>
      <c r="Z358" s="127">
        <v>0</v>
      </c>
      <c r="AA358" s="127" t="s">
        <v>2511</v>
      </c>
      <c r="AB358" s="131" t="s">
        <v>1668</v>
      </c>
      <c r="AC358" s="127" t="e">
        <v>#N/A</v>
      </c>
      <c r="AD358" s="131" t="s">
        <v>1418</v>
      </c>
      <c r="AE358" s="131" t="s">
        <v>17</v>
      </c>
      <c r="AF358" s="131" t="b">
        <v>1</v>
      </c>
      <c r="AG358" s="131" t="e">
        <v>#REF!</v>
      </c>
    </row>
    <row r="359" spans="1:33" s="131" customFormat="1" ht="18" customHeight="1" x14ac:dyDescent="0.25">
      <c r="A359" s="125">
        <v>358</v>
      </c>
      <c r="B359" s="139" t="s">
        <v>870</v>
      </c>
      <c r="C359" s="126" t="s">
        <v>2930</v>
      </c>
      <c r="D359" s="126" t="s">
        <v>2796</v>
      </c>
      <c r="E359" s="127" t="s">
        <v>766</v>
      </c>
      <c r="F359" s="128" t="s">
        <v>2410</v>
      </c>
      <c r="G359" s="128" t="s">
        <v>3294</v>
      </c>
      <c r="H359" s="125"/>
      <c r="I359" s="125"/>
      <c r="J359" s="132"/>
      <c r="K359" s="130" t="s">
        <v>162</v>
      </c>
      <c r="L359" s="129" t="s">
        <v>2554</v>
      </c>
      <c r="M359" s="127" t="s">
        <v>759</v>
      </c>
      <c r="N359" s="127" t="s">
        <v>764</v>
      </c>
      <c r="O359" s="127" t="s">
        <v>1427</v>
      </c>
      <c r="P359" s="127">
        <v>0</v>
      </c>
      <c r="Q359" s="127">
        <v>0</v>
      </c>
      <c r="R359" s="127">
        <v>0</v>
      </c>
      <c r="S359" s="127">
        <v>0</v>
      </c>
      <c r="T359" s="127">
        <v>0</v>
      </c>
      <c r="U359" s="127" t="s">
        <v>162</v>
      </c>
      <c r="V359" s="127" t="s">
        <v>870</v>
      </c>
      <c r="W359" s="127">
        <v>0</v>
      </c>
      <c r="X359" s="127">
        <v>0</v>
      </c>
      <c r="Y359" s="127">
        <v>0</v>
      </c>
      <c r="Z359" s="127">
        <v>0</v>
      </c>
      <c r="AA359" s="127" t="s">
        <v>2511</v>
      </c>
      <c r="AB359" s="131" t="s">
        <v>1673</v>
      </c>
      <c r="AC359" s="127" t="s">
        <v>2282</v>
      </c>
      <c r="AD359" s="131" t="s">
        <v>766</v>
      </c>
      <c r="AE359" s="131" t="s">
        <v>3297</v>
      </c>
      <c r="AF359" s="131" t="b">
        <v>0</v>
      </c>
      <c r="AG359" s="131" t="e">
        <v>#REF!</v>
      </c>
    </row>
    <row r="360" spans="1:33" s="131" customFormat="1" ht="18" customHeight="1" x14ac:dyDescent="0.25">
      <c r="A360" s="125">
        <v>359</v>
      </c>
      <c r="B360" s="139" t="s">
        <v>872</v>
      </c>
      <c r="C360" s="126" t="s">
        <v>2931</v>
      </c>
      <c r="D360" s="126" t="s">
        <v>2790</v>
      </c>
      <c r="E360" s="127" t="s">
        <v>2322</v>
      </c>
      <c r="F360" s="128" t="s">
        <v>2410</v>
      </c>
      <c r="G360" s="128" t="s">
        <v>3290</v>
      </c>
      <c r="H360" s="125"/>
      <c r="I360" s="125"/>
      <c r="J360" s="132"/>
      <c r="K360" s="130" t="s">
        <v>66</v>
      </c>
      <c r="L360" s="129" t="s">
        <v>2553</v>
      </c>
      <c r="M360" s="127" t="s">
        <v>759</v>
      </c>
      <c r="N360" s="127" t="s">
        <v>764</v>
      </c>
      <c r="O360" s="127" t="s">
        <v>1427</v>
      </c>
      <c r="P360" s="127">
        <v>0</v>
      </c>
      <c r="Q360" s="127">
        <v>0</v>
      </c>
      <c r="R360" s="127">
        <v>0</v>
      </c>
      <c r="S360" s="127">
        <v>0</v>
      </c>
      <c r="T360" s="127">
        <v>0</v>
      </c>
      <c r="U360" s="127" t="s">
        <v>66</v>
      </c>
      <c r="V360" s="127" t="s">
        <v>872</v>
      </c>
      <c r="W360" s="127">
        <v>0</v>
      </c>
      <c r="X360" s="127">
        <v>0</v>
      </c>
      <c r="Y360" s="127">
        <v>0</v>
      </c>
      <c r="Z360" s="127">
        <v>0</v>
      </c>
      <c r="AA360" s="127" t="s">
        <v>2511</v>
      </c>
      <c r="AB360" s="131" t="s">
        <v>1672</v>
      </c>
      <c r="AC360" s="127" t="s">
        <v>2283</v>
      </c>
      <c r="AD360" s="131" t="s">
        <v>2322</v>
      </c>
      <c r="AE360" s="131" t="s">
        <v>3297</v>
      </c>
      <c r="AF360" s="131" t="b">
        <v>0</v>
      </c>
      <c r="AG360" s="131" t="e">
        <v>#REF!</v>
      </c>
    </row>
    <row r="361" spans="1:33" s="131" customFormat="1" ht="18" customHeight="1" x14ac:dyDescent="0.25">
      <c r="A361" s="125">
        <v>360</v>
      </c>
      <c r="B361" s="126" t="s">
        <v>1414</v>
      </c>
      <c r="C361" s="126" t="s">
        <v>2932</v>
      </c>
      <c r="D361" s="126" t="s">
        <v>2790</v>
      </c>
      <c r="E361" s="127" t="s">
        <v>2322</v>
      </c>
      <c r="F361" s="128" t="s">
        <v>2410</v>
      </c>
      <c r="G361" s="128" t="s">
        <v>3290</v>
      </c>
      <c r="H361" s="125"/>
      <c r="I361" s="125"/>
      <c r="J361" s="132"/>
      <c r="K361" s="130" t="s">
        <v>75</v>
      </c>
      <c r="L361" s="129" t="s">
        <v>2553</v>
      </c>
      <c r="M361" s="127" t="s">
        <v>759</v>
      </c>
      <c r="N361" s="127" t="s">
        <v>764</v>
      </c>
      <c r="O361" s="127" t="s">
        <v>1427</v>
      </c>
      <c r="P361" s="127">
        <v>0</v>
      </c>
      <c r="Q361" s="127">
        <v>0</v>
      </c>
      <c r="R361" s="127">
        <v>0</v>
      </c>
      <c r="S361" s="127">
        <v>0</v>
      </c>
      <c r="T361" s="127">
        <v>2</v>
      </c>
      <c r="U361" s="127" t="s">
        <v>1552</v>
      </c>
      <c r="V361" s="127" t="s">
        <v>1414</v>
      </c>
      <c r="W361" s="127">
        <v>0</v>
      </c>
      <c r="X361" s="127">
        <v>0</v>
      </c>
      <c r="Y361" s="127">
        <v>0</v>
      </c>
      <c r="Z361" s="127">
        <v>0</v>
      </c>
      <c r="AA361" s="127" t="s">
        <v>2511</v>
      </c>
      <c r="AB361" s="131" t="s">
        <v>1677</v>
      </c>
      <c r="AC361" s="127" t="s">
        <v>2284</v>
      </c>
      <c r="AD361" s="131" t="s">
        <v>2322</v>
      </c>
      <c r="AE361" s="131" t="s">
        <v>3297</v>
      </c>
      <c r="AF361" s="131" t="b">
        <v>0</v>
      </c>
      <c r="AG361" s="131" t="e">
        <v>#REF!</v>
      </c>
    </row>
    <row r="362" spans="1:33" s="131" customFormat="1" ht="18" customHeight="1" x14ac:dyDescent="0.25">
      <c r="A362" s="125">
        <v>361</v>
      </c>
      <c r="B362" s="126" t="s">
        <v>1415</v>
      </c>
      <c r="C362" s="126" t="s">
        <v>2933</v>
      </c>
      <c r="D362" s="126" t="s">
        <v>2796</v>
      </c>
      <c r="E362" s="127" t="s">
        <v>766</v>
      </c>
      <c r="F362" s="128" t="s">
        <v>2410</v>
      </c>
      <c r="G362" s="128" t="s">
        <v>3290</v>
      </c>
      <c r="H362" s="125"/>
      <c r="I362" s="125"/>
      <c r="J362" s="132"/>
      <c r="K362" s="130" t="s">
        <v>93</v>
      </c>
      <c r="L362" s="129" t="s">
        <v>2554</v>
      </c>
      <c r="M362" s="127" t="s">
        <v>760</v>
      </c>
      <c r="N362" s="127" t="s">
        <v>760</v>
      </c>
      <c r="O362" s="127" t="s">
        <v>1427</v>
      </c>
      <c r="P362" s="127">
        <v>0</v>
      </c>
      <c r="Q362" s="127">
        <v>0</v>
      </c>
      <c r="R362" s="127">
        <v>0</v>
      </c>
      <c r="S362" s="127">
        <v>0</v>
      </c>
      <c r="T362" s="127">
        <v>2</v>
      </c>
      <c r="U362" s="127" t="s">
        <v>1500</v>
      </c>
      <c r="V362" s="127" t="s">
        <v>1415</v>
      </c>
      <c r="W362" s="127">
        <v>0</v>
      </c>
      <c r="X362" s="127">
        <v>0</v>
      </c>
      <c r="Y362" s="127">
        <v>0</v>
      </c>
      <c r="Z362" s="127">
        <v>0</v>
      </c>
      <c r="AA362" s="127" t="s">
        <v>2511</v>
      </c>
      <c r="AB362" s="131" t="s">
        <v>1678</v>
      </c>
      <c r="AC362" s="127" t="e">
        <v>#N/A</v>
      </c>
      <c r="AD362" s="131" t="s">
        <v>766</v>
      </c>
      <c r="AE362" s="131" t="s">
        <v>93</v>
      </c>
      <c r="AF362" s="131" t="b">
        <v>1</v>
      </c>
      <c r="AG362" s="131" t="e">
        <v>#REF!</v>
      </c>
    </row>
    <row r="363" spans="1:33" s="131" customFormat="1" ht="15.75" x14ac:dyDescent="0.25">
      <c r="A363" s="125">
        <v>362</v>
      </c>
      <c r="B363" s="138" t="s">
        <v>1637</v>
      </c>
      <c r="C363" s="126" t="s">
        <v>2934</v>
      </c>
      <c r="D363" s="126" t="s">
        <v>2790</v>
      </c>
      <c r="E363" s="127" t="s">
        <v>2322</v>
      </c>
      <c r="F363" s="134" t="s">
        <v>2410</v>
      </c>
      <c r="G363" s="128" t="s">
        <v>3290</v>
      </c>
      <c r="H363" s="125"/>
      <c r="I363" s="125"/>
      <c r="J363" s="132"/>
      <c r="K363" s="130" t="s">
        <v>66</v>
      </c>
      <c r="L363" s="129" t="s">
        <v>2551</v>
      </c>
      <c r="M363" s="127" t="s">
        <v>759</v>
      </c>
      <c r="N363" s="127" t="s">
        <v>764</v>
      </c>
      <c r="O363" s="127" t="s">
        <v>1427</v>
      </c>
      <c r="P363" s="127">
        <v>0</v>
      </c>
      <c r="Q363" s="127">
        <v>0</v>
      </c>
      <c r="R363" s="127">
        <v>0</v>
      </c>
      <c r="S363" s="127">
        <v>0</v>
      </c>
      <c r="T363" s="127">
        <v>2</v>
      </c>
      <c r="U363" s="127" t="s">
        <v>1561</v>
      </c>
      <c r="V363" s="127" t="s">
        <v>1637</v>
      </c>
      <c r="W363" s="127">
        <v>0</v>
      </c>
      <c r="X363" s="127">
        <v>0</v>
      </c>
      <c r="Y363" s="127">
        <v>0</v>
      </c>
      <c r="Z363" s="127">
        <v>0</v>
      </c>
      <c r="AA363" s="127" t="s">
        <v>2511</v>
      </c>
      <c r="AB363" s="131" t="s">
        <v>1705</v>
      </c>
      <c r="AC363" s="127" t="e">
        <v>#N/A</v>
      </c>
      <c r="AD363" s="131" t="s">
        <v>2322</v>
      </c>
      <c r="AE363" s="131" t="s">
        <v>66</v>
      </c>
      <c r="AF363" s="131" t="b">
        <v>1</v>
      </c>
      <c r="AG363" s="131" t="e">
        <v>#REF!</v>
      </c>
    </row>
    <row r="364" spans="1:33" s="131" customFormat="1" ht="18" customHeight="1" x14ac:dyDescent="0.25">
      <c r="A364" s="125">
        <v>363</v>
      </c>
      <c r="B364" s="138" t="s">
        <v>1638</v>
      </c>
      <c r="C364" s="126" t="s">
        <v>2935</v>
      </c>
      <c r="D364" s="126" t="s">
        <v>2798</v>
      </c>
      <c r="E364" s="127" t="s">
        <v>1418</v>
      </c>
      <c r="F364" s="134" t="s">
        <v>2410</v>
      </c>
      <c r="G364" s="128" t="s">
        <v>3294</v>
      </c>
      <c r="H364" s="125"/>
      <c r="I364" s="125"/>
      <c r="J364" s="132"/>
      <c r="K364" s="130" t="s">
        <v>25</v>
      </c>
      <c r="L364" s="129" t="s">
        <v>2550</v>
      </c>
      <c r="M364" s="127" t="s">
        <v>759</v>
      </c>
      <c r="N364" s="127" t="s">
        <v>764</v>
      </c>
      <c r="O364" s="127" t="s">
        <v>1427</v>
      </c>
      <c r="P364" s="127">
        <v>0</v>
      </c>
      <c r="Q364" s="127">
        <v>0</v>
      </c>
      <c r="R364" s="127">
        <v>0</v>
      </c>
      <c r="S364" s="127">
        <v>0</v>
      </c>
      <c r="T364" s="127">
        <v>2</v>
      </c>
      <c r="U364" s="127" t="s">
        <v>25</v>
      </c>
      <c r="V364" s="127" t="s">
        <v>1638</v>
      </c>
      <c r="W364" s="127">
        <v>0</v>
      </c>
      <c r="X364" s="127">
        <v>0</v>
      </c>
      <c r="Y364" s="127">
        <v>0</v>
      </c>
      <c r="Z364" s="127">
        <v>0</v>
      </c>
      <c r="AA364" s="127" t="s">
        <v>2511</v>
      </c>
      <c r="AB364" s="131" t="s">
        <v>1706</v>
      </c>
      <c r="AC364" s="127" t="e">
        <v>#N/A</v>
      </c>
      <c r="AD364" s="131" t="s">
        <v>1418</v>
      </c>
      <c r="AE364" s="131" t="s">
        <v>3297</v>
      </c>
      <c r="AF364" s="131" t="b">
        <v>0</v>
      </c>
      <c r="AG364" s="131" t="e">
        <v>#REF!</v>
      </c>
    </row>
    <row r="365" spans="1:33" s="131" customFormat="1" ht="15.75" x14ac:dyDescent="0.25">
      <c r="A365" s="125">
        <v>364</v>
      </c>
      <c r="B365" s="126" t="s">
        <v>1614</v>
      </c>
      <c r="C365" s="126" t="s">
        <v>2936</v>
      </c>
      <c r="D365" s="126" t="s">
        <v>2821</v>
      </c>
      <c r="E365" s="127" t="s">
        <v>766</v>
      </c>
      <c r="F365" s="128" t="s">
        <v>2410</v>
      </c>
      <c r="G365" s="128" t="s">
        <v>3290</v>
      </c>
      <c r="H365" s="125"/>
      <c r="I365" s="125"/>
      <c r="J365" s="132"/>
      <c r="K365" s="130"/>
      <c r="L365" s="129" t="s">
        <v>2554</v>
      </c>
      <c r="M365" s="127" t="s">
        <v>759</v>
      </c>
      <c r="N365" s="127" t="s">
        <v>764</v>
      </c>
      <c r="O365" s="127" t="s">
        <v>1427</v>
      </c>
      <c r="P365" s="127">
        <v>0</v>
      </c>
      <c r="Q365" s="127">
        <v>0</v>
      </c>
      <c r="R365" s="127">
        <v>0</v>
      </c>
      <c r="S365" s="127">
        <v>0</v>
      </c>
      <c r="T365" s="127">
        <v>2</v>
      </c>
      <c r="U365" s="127" t="s">
        <v>422</v>
      </c>
      <c r="V365" s="127" t="s">
        <v>1614</v>
      </c>
      <c r="W365" s="127">
        <v>0</v>
      </c>
      <c r="X365" s="127">
        <v>0</v>
      </c>
      <c r="Y365" s="127">
        <v>0</v>
      </c>
      <c r="Z365" s="127">
        <v>0</v>
      </c>
      <c r="AA365" s="127" t="s">
        <v>2511</v>
      </c>
      <c r="AB365" s="131" t="s">
        <v>1685</v>
      </c>
      <c r="AC365" s="127" t="s">
        <v>2285</v>
      </c>
      <c r="AD365" s="131" t="s">
        <v>766</v>
      </c>
      <c r="AE365" s="131" t="s">
        <v>3297</v>
      </c>
      <c r="AF365" s="131" t="b">
        <v>0</v>
      </c>
      <c r="AG365" s="131" t="e">
        <v>#REF!</v>
      </c>
    </row>
    <row r="366" spans="1:33" s="131" customFormat="1" ht="18" customHeight="1" x14ac:dyDescent="0.25">
      <c r="A366" s="125">
        <v>365</v>
      </c>
      <c r="B366" s="126" t="s">
        <v>352</v>
      </c>
      <c r="C366" s="126" t="s">
        <v>2937</v>
      </c>
      <c r="D366" s="126" t="s">
        <v>2938</v>
      </c>
      <c r="E366" s="127" t="s">
        <v>841</v>
      </c>
      <c r="F366" s="128" t="s">
        <v>2521</v>
      </c>
      <c r="G366" s="128" t="s">
        <v>3290</v>
      </c>
      <c r="H366" s="125"/>
      <c r="I366" s="125"/>
      <c r="J366" s="132"/>
      <c r="K366" s="130"/>
      <c r="L366" s="129" t="s">
        <v>2550</v>
      </c>
      <c r="M366" s="127" t="s">
        <v>760</v>
      </c>
      <c r="N366" s="127" t="s">
        <v>760</v>
      </c>
      <c r="O366" s="127" t="s">
        <v>1553</v>
      </c>
      <c r="P366" s="127">
        <v>0</v>
      </c>
      <c r="Q366" s="127">
        <v>2</v>
      </c>
      <c r="R366" s="127" t="s">
        <v>802</v>
      </c>
      <c r="S366" s="127" t="s">
        <v>352</v>
      </c>
      <c r="T366" s="127">
        <v>0</v>
      </c>
      <c r="U366" s="127">
        <v>0</v>
      </c>
      <c r="V366" s="127">
        <v>0</v>
      </c>
      <c r="W366" s="127" t="s">
        <v>1509</v>
      </c>
      <c r="X366" s="127" t="s">
        <v>352</v>
      </c>
      <c r="Y366" s="127" t="s">
        <v>1436</v>
      </c>
      <c r="Z366" s="127" t="s">
        <v>1568</v>
      </c>
      <c r="AA366" s="127" t="s">
        <v>2510</v>
      </c>
      <c r="AB366" s="131" t="s">
        <v>1217</v>
      </c>
      <c r="AC366" s="127" t="e">
        <v>#N/A</v>
      </c>
      <c r="AD366" s="131" t="s">
        <v>841</v>
      </c>
      <c r="AE366" s="131" t="e">
        <v>#N/A</v>
      </c>
      <c r="AF366" s="131" t="e">
        <v>#N/A</v>
      </c>
      <c r="AG366" s="131" t="e">
        <v>#REF!</v>
      </c>
    </row>
    <row r="367" spans="1:33" s="131" customFormat="1" ht="18" customHeight="1" x14ac:dyDescent="0.25">
      <c r="A367" s="125">
        <v>366</v>
      </c>
      <c r="B367" s="126" t="s">
        <v>347</v>
      </c>
      <c r="C367" s="126" t="s">
        <v>2939</v>
      </c>
      <c r="D367" s="126" t="s">
        <v>2938</v>
      </c>
      <c r="E367" s="127" t="s">
        <v>841</v>
      </c>
      <c r="F367" s="128" t="s">
        <v>2411</v>
      </c>
      <c r="G367" s="128" t="s">
        <v>3289</v>
      </c>
      <c r="H367" s="125"/>
      <c r="I367" s="125" t="s">
        <v>934</v>
      </c>
      <c r="J367" s="132"/>
      <c r="K367" s="130"/>
      <c r="L367" s="129"/>
      <c r="M367" s="127" t="s">
        <v>759</v>
      </c>
      <c r="N367" s="127" t="s">
        <v>770</v>
      </c>
      <c r="O367" s="127" t="s">
        <v>802</v>
      </c>
      <c r="P367" s="127" t="s">
        <v>812</v>
      </c>
      <c r="Q367" s="127">
        <v>0</v>
      </c>
      <c r="R367" s="127">
        <v>0</v>
      </c>
      <c r="S367" s="127">
        <v>0</v>
      </c>
      <c r="T367" s="127">
        <v>0</v>
      </c>
      <c r="U367" s="127">
        <v>0</v>
      </c>
      <c r="V367" s="127">
        <v>0</v>
      </c>
      <c r="W367" s="127">
        <v>0</v>
      </c>
      <c r="X367" s="127">
        <v>0</v>
      </c>
      <c r="Y367" s="127">
        <v>0</v>
      </c>
      <c r="Z367" s="127">
        <v>0</v>
      </c>
      <c r="AA367" s="127" t="s">
        <v>2511</v>
      </c>
      <c r="AB367" s="131" t="s">
        <v>1218</v>
      </c>
      <c r="AC367" s="127" t="s">
        <v>2012</v>
      </c>
      <c r="AD367" s="131" t="s">
        <v>841</v>
      </c>
      <c r="AE367" s="131" t="e">
        <v>#N/A</v>
      </c>
      <c r="AF367" s="131" t="e">
        <v>#N/A</v>
      </c>
      <c r="AG367" s="131" t="e">
        <v>#REF!</v>
      </c>
    </row>
    <row r="368" spans="1:33" s="131" customFormat="1" ht="18" customHeight="1" x14ac:dyDescent="0.25">
      <c r="A368" s="125">
        <v>367</v>
      </c>
      <c r="B368" s="126" t="s">
        <v>366</v>
      </c>
      <c r="C368" s="126" t="s">
        <v>2940</v>
      </c>
      <c r="D368" s="126" t="s">
        <v>2938</v>
      </c>
      <c r="E368" s="127" t="s">
        <v>340</v>
      </c>
      <c r="F368" s="128" t="s">
        <v>2521</v>
      </c>
      <c r="G368" s="128" t="s">
        <v>3290</v>
      </c>
      <c r="H368" s="125"/>
      <c r="I368" s="125"/>
      <c r="J368" s="132" t="s">
        <v>2520</v>
      </c>
      <c r="K368" s="130"/>
      <c r="L368" s="129"/>
      <c r="M368" s="127" t="s">
        <v>758</v>
      </c>
      <c r="N368" s="127" t="s">
        <v>2520</v>
      </c>
      <c r="O368" s="127" t="s">
        <v>1553</v>
      </c>
      <c r="P368" s="127" t="s">
        <v>1554</v>
      </c>
      <c r="Q368" s="127">
        <v>2</v>
      </c>
      <c r="R368" s="127" t="s">
        <v>1470</v>
      </c>
      <c r="S368" s="127" t="s">
        <v>366</v>
      </c>
      <c r="T368" s="127">
        <v>0</v>
      </c>
      <c r="U368" s="127">
        <v>0</v>
      </c>
      <c r="V368" s="127">
        <v>0</v>
      </c>
      <c r="W368" s="127">
        <v>0</v>
      </c>
      <c r="X368" s="127">
        <v>0</v>
      </c>
      <c r="Y368" s="127">
        <v>0</v>
      </c>
      <c r="Z368" s="127" t="s">
        <v>1568</v>
      </c>
      <c r="AA368" s="127" t="s">
        <v>2510</v>
      </c>
      <c r="AB368" s="131" t="s">
        <v>1219</v>
      </c>
      <c r="AC368" s="127" t="s">
        <v>2013</v>
      </c>
      <c r="AD368" s="131" t="s">
        <v>340</v>
      </c>
      <c r="AE368" s="131" t="e">
        <v>#N/A</v>
      </c>
      <c r="AF368" s="131" t="e">
        <v>#N/A</v>
      </c>
      <c r="AG368" s="131" t="e">
        <v>#REF!</v>
      </c>
    </row>
    <row r="369" spans="1:33" s="131" customFormat="1" ht="18" customHeight="1" x14ac:dyDescent="0.25">
      <c r="A369" s="125">
        <v>368</v>
      </c>
      <c r="B369" s="126" t="s">
        <v>348</v>
      </c>
      <c r="C369" s="126" t="s">
        <v>2941</v>
      </c>
      <c r="D369" s="126" t="s">
        <v>2938</v>
      </c>
      <c r="E369" s="127" t="s">
        <v>841</v>
      </c>
      <c r="F369" s="128" t="s">
        <v>2521</v>
      </c>
      <c r="G369" s="128" t="s">
        <v>3290</v>
      </c>
      <c r="H369" s="125"/>
      <c r="I369" s="125"/>
      <c r="J369" s="132" t="s">
        <v>2520</v>
      </c>
      <c r="K369" s="130"/>
      <c r="L369" s="129"/>
      <c r="M369" s="127" t="s">
        <v>758</v>
      </c>
      <c r="N369" s="127" t="s">
        <v>2520</v>
      </c>
      <c r="O369" s="127" t="s">
        <v>1553</v>
      </c>
      <c r="P369" s="127" t="s">
        <v>1554</v>
      </c>
      <c r="Q369" s="127">
        <v>2</v>
      </c>
      <c r="R369" s="127" t="s">
        <v>1510</v>
      </c>
      <c r="S369" s="127" t="s">
        <v>348</v>
      </c>
      <c r="T369" s="127">
        <v>0</v>
      </c>
      <c r="U369" s="127">
        <v>0</v>
      </c>
      <c r="V369" s="127">
        <v>0</v>
      </c>
      <c r="W369" s="127">
        <v>0</v>
      </c>
      <c r="X369" s="127">
        <v>0</v>
      </c>
      <c r="Y369" s="127">
        <v>0</v>
      </c>
      <c r="Z369" s="127" t="s">
        <v>1568</v>
      </c>
      <c r="AA369" s="127" t="s">
        <v>2511</v>
      </c>
      <c r="AB369" s="131" t="s">
        <v>1220</v>
      </c>
      <c r="AC369" s="127" t="s">
        <v>2286</v>
      </c>
      <c r="AD369" s="131" t="s">
        <v>841</v>
      </c>
      <c r="AE369" s="131" t="e">
        <v>#N/A</v>
      </c>
      <c r="AF369" s="131" t="e">
        <v>#N/A</v>
      </c>
      <c r="AG369" s="131" t="e">
        <v>#REF!</v>
      </c>
    </row>
    <row r="370" spans="1:33" s="131" customFormat="1" ht="18" customHeight="1" x14ac:dyDescent="0.25">
      <c r="A370" s="125">
        <v>369</v>
      </c>
      <c r="B370" s="126" t="s">
        <v>354</v>
      </c>
      <c r="C370" s="126" t="s">
        <v>2942</v>
      </c>
      <c r="D370" s="126" t="s">
        <v>2943</v>
      </c>
      <c r="E370" s="127" t="s">
        <v>339</v>
      </c>
      <c r="F370" s="128" t="s">
        <v>2411</v>
      </c>
      <c r="G370" s="128" t="s">
        <v>3289</v>
      </c>
      <c r="H370" s="125" t="s">
        <v>1223</v>
      </c>
      <c r="I370" s="125"/>
      <c r="J370" s="129"/>
      <c r="K370" s="130"/>
      <c r="L370" s="129"/>
      <c r="M370" s="127" t="s">
        <v>761</v>
      </c>
      <c r="N370" s="127" t="s">
        <v>1639</v>
      </c>
      <c r="O370" s="127" t="s">
        <v>1470</v>
      </c>
      <c r="P370" s="127" t="s">
        <v>812</v>
      </c>
      <c r="Q370" s="127">
        <v>0</v>
      </c>
      <c r="R370" s="127">
        <v>0</v>
      </c>
      <c r="S370" s="127">
        <v>0</v>
      </c>
      <c r="T370" s="127">
        <v>0</v>
      </c>
      <c r="U370" s="127">
        <v>0</v>
      </c>
      <c r="V370" s="127">
        <v>0</v>
      </c>
      <c r="W370" s="127">
        <v>0</v>
      </c>
      <c r="X370" s="127">
        <v>0</v>
      </c>
      <c r="Y370" s="127">
        <v>0</v>
      </c>
      <c r="Z370" s="127">
        <v>0</v>
      </c>
      <c r="AA370" s="127" t="s">
        <v>2510</v>
      </c>
      <c r="AB370" s="131" t="s">
        <v>1221</v>
      </c>
      <c r="AC370" s="127" t="s">
        <v>2014</v>
      </c>
      <c r="AD370" s="131" t="s">
        <v>339</v>
      </c>
      <c r="AE370" s="131" t="e">
        <v>#N/A</v>
      </c>
      <c r="AF370" s="131" t="e">
        <v>#N/A</v>
      </c>
      <c r="AG370" s="131" t="e">
        <v>#REF!</v>
      </c>
    </row>
    <row r="371" spans="1:33" s="131" customFormat="1" ht="18" customHeight="1" x14ac:dyDescent="0.25">
      <c r="A371" s="125">
        <v>370</v>
      </c>
      <c r="B371" s="126" t="s">
        <v>349</v>
      </c>
      <c r="C371" s="126" t="s">
        <v>2944</v>
      </c>
      <c r="D371" s="126" t="s">
        <v>2938</v>
      </c>
      <c r="E371" s="127" t="s">
        <v>841</v>
      </c>
      <c r="F371" s="128" t="s">
        <v>2411</v>
      </c>
      <c r="G371" s="128" t="s">
        <v>3289</v>
      </c>
      <c r="H371" s="125"/>
      <c r="I371" s="125"/>
      <c r="J371" s="132"/>
      <c r="K371" s="130"/>
      <c r="L371" s="129"/>
      <c r="M371" s="127" t="s">
        <v>758</v>
      </c>
      <c r="N371" s="127" t="s">
        <v>765</v>
      </c>
      <c r="O371" s="127" t="s">
        <v>1510</v>
      </c>
      <c r="P371" s="127" t="s">
        <v>812</v>
      </c>
      <c r="Q371" s="127">
        <v>0</v>
      </c>
      <c r="R371" s="127">
        <v>0</v>
      </c>
      <c r="S371" s="127">
        <v>0</v>
      </c>
      <c r="T371" s="127">
        <v>0</v>
      </c>
      <c r="U371" s="127">
        <v>0</v>
      </c>
      <c r="V371" s="127">
        <v>0</v>
      </c>
      <c r="W371" s="127">
        <v>0</v>
      </c>
      <c r="X371" s="127">
        <v>0</v>
      </c>
      <c r="Y371" s="127">
        <v>0</v>
      </c>
      <c r="Z371" s="127">
        <v>0</v>
      </c>
      <c r="AA371" s="127" t="s">
        <v>2510</v>
      </c>
      <c r="AB371" s="131" t="s">
        <v>1224</v>
      </c>
      <c r="AC371" s="127" t="s">
        <v>2015</v>
      </c>
      <c r="AD371" s="131" t="s">
        <v>841</v>
      </c>
      <c r="AE371" s="131" t="e">
        <v>#N/A</v>
      </c>
      <c r="AF371" s="131" t="e">
        <v>#N/A</v>
      </c>
      <c r="AG371" s="131" t="e">
        <v>#REF!</v>
      </c>
    </row>
    <row r="372" spans="1:33" s="131" customFormat="1" ht="18" customHeight="1" x14ac:dyDescent="0.25">
      <c r="A372" s="125">
        <v>371</v>
      </c>
      <c r="B372" s="126" t="s">
        <v>363</v>
      </c>
      <c r="C372" s="126" t="s">
        <v>2945</v>
      </c>
      <c r="D372" s="126" t="s">
        <v>2938</v>
      </c>
      <c r="E372" s="127" t="s">
        <v>841</v>
      </c>
      <c r="F372" s="128" t="s">
        <v>2411</v>
      </c>
      <c r="G372" s="128" t="s">
        <v>3289</v>
      </c>
      <c r="H372" s="125"/>
      <c r="I372" s="125"/>
      <c r="J372" s="132"/>
      <c r="K372" s="130"/>
      <c r="L372" s="129"/>
      <c r="M372" s="127" t="s">
        <v>758</v>
      </c>
      <c r="N372" s="127" t="s">
        <v>765</v>
      </c>
      <c r="O372" s="127" t="s">
        <v>803</v>
      </c>
      <c r="P372" s="127" t="s">
        <v>812</v>
      </c>
      <c r="Q372" s="127">
        <v>0</v>
      </c>
      <c r="R372" s="127">
        <v>0</v>
      </c>
      <c r="S372" s="127">
        <v>0</v>
      </c>
      <c r="T372" s="127">
        <v>0</v>
      </c>
      <c r="U372" s="127">
        <v>0</v>
      </c>
      <c r="V372" s="127">
        <v>0</v>
      </c>
      <c r="W372" s="127">
        <v>0</v>
      </c>
      <c r="X372" s="127">
        <v>0</v>
      </c>
      <c r="Y372" s="127">
        <v>0</v>
      </c>
      <c r="Z372" s="127">
        <v>0</v>
      </c>
      <c r="AA372" s="127" t="s">
        <v>2510</v>
      </c>
      <c r="AB372" s="131" t="s">
        <v>1225</v>
      </c>
      <c r="AC372" s="127" t="s">
        <v>2016</v>
      </c>
      <c r="AD372" s="131" t="s">
        <v>841</v>
      </c>
      <c r="AE372" s="131" t="e">
        <v>#N/A</v>
      </c>
      <c r="AF372" s="131" t="e">
        <v>#N/A</v>
      </c>
      <c r="AG372" s="131" t="e">
        <v>#REF!</v>
      </c>
    </row>
    <row r="373" spans="1:33" s="131" customFormat="1" ht="18" customHeight="1" x14ac:dyDescent="0.25">
      <c r="A373" s="125">
        <v>372</v>
      </c>
      <c r="B373" s="126" t="s">
        <v>350</v>
      </c>
      <c r="C373" s="126" t="s">
        <v>2946</v>
      </c>
      <c r="D373" s="126" t="s">
        <v>2938</v>
      </c>
      <c r="E373" s="127" t="s">
        <v>841</v>
      </c>
      <c r="F373" s="128" t="s">
        <v>2521</v>
      </c>
      <c r="G373" s="128" t="s">
        <v>3290</v>
      </c>
      <c r="H373" s="125"/>
      <c r="I373" s="125"/>
      <c r="J373" s="132" t="s">
        <v>2520</v>
      </c>
      <c r="K373" s="130"/>
      <c r="L373" s="129"/>
      <c r="M373" s="127" t="s">
        <v>758</v>
      </c>
      <c r="N373" s="127" t="s">
        <v>2520</v>
      </c>
      <c r="O373" s="127" t="s">
        <v>1553</v>
      </c>
      <c r="P373" s="127" t="s">
        <v>1554</v>
      </c>
      <c r="Q373" s="127">
        <v>2</v>
      </c>
      <c r="R373" s="127" t="s">
        <v>802</v>
      </c>
      <c r="S373" s="127" t="s">
        <v>350</v>
      </c>
      <c r="T373" s="127">
        <v>0</v>
      </c>
      <c r="U373" s="127">
        <v>0</v>
      </c>
      <c r="V373" s="127">
        <v>0</v>
      </c>
      <c r="W373" s="127" t="s">
        <v>1509</v>
      </c>
      <c r="X373" s="127" t="s">
        <v>350</v>
      </c>
      <c r="Y373" s="127" t="s">
        <v>1571</v>
      </c>
      <c r="Z373" s="127" t="s">
        <v>1568</v>
      </c>
      <c r="AA373" s="127" t="s">
        <v>2510</v>
      </c>
      <c r="AB373" s="131" t="s">
        <v>1226</v>
      </c>
      <c r="AC373" s="127" t="s">
        <v>2017</v>
      </c>
      <c r="AD373" s="131" t="s">
        <v>841</v>
      </c>
      <c r="AE373" s="131" t="e">
        <v>#N/A</v>
      </c>
      <c r="AF373" s="131" t="e">
        <v>#N/A</v>
      </c>
      <c r="AG373" s="131" t="e">
        <v>#REF!</v>
      </c>
    </row>
    <row r="374" spans="1:33" s="131" customFormat="1" ht="18" customHeight="1" x14ac:dyDescent="0.25">
      <c r="A374" s="125">
        <v>373</v>
      </c>
      <c r="B374" s="126" t="s">
        <v>351</v>
      </c>
      <c r="C374" s="126" t="s">
        <v>2947</v>
      </c>
      <c r="D374" s="126" t="s">
        <v>2938</v>
      </c>
      <c r="E374" s="127" t="s">
        <v>841</v>
      </c>
      <c r="F374" s="128" t="s">
        <v>2521</v>
      </c>
      <c r="G374" s="128" t="s">
        <v>3290</v>
      </c>
      <c r="H374" s="125"/>
      <c r="I374" s="125"/>
      <c r="J374" s="132" t="s">
        <v>2520</v>
      </c>
      <c r="K374" s="130"/>
      <c r="L374" s="129"/>
      <c r="M374" s="127" t="s">
        <v>758</v>
      </c>
      <c r="N374" s="127" t="s">
        <v>2520</v>
      </c>
      <c r="O374" s="127" t="s">
        <v>1553</v>
      </c>
      <c r="P374" s="127" t="s">
        <v>1554</v>
      </c>
      <c r="Q374" s="127">
        <v>2</v>
      </c>
      <c r="R374" s="127" t="s">
        <v>1509</v>
      </c>
      <c r="S374" s="127" t="s">
        <v>351</v>
      </c>
      <c r="T374" s="127">
        <v>0</v>
      </c>
      <c r="U374" s="127">
        <v>0</v>
      </c>
      <c r="V374" s="127">
        <v>0</v>
      </c>
      <c r="W374" s="127">
        <v>0</v>
      </c>
      <c r="X374" s="127">
        <v>0</v>
      </c>
      <c r="Y374" s="127">
        <v>0</v>
      </c>
      <c r="Z374" s="127" t="s">
        <v>1568</v>
      </c>
      <c r="AA374" s="127" t="s">
        <v>2510</v>
      </c>
      <c r="AB374" s="131" t="s">
        <v>1227</v>
      </c>
      <c r="AC374" s="127" t="s">
        <v>2018</v>
      </c>
      <c r="AD374" s="131" t="s">
        <v>841</v>
      </c>
      <c r="AE374" s="131" t="e">
        <v>#N/A</v>
      </c>
      <c r="AF374" s="131" t="e">
        <v>#N/A</v>
      </c>
      <c r="AG374" s="131" t="e">
        <v>#REF!</v>
      </c>
    </row>
    <row r="375" spans="1:33" s="131" customFormat="1" ht="18" customHeight="1" x14ac:dyDescent="0.25">
      <c r="A375" s="125">
        <v>374</v>
      </c>
      <c r="B375" s="126" t="s">
        <v>344</v>
      </c>
      <c r="C375" s="126" t="s">
        <v>2948</v>
      </c>
      <c r="D375" s="126" t="s">
        <v>2943</v>
      </c>
      <c r="E375" s="127" t="s">
        <v>340</v>
      </c>
      <c r="F375" s="128" t="s">
        <v>2521</v>
      </c>
      <c r="G375" s="128" t="s">
        <v>3290</v>
      </c>
      <c r="H375" s="125"/>
      <c r="I375" s="125"/>
      <c r="J375" s="132" t="s">
        <v>2520</v>
      </c>
      <c r="K375" s="130"/>
      <c r="L375" s="129"/>
      <c r="M375" s="127" t="s">
        <v>774</v>
      </c>
      <c r="N375" s="127" t="s">
        <v>2520</v>
      </c>
      <c r="O375" s="127" t="s">
        <v>1427</v>
      </c>
      <c r="P375" s="127" t="s">
        <v>1554</v>
      </c>
      <c r="Q375" s="127">
        <v>0</v>
      </c>
      <c r="R375" s="127">
        <v>0</v>
      </c>
      <c r="S375" s="127">
        <v>0</v>
      </c>
      <c r="T375" s="127">
        <v>4</v>
      </c>
      <c r="U375" s="127" t="s">
        <v>1470</v>
      </c>
      <c r="V375" s="127" t="s">
        <v>344</v>
      </c>
      <c r="W375" s="127">
        <v>0</v>
      </c>
      <c r="X375" s="127">
        <v>0</v>
      </c>
      <c r="Y375" s="127">
        <v>0</v>
      </c>
      <c r="Z375" s="127" t="s">
        <v>1568</v>
      </c>
      <c r="AA375" s="127" t="s">
        <v>2510</v>
      </c>
      <c r="AB375" s="131" t="s">
        <v>1228</v>
      </c>
      <c r="AC375" s="127" t="s">
        <v>2019</v>
      </c>
      <c r="AD375" s="131" t="s">
        <v>340</v>
      </c>
      <c r="AE375" s="131" t="e">
        <v>#N/A</v>
      </c>
      <c r="AF375" s="131" t="e">
        <v>#N/A</v>
      </c>
      <c r="AG375" s="131" t="e">
        <v>#REF!</v>
      </c>
    </row>
    <row r="376" spans="1:33" s="131" customFormat="1" ht="18" customHeight="1" x14ac:dyDescent="0.25">
      <c r="A376" s="125">
        <v>375</v>
      </c>
      <c r="B376" s="126" t="s">
        <v>372</v>
      </c>
      <c r="C376" s="126" t="s">
        <v>2949</v>
      </c>
      <c r="D376" s="126" t="s">
        <v>2950</v>
      </c>
      <c r="E376" s="127" t="s">
        <v>841</v>
      </c>
      <c r="F376" s="128" t="s">
        <v>2411</v>
      </c>
      <c r="G376" s="128" t="s">
        <v>3289</v>
      </c>
      <c r="H376" s="125" t="s">
        <v>952</v>
      </c>
      <c r="I376" s="125"/>
      <c r="J376" s="129"/>
      <c r="K376" s="130"/>
      <c r="L376" s="129"/>
      <c r="M376" s="127" t="s">
        <v>761</v>
      </c>
      <c r="N376" s="127" t="s">
        <v>1639</v>
      </c>
      <c r="O376" s="127" t="s">
        <v>804</v>
      </c>
      <c r="P376" s="127" t="s">
        <v>812</v>
      </c>
      <c r="Q376" s="127">
        <v>0</v>
      </c>
      <c r="R376" s="127">
        <v>0</v>
      </c>
      <c r="S376" s="127">
        <v>0</v>
      </c>
      <c r="T376" s="127">
        <v>0</v>
      </c>
      <c r="U376" s="127">
        <v>0</v>
      </c>
      <c r="V376" s="127">
        <v>0</v>
      </c>
      <c r="W376" s="127">
        <v>0</v>
      </c>
      <c r="X376" s="127">
        <v>0</v>
      </c>
      <c r="Y376" s="127">
        <v>0</v>
      </c>
      <c r="Z376" s="127">
        <v>0</v>
      </c>
      <c r="AA376" s="127" t="s">
        <v>2510</v>
      </c>
      <c r="AB376" s="131" t="s">
        <v>1229</v>
      </c>
      <c r="AC376" s="127" t="s">
        <v>2020</v>
      </c>
      <c r="AD376" s="131" t="s">
        <v>841</v>
      </c>
      <c r="AE376" s="131" t="e">
        <v>#N/A</v>
      </c>
      <c r="AF376" s="131" t="e">
        <v>#N/A</v>
      </c>
      <c r="AG376" s="131" t="e">
        <v>#REF!</v>
      </c>
    </row>
    <row r="377" spans="1:33" s="131" customFormat="1" ht="18" customHeight="1" x14ac:dyDescent="0.25">
      <c r="A377" s="125">
        <v>376</v>
      </c>
      <c r="B377" s="126" t="s">
        <v>370</v>
      </c>
      <c r="C377" s="126" t="s">
        <v>2951</v>
      </c>
      <c r="D377" s="126" t="s">
        <v>2950</v>
      </c>
      <c r="E377" s="127" t="s">
        <v>841</v>
      </c>
      <c r="F377" s="128" t="s">
        <v>2411</v>
      </c>
      <c r="G377" s="128" t="s">
        <v>3289</v>
      </c>
      <c r="H377" s="125" t="s">
        <v>1732</v>
      </c>
      <c r="I377" s="125"/>
      <c r="J377" s="129"/>
      <c r="K377" s="130"/>
      <c r="L377" s="129"/>
      <c r="M377" s="127" t="s">
        <v>759</v>
      </c>
      <c r="N377" s="127" t="s">
        <v>1639</v>
      </c>
      <c r="O377" s="127" t="s">
        <v>805</v>
      </c>
      <c r="P377" s="127" t="s">
        <v>812</v>
      </c>
      <c r="Q377" s="127">
        <v>0</v>
      </c>
      <c r="R377" s="127">
        <v>0</v>
      </c>
      <c r="S377" s="127">
        <v>0</v>
      </c>
      <c r="T377" s="127">
        <v>0</v>
      </c>
      <c r="U377" s="127">
        <v>0</v>
      </c>
      <c r="V377" s="127">
        <v>0</v>
      </c>
      <c r="W377" s="127">
        <v>0</v>
      </c>
      <c r="X377" s="127">
        <v>0</v>
      </c>
      <c r="Y377" s="127">
        <v>0</v>
      </c>
      <c r="Z377" s="127">
        <v>0</v>
      </c>
      <c r="AA377" s="127" t="s">
        <v>2510</v>
      </c>
      <c r="AB377" s="131" t="s">
        <v>1231</v>
      </c>
      <c r="AC377" s="127" t="s">
        <v>2021</v>
      </c>
      <c r="AD377" s="131" t="s">
        <v>841</v>
      </c>
      <c r="AE377" s="131" t="e">
        <v>#N/A</v>
      </c>
      <c r="AF377" s="131" t="e">
        <v>#N/A</v>
      </c>
      <c r="AG377" s="131" t="e">
        <v>#REF!</v>
      </c>
    </row>
    <row r="378" spans="1:33" s="131" customFormat="1" ht="15.75" x14ac:dyDescent="0.25">
      <c r="A378" s="125">
        <v>377</v>
      </c>
      <c r="B378" s="126" t="s">
        <v>359</v>
      </c>
      <c r="C378" s="126" t="s">
        <v>2952</v>
      </c>
      <c r="D378" s="126" t="s">
        <v>2950</v>
      </c>
      <c r="E378" s="127" t="s">
        <v>841</v>
      </c>
      <c r="F378" s="128" t="s">
        <v>2521</v>
      </c>
      <c r="G378" s="128" t="s">
        <v>3290</v>
      </c>
      <c r="H378" s="125"/>
      <c r="I378" s="125"/>
      <c r="J378" s="132" t="s">
        <v>2520</v>
      </c>
      <c r="K378" s="130"/>
      <c r="L378" s="129"/>
      <c r="M378" s="127" t="s">
        <v>758</v>
      </c>
      <c r="N378" s="127" t="s">
        <v>2520</v>
      </c>
      <c r="O378" s="127" t="s">
        <v>1553</v>
      </c>
      <c r="P378" s="127" t="s">
        <v>1554</v>
      </c>
      <c r="Q378" s="127">
        <v>2</v>
      </c>
      <c r="R378" s="127" t="s">
        <v>1449</v>
      </c>
      <c r="S378" s="127" t="s">
        <v>359</v>
      </c>
      <c r="T378" s="127">
        <v>0</v>
      </c>
      <c r="U378" s="127">
        <v>0</v>
      </c>
      <c r="V378" s="127">
        <v>0</v>
      </c>
      <c r="W378" s="127" t="s">
        <v>1449</v>
      </c>
      <c r="X378" s="127" t="s">
        <v>359</v>
      </c>
      <c r="Y378" s="127" t="s">
        <v>1573</v>
      </c>
      <c r="Z378" s="127">
        <v>0</v>
      </c>
      <c r="AA378" s="127" t="s">
        <v>2510</v>
      </c>
      <c r="AB378" s="131" t="s">
        <v>1232</v>
      </c>
      <c r="AC378" s="127" t="s">
        <v>2022</v>
      </c>
      <c r="AD378" s="131" t="s">
        <v>841</v>
      </c>
      <c r="AE378" s="131" t="e">
        <v>#N/A</v>
      </c>
      <c r="AF378" s="131" t="e">
        <v>#N/A</v>
      </c>
      <c r="AG378" s="131" t="e">
        <v>#REF!</v>
      </c>
    </row>
    <row r="379" spans="1:33" s="131" customFormat="1" ht="18" customHeight="1" x14ac:dyDescent="0.25">
      <c r="A379" s="125">
        <v>378</v>
      </c>
      <c r="B379" s="126" t="s">
        <v>358</v>
      </c>
      <c r="C379" s="126" t="s">
        <v>2953</v>
      </c>
      <c r="D379" s="126" t="s">
        <v>2950</v>
      </c>
      <c r="E379" s="127" t="s">
        <v>841</v>
      </c>
      <c r="F379" s="128" t="s">
        <v>2411</v>
      </c>
      <c r="G379" s="128" t="s">
        <v>3289</v>
      </c>
      <c r="H379" s="125" t="s">
        <v>1223</v>
      </c>
      <c r="I379" s="125"/>
      <c r="J379" s="129"/>
      <c r="K379" s="130"/>
      <c r="L379" s="129"/>
      <c r="M379" s="127" t="s">
        <v>761</v>
      </c>
      <c r="N379" s="127" t="s">
        <v>1639</v>
      </c>
      <c r="O379" s="127" t="s">
        <v>806</v>
      </c>
      <c r="P379" s="127" t="s">
        <v>812</v>
      </c>
      <c r="Q379" s="127">
        <v>0</v>
      </c>
      <c r="R379" s="127">
        <v>0</v>
      </c>
      <c r="S379" s="127">
        <v>0</v>
      </c>
      <c r="T379" s="127">
        <v>0</v>
      </c>
      <c r="U379" s="127">
        <v>0</v>
      </c>
      <c r="V379" s="127">
        <v>0</v>
      </c>
      <c r="W379" s="127">
        <v>0</v>
      </c>
      <c r="X379" s="127">
        <v>0</v>
      </c>
      <c r="Y379" s="127">
        <v>0</v>
      </c>
      <c r="Z379" s="127">
        <v>0</v>
      </c>
      <c r="AA379" s="127" t="s">
        <v>2511</v>
      </c>
      <c r="AB379" s="131" t="s">
        <v>1233</v>
      </c>
      <c r="AC379" s="127" t="s">
        <v>2023</v>
      </c>
      <c r="AD379" s="131" t="s">
        <v>841</v>
      </c>
      <c r="AE379" s="131" t="e">
        <v>#N/A</v>
      </c>
      <c r="AF379" s="131" t="e">
        <v>#N/A</v>
      </c>
      <c r="AG379" s="131" t="e">
        <v>#REF!</v>
      </c>
    </row>
    <row r="380" spans="1:33" s="131" customFormat="1" ht="18" customHeight="1" x14ac:dyDescent="0.25">
      <c r="A380" s="125">
        <v>379</v>
      </c>
      <c r="B380" s="126" t="s">
        <v>356</v>
      </c>
      <c r="C380" s="126" t="s">
        <v>2954</v>
      </c>
      <c r="D380" s="126" t="s">
        <v>2950</v>
      </c>
      <c r="E380" s="127" t="s">
        <v>841</v>
      </c>
      <c r="F380" s="128" t="s">
        <v>2411</v>
      </c>
      <c r="G380" s="128" t="s">
        <v>3290</v>
      </c>
      <c r="H380" s="125"/>
      <c r="I380" s="125"/>
      <c r="J380" s="132"/>
      <c r="K380" s="130"/>
      <c r="L380" s="129"/>
      <c r="M380" s="127" t="s">
        <v>758</v>
      </c>
      <c r="N380" s="127" t="s">
        <v>2520</v>
      </c>
      <c r="O380" s="127" t="s">
        <v>1427</v>
      </c>
      <c r="P380" s="127" t="s">
        <v>1554</v>
      </c>
      <c r="Q380" s="127">
        <v>0</v>
      </c>
      <c r="R380" s="127">
        <v>0</v>
      </c>
      <c r="S380" s="127">
        <v>0</v>
      </c>
      <c r="T380" s="127">
        <v>2</v>
      </c>
      <c r="U380" s="127" t="s">
        <v>806</v>
      </c>
      <c r="V380" s="127" t="s">
        <v>356</v>
      </c>
      <c r="W380" s="127">
        <v>0</v>
      </c>
      <c r="X380" s="127">
        <v>0</v>
      </c>
      <c r="Y380" s="127">
        <v>0</v>
      </c>
      <c r="Z380" s="127" t="s">
        <v>1568</v>
      </c>
      <c r="AA380" s="127" t="s">
        <v>2510</v>
      </c>
      <c r="AB380" s="131" t="s">
        <v>1235</v>
      </c>
      <c r="AC380" s="127" t="s">
        <v>2024</v>
      </c>
      <c r="AD380" s="131" t="s">
        <v>841</v>
      </c>
      <c r="AE380" s="131" t="e">
        <v>#N/A</v>
      </c>
      <c r="AF380" s="131" t="e">
        <v>#N/A</v>
      </c>
      <c r="AG380" s="131" t="e">
        <v>#REF!</v>
      </c>
    </row>
    <row r="381" spans="1:33" s="131" customFormat="1" ht="18" customHeight="1" x14ac:dyDescent="0.25">
      <c r="A381" s="125">
        <v>380</v>
      </c>
      <c r="B381" s="126" t="s">
        <v>371</v>
      </c>
      <c r="C381" s="126" t="s">
        <v>2955</v>
      </c>
      <c r="D381" s="126" t="s">
        <v>2950</v>
      </c>
      <c r="E381" s="127" t="s">
        <v>841</v>
      </c>
      <c r="F381" s="128"/>
      <c r="G381" s="128" t="s">
        <v>3290</v>
      </c>
      <c r="H381" s="125"/>
      <c r="I381" s="125"/>
      <c r="J381" s="132" t="s">
        <v>2520</v>
      </c>
      <c r="K381" s="130"/>
      <c r="L381" s="129"/>
      <c r="M381" s="127" t="s">
        <v>772</v>
      </c>
      <c r="N381" s="127" t="s">
        <v>2520</v>
      </c>
      <c r="O381" s="127" t="s">
        <v>1427</v>
      </c>
      <c r="P381" s="127">
        <v>0</v>
      </c>
      <c r="Q381" s="127">
        <v>0</v>
      </c>
      <c r="R381" s="127">
        <v>0</v>
      </c>
      <c r="S381" s="127">
        <v>0</v>
      </c>
      <c r="T381" s="127">
        <v>2</v>
      </c>
      <c r="U381" s="127" t="s">
        <v>804</v>
      </c>
      <c r="V381" s="127" t="s">
        <v>371</v>
      </c>
      <c r="W381" s="127" t="s">
        <v>1511</v>
      </c>
      <c r="X381" s="127" t="s">
        <v>371</v>
      </c>
      <c r="Y381" s="127" t="s">
        <v>1574</v>
      </c>
      <c r="Z381" s="127" t="s">
        <v>1568</v>
      </c>
      <c r="AA381" s="127" t="s">
        <v>2510</v>
      </c>
      <c r="AB381" s="131" t="s">
        <v>1236</v>
      </c>
      <c r="AC381" s="127" t="s">
        <v>2025</v>
      </c>
      <c r="AD381" s="131" t="s">
        <v>841</v>
      </c>
      <c r="AE381" s="131" t="e">
        <v>#N/A</v>
      </c>
      <c r="AF381" s="131" t="e">
        <v>#N/A</v>
      </c>
      <c r="AG381" s="131" t="e">
        <v>#REF!</v>
      </c>
    </row>
    <row r="382" spans="1:33" s="131" customFormat="1" ht="18" customHeight="1" x14ac:dyDescent="0.25">
      <c r="A382" s="125">
        <v>381</v>
      </c>
      <c r="B382" s="126" t="s">
        <v>360</v>
      </c>
      <c r="C382" s="126" t="s">
        <v>2956</v>
      </c>
      <c r="D382" s="126" t="s">
        <v>2950</v>
      </c>
      <c r="E382" s="127" t="s">
        <v>841</v>
      </c>
      <c r="F382" s="128" t="s">
        <v>2411</v>
      </c>
      <c r="G382" s="128" t="s">
        <v>3289</v>
      </c>
      <c r="H382" s="125"/>
      <c r="I382" s="125"/>
      <c r="J382" s="132"/>
      <c r="K382" s="130"/>
      <c r="L382" s="129"/>
      <c r="M382" s="127" t="s">
        <v>758</v>
      </c>
      <c r="N382" s="127" t="s">
        <v>765</v>
      </c>
      <c r="O382" s="127" t="s">
        <v>1516</v>
      </c>
      <c r="P382" s="127" t="s">
        <v>812</v>
      </c>
      <c r="Q382" s="127">
        <v>0</v>
      </c>
      <c r="R382" s="127">
        <v>0</v>
      </c>
      <c r="S382" s="127">
        <v>0</v>
      </c>
      <c r="T382" s="127">
        <v>0</v>
      </c>
      <c r="U382" s="127">
        <v>0</v>
      </c>
      <c r="V382" s="127">
        <v>0</v>
      </c>
      <c r="W382" s="127">
        <v>0</v>
      </c>
      <c r="X382" s="127">
        <v>0</v>
      </c>
      <c r="Y382" s="127">
        <v>0</v>
      </c>
      <c r="Z382" s="127">
        <v>0</v>
      </c>
      <c r="AA382" s="127" t="s">
        <v>2511</v>
      </c>
      <c r="AB382" s="131" t="s">
        <v>1237</v>
      </c>
      <c r="AC382" s="127" t="s">
        <v>2287</v>
      </c>
      <c r="AD382" s="131" t="s">
        <v>841</v>
      </c>
      <c r="AE382" s="131" t="e">
        <v>#N/A</v>
      </c>
      <c r="AF382" s="131" t="e">
        <v>#N/A</v>
      </c>
      <c r="AG382" s="131" t="e">
        <v>#REF!</v>
      </c>
    </row>
    <row r="383" spans="1:33" s="131" customFormat="1" ht="18" customHeight="1" x14ac:dyDescent="0.25">
      <c r="A383" s="125">
        <v>382</v>
      </c>
      <c r="B383" s="126" t="s">
        <v>353</v>
      </c>
      <c r="C383" s="126" t="s">
        <v>2957</v>
      </c>
      <c r="D383" s="126" t="s">
        <v>2943</v>
      </c>
      <c r="E383" s="127" t="s">
        <v>339</v>
      </c>
      <c r="F383" s="128" t="s">
        <v>2411</v>
      </c>
      <c r="G383" s="128" t="s">
        <v>3290</v>
      </c>
      <c r="H383" s="125"/>
      <c r="I383" s="125" t="s">
        <v>2453</v>
      </c>
      <c r="J383" s="132"/>
      <c r="K383" s="130"/>
      <c r="L383" s="129"/>
      <c r="M383" s="127" t="s">
        <v>759</v>
      </c>
      <c r="N383" s="127" t="s">
        <v>770</v>
      </c>
      <c r="O383" s="127" t="s">
        <v>1553</v>
      </c>
      <c r="P383" s="127" t="s">
        <v>1554</v>
      </c>
      <c r="Q383" s="127">
        <v>2</v>
      </c>
      <c r="R383" s="127" t="s">
        <v>1512</v>
      </c>
      <c r="S383" s="127" t="s">
        <v>353</v>
      </c>
      <c r="T383" s="127">
        <v>0</v>
      </c>
      <c r="U383" s="127">
        <v>0</v>
      </c>
      <c r="V383" s="127">
        <v>0</v>
      </c>
      <c r="W383" s="127">
        <v>0</v>
      </c>
      <c r="X383" s="127">
        <v>0</v>
      </c>
      <c r="Y383" s="127">
        <v>0</v>
      </c>
      <c r="Z383" s="127" t="s">
        <v>1568</v>
      </c>
      <c r="AA383" s="127" t="s">
        <v>2510</v>
      </c>
      <c r="AB383" s="131" t="s">
        <v>1238</v>
      </c>
      <c r="AC383" s="127" t="s">
        <v>2026</v>
      </c>
      <c r="AD383" s="131" t="s">
        <v>339</v>
      </c>
      <c r="AE383" s="131" t="e">
        <v>#N/A</v>
      </c>
      <c r="AF383" s="131" t="e">
        <v>#N/A</v>
      </c>
      <c r="AG383" s="131" t="e">
        <v>#REF!</v>
      </c>
    </row>
    <row r="384" spans="1:33" s="131" customFormat="1" ht="18" customHeight="1" x14ac:dyDescent="0.25">
      <c r="A384" s="125">
        <v>383</v>
      </c>
      <c r="B384" s="126" t="s">
        <v>368</v>
      </c>
      <c r="C384" s="126" t="s">
        <v>2958</v>
      </c>
      <c r="D384" s="126" t="s">
        <v>2943</v>
      </c>
      <c r="E384" s="127" t="s">
        <v>339</v>
      </c>
      <c r="F384" s="128" t="s">
        <v>2521</v>
      </c>
      <c r="G384" s="128" t="s">
        <v>3290</v>
      </c>
      <c r="H384" s="125"/>
      <c r="I384" s="125"/>
      <c r="J384" s="132" t="s">
        <v>2520</v>
      </c>
      <c r="K384" s="130"/>
      <c r="L384" s="129"/>
      <c r="M384" s="127" t="s">
        <v>758</v>
      </c>
      <c r="N384" s="127" t="s">
        <v>2520</v>
      </c>
      <c r="O384" s="127" t="s">
        <v>1553</v>
      </c>
      <c r="P384" s="127" t="s">
        <v>1554</v>
      </c>
      <c r="Q384" s="127">
        <v>2</v>
      </c>
      <c r="R384" s="127" t="s">
        <v>1512</v>
      </c>
      <c r="S384" s="127" t="s">
        <v>368</v>
      </c>
      <c r="T384" s="127">
        <v>0</v>
      </c>
      <c r="U384" s="127">
        <v>0</v>
      </c>
      <c r="V384" s="127">
        <v>0</v>
      </c>
      <c r="W384" s="127" t="s">
        <v>1513</v>
      </c>
      <c r="X384" s="127" t="s">
        <v>368</v>
      </c>
      <c r="Y384" s="127" t="s">
        <v>1571</v>
      </c>
      <c r="Z384" s="127" t="s">
        <v>1568</v>
      </c>
      <c r="AA384" s="127" t="s">
        <v>2510</v>
      </c>
      <c r="AB384" s="131" t="s">
        <v>1239</v>
      </c>
      <c r="AC384" s="127" t="s">
        <v>2027</v>
      </c>
      <c r="AD384" s="131" t="s">
        <v>339</v>
      </c>
      <c r="AE384" s="131" t="e">
        <v>#N/A</v>
      </c>
      <c r="AF384" s="131" t="e">
        <v>#N/A</v>
      </c>
      <c r="AG384" s="131" t="e">
        <v>#REF!</v>
      </c>
    </row>
    <row r="385" spans="1:33" s="131" customFormat="1" ht="18" customHeight="1" x14ac:dyDescent="0.25">
      <c r="A385" s="125">
        <v>384</v>
      </c>
      <c r="B385" s="126" t="s">
        <v>369</v>
      </c>
      <c r="C385" s="126" t="s">
        <v>2959</v>
      </c>
      <c r="D385" s="126" t="s">
        <v>2943</v>
      </c>
      <c r="E385" s="127" t="s">
        <v>339</v>
      </c>
      <c r="F385" s="128" t="s">
        <v>2411</v>
      </c>
      <c r="G385" s="128" t="s">
        <v>3289</v>
      </c>
      <c r="H385" s="125"/>
      <c r="I385" s="125"/>
      <c r="J385" s="132" t="s">
        <v>2520</v>
      </c>
      <c r="K385" s="130"/>
      <c r="L385" s="129"/>
      <c r="M385" s="127" t="s">
        <v>779</v>
      </c>
      <c r="N385" s="127" t="s">
        <v>2520</v>
      </c>
      <c r="O385" s="127" t="s">
        <v>1512</v>
      </c>
      <c r="P385" s="127" t="s">
        <v>812</v>
      </c>
      <c r="Q385" s="127">
        <v>0</v>
      </c>
      <c r="R385" s="127">
        <v>0</v>
      </c>
      <c r="S385" s="127">
        <v>0</v>
      </c>
      <c r="T385" s="127">
        <v>0</v>
      </c>
      <c r="U385" s="127">
        <v>0</v>
      </c>
      <c r="V385" s="127">
        <v>0</v>
      </c>
      <c r="W385" s="127">
        <v>0</v>
      </c>
      <c r="X385" s="127">
        <v>0</v>
      </c>
      <c r="Y385" s="127">
        <v>0</v>
      </c>
      <c r="Z385" s="127">
        <v>0</v>
      </c>
      <c r="AA385" s="127" t="s">
        <v>2510</v>
      </c>
      <c r="AB385" s="131" t="s">
        <v>1240</v>
      </c>
      <c r="AC385" s="127" t="s">
        <v>2028</v>
      </c>
      <c r="AD385" s="131" t="s">
        <v>339</v>
      </c>
      <c r="AE385" s="131" t="e">
        <v>#N/A</v>
      </c>
      <c r="AF385" s="131" t="e">
        <v>#N/A</v>
      </c>
      <c r="AG385" s="131" t="e">
        <v>#REF!</v>
      </c>
    </row>
    <row r="386" spans="1:33" s="131" customFormat="1" ht="18" customHeight="1" x14ac:dyDescent="0.25">
      <c r="A386" s="125">
        <v>385</v>
      </c>
      <c r="B386" s="126" t="s">
        <v>392</v>
      </c>
      <c r="C386" s="126" t="s">
        <v>2960</v>
      </c>
      <c r="D386" s="126" t="s">
        <v>2950</v>
      </c>
      <c r="E386" s="127" t="s">
        <v>841</v>
      </c>
      <c r="F386" s="128" t="s">
        <v>2411</v>
      </c>
      <c r="G386" s="128" t="s">
        <v>3290</v>
      </c>
      <c r="H386" s="125" t="s">
        <v>1732</v>
      </c>
      <c r="I386" s="125"/>
      <c r="J386" s="129"/>
      <c r="K386" s="130"/>
      <c r="L386" s="129"/>
      <c r="M386" s="127" t="s">
        <v>761</v>
      </c>
      <c r="N386" s="127" t="s">
        <v>1639</v>
      </c>
      <c r="O386" s="127" t="s">
        <v>1553</v>
      </c>
      <c r="P386" s="127" t="s">
        <v>1554</v>
      </c>
      <c r="Q386" s="127">
        <v>2</v>
      </c>
      <c r="R386" s="127" t="s">
        <v>804</v>
      </c>
      <c r="S386" s="127" t="s">
        <v>392</v>
      </c>
      <c r="T386" s="127">
        <v>0</v>
      </c>
      <c r="U386" s="127">
        <v>0</v>
      </c>
      <c r="V386" s="127">
        <v>0</v>
      </c>
      <c r="W386" s="127">
        <v>0</v>
      </c>
      <c r="X386" s="127">
        <v>0</v>
      </c>
      <c r="Y386" s="127">
        <v>0</v>
      </c>
      <c r="Z386" s="127" t="s">
        <v>1568</v>
      </c>
      <c r="AA386" s="127" t="s">
        <v>2511</v>
      </c>
      <c r="AB386" s="131" t="s">
        <v>1241</v>
      </c>
      <c r="AC386" s="127" t="s">
        <v>2029</v>
      </c>
      <c r="AD386" s="131" t="s">
        <v>841</v>
      </c>
      <c r="AE386" s="131" t="e">
        <v>#N/A</v>
      </c>
      <c r="AF386" s="131" t="e">
        <v>#N/A</v>
      </c>
      <c r="AG386" s="131" t="e">
        <v>#REF!</v>
      </c>
    </row>
    <row r="387" spans="1:33" s="131" customFormat="1" ht="18" customHeight="1" x14ac:dyDescent="0.25">
      <c r="A387" s="125">
        <v>386</v>
      </c>
      <c r="B387" s="126" t="s">
        <v>364</v>
      </c>
      <c r="C387" s="126" t="s">
        <v>2961</v>
      </c>
      <c r="D387" s="126" t="s">
        <v>2938</v>
      </c>
      <c r="E387" s="127" t="s">
        <v>339</v>
      </c>
      <c r="F387" s="128"/>
      <c r="G387" s="128" t="s">
        <v>3290</v>
      </c>
      <c r="H387" s="125"/>
      <c r="I387" s="125"/>
      <c r="J387" s="132" t="s">
        <v>2520</v>
      </c>
      <c r="K387" s="130"/>
      <c r="L387" s="129"/>
      <c r="M387" s="127" t="s">
        <v>758</v>
      </c>
      <c r="N387" s="127" t="s">
        <v>2520</v>
      </c>
      <c r="O387" s="127" t="s">
        <v>1553</v>
      </c>
      <c r="P387" s="127">
        <v>0</v>
      </c>
      <c r="Q387" s="127">
        <v>2</v>
      </c>
      <c r="R387" s="127" t="s">
        <v>1513</v>
      </c>
      <c r="S387" s="127" t="s">
        <v>364</v>
      </c>
      <c r="T387" s="127">
        <v>0</v>
      </c>
      <c r="U387" s="127">
        <v>0</v>
      </c>
      <c r="V387" s="127">
        <v>0</v>
      </c>
      <c r="W387" s="127" t="s">
        <v>1513</v>
      </c>
      <c r="X387" s="127" t="s">
        <v>364</v>
      </c>
      <c r="Y387" s="127" t="s">
        <v>1436</v>
      </c>
      <c r="Z387" s="127" t="s">
        <v>1568</v>
      </c>
      <c r="AA387" s="127" t="s">
        <v>2510</v>
      </c>
      <c r="AB387" s="131" t="s">
        <v>1242</v>
      </c>
      <c r="AC387" s="127" t="s">
        <v>2030</v>
      </c>
      <c r="AD387" s="131" t="s">
        <v>339</v>
      </c>
      <c r="AE387" s="131" t="e">
        <v>#N/A</v>
      </c>
      <c r="AF387" s="131" t="e">
        <v>#N/A</v>
      </c>
      <c r="AG387" s="131" t="e">
        <v>#REF!</v>
      </c>
    </row>
    <row r="388" spans="1:33" s="131" customFormat="1" ht="18" customHeight="1" x14ac:dyDescent="0.25">
      <c r="A388" s="125">
        <v>387</v>
      </c>
      <c r="B388" s="126" t="s">
        <v>355</v>
      </c>
      <c r="C388" s="126" t="s">
        <v>2962</v>
      </c>
      <c r="D388" s="126" t="s">
        <v>2943</v>
      </c>
      <c r="E388" s="127" t="s">
        <v>339</v>
      </c>
      <c r="F388" s="128" t="s">
        <v>2521</v>
      </c>
      <c r="G388" s="128" t="s">
        <v>3290</v>
      </c>
      <c r="H388" s="125"/>
      <c r="I388" s="125"/>
      <c r="J388" s="132" t="s">
        <v>2520</v>
      </c>
      <c r="K388" s="130"/>
      <c r="L388" s="129"/>
      <c r="M388" s="127" t="s">
        <v>758</v>
      </c>
      <c r="N388" s="127" t="s">
        <v>2520</v>
      </c>
      <c r="O388" s="127" t="s">
        <v>1553</v>
      </c>
      <c r="P388" s="127" t="s">
        <v>1554</v>
      </c>
      <c r="Q388" s="127">
        <v>2</v>
      </c>
      <c r="R388" s="127" t="s">
        <v>1512</v>
      </c>
      <c r="S388" s="127" t="s">
        <v>355</v>
      </c>
      <c r="T388" s="127">
        <v>0</v>
      </c>
      <c r="U388" s="127">
        <v>0</v>
      </c>
      <c r="V388" s="127">
        <v>0</v>
      </c>
      <c r="W388" s="127" t="s">
        <v>1470</v>
      </c>
      <c r="X388" s="127" t="s">
        <v>355</v>
      </c>
      <c r="Y388" s="127" t="s">
        <v>1571</v>
      </c>
      <c r="Z388" s="127" t="s">
        <v>1568</v>
      </c>
      <c r="AA388" s="127" t="s">
        <v>2510</v>
      </c>
      <c r="AB388" s="131" t="s">
        <v>1243</v>
      </c>
      <c r="AC388" s="127" t="s">
        <v>2031</v>
      </c>
      <c r="AD388" s="131" t="s">
        <v>339</v>
      </c>
      <c r="AE388" s="131" t="e">
        <v>#N/A</v>
      </c>
      <c r="AF388" s="131" t="e">
        <v>#N/A</v>
      </c>
      <c r="AG388" s="131" t="e">
        <v>#REF!</v>
      </c>
    </row>
    <row r="389" spans="1:33" s="131" customFormat="1" ht="15.75" x14ac:dyDescent="0.25">
      <c r="A389" s="125">
        <v>388</v>
      </c>
      <c r="B389" s="126" t="s">
        <v>357</v>
      </c>
      <c r="C389" s="126" t="s">
        <v>2963</v>
      </c>
      <c r="D389" s="126" t="s">
        <v>2950</v>
      </c>
      <c r="E389" s="127" t="s">
        <v>841</v>
      </c>
      <c r="F389" s="128" t="s">
        <v>2411</v>
      </c>
      <c r="G389" s="128" t="s">
        <v>3289</v>
      </c>
      <c r="H389" s="125"/>
      <c r="I389" s="125"/>
      <c r="J389" s="132"/>
      <c r="K389" s="130"/>
      <c r="L389" s="129"/>
      <c r="M389" s="127" t="s">
        <v>758</v>
      </c>
      <c r="N389" s="127" t="s">
        <v>765</v>
      </c>
      <c r="O389" s="127" t="s">
        <v>1515</v>
      </c>
      <c r="P389" s="127" t="s">
        <v>812</v>
      </c>
      <c r="Q389" s="127">
        <v>0</v>
      </c>
      <c r="R389" s="127">
        <v>0</v>
      </c>
      <c r="S389" s="127">
        <v>0</v>
      </c>
      <c r="T389" s="127">
        <v>0</v>
      </c>
      <c r="U389" s="127">
        <v>0</v>
      </c>
      <c r="V389" s="127">
        <v>0</v>
      </c>
      <c r="W389" s="127">
        <v>0</v>
      </c>
      <c r="X389" s="127">
        <v>0</v>
      </c>
      <c r="Y389" s="127">
        <v>0</v>
      </c>
      <c r="Z389" s="127">
        <v>0</v>
      </c>
      <c r="AA389" s="127" t="s">
        <v>2510</v>
      </c>
      <c r="AB389" s="131" t="s">
        <v>1244</v>
      </c>
      <c r="AC389" s="127" t="s">
        <v>2032</v>
      </c>
      <c r="AD389" s="131" t="s">
        <v>841</v>
      </c>
      <c r="AE389" s="131" t="e">
        <v>#N/A</v>
      </c>
      <c r="AF389" s="131" t="e">
        <v>#N/A</v>
      </c>
      <c r="AG389" s="131" t="e">
        <v>#REF!</v>
      </c>
    </row>
    <row r="390" spans="1:33" s="131" customFormat="1" ht="18" customHeight="1" x14ac:dyDescent="0.25">
      <c r="A390" s="125">
        <v>389</v>
      </c>
      <c r="B390" s="126" t="s">
        <v>361</v>
      </c>
      <c r="C390" s="126" t="s">
        <v>2964</v>
      </c>
      <c r="D390" s="126" t="s">
        <v>2950</v>
      </c>
      <c r="E390" s="127" t="s">
        <v>841</v>
      </c>
      <c r="F390" s="128" t="s">
        <v>2411</v>
      </c>
      <c r="G390" s="128" t="s">
        <v>3289</v>
      </c>
      <c r="H390" s="125"/>
      <c r="I390" s="125"/>
      <c r="J390" s="132"/>
      <c r="K390" s="130"/>
      <c r="L390" s="129"/>
      <c r="M390" s="127" t="s">
        <v>758</v>
      </c>
      <c r="N390" s="127" t="s">
        <v>765</v>
      </c>
      <c r="O390" s="127" t="s">
        <v>807</v>
      </c>
      <c r="P390" s="127" t="s">
        <v>812</v>
      </c>
      <c r="Q390" s="127">
        <v>0</v>
      </c>
      <c r="R390" s="127">
        <v>0</v>
      </c>
      <c r="S390" s="127">
        <v>0</v>
      </c>
      <c r="T390" s="127">
        <v>0</v>
      </c>
      <c r="U390" s="127">
        <v>0</v>
      </c>
      <c r="V390" s="127">
        <v>0</v>
      </c>
      <c r="W390" s="127">
        <v>0</v>
      </c>
      <c r="X390" s="127">
        <v>0</v>
      </c>
      <c r="Y390" s="127">
        <v>0</v>
      </c>
      <c r="Z390" s="127">
        <v>0</v>
      </c>
      <c r="AA390" s="127" t="s">
        <v>2511</v>
      </c>
      <c r="AB390" s="131" t="s">
        <v>1245</v>
      </c>
      <c r="AC390" s="127" t="s">
        <v>2033</v>
      </c>
      <c r="AD390" s="131" t="s">
        <v>841</v>
      </c>
      <c r="AE390" s="131" t="e">
        <v>#N/A</v>
      </c>
      <c r="AF390" s="131" t="e">
        <v>#N/A</v>
      </c>
      <c r="AG390" s="131" t="e">
        <v>#REF!</v>
      </c>
    </row>
    <row r="391" spans="1:33" s="131" customFormat="1" ht="18" customHeight="1" x14ac:dyDescent="0.25">
      <c r="A391" s="125">
        <v>390</v>
      </c>
      <c r="B391" s="126" t="s">
        <v>362</v>
      </c>
      <c r="C391" s="126" t="s">
        <v>2965</v>
      </c>
      <c r="D391" s="126" t="s">
        <v>2950</v>
      </c>
      <c r="E391" s="127" t="s">
        <v>841</v>
      </c>
      <c r="F391" s="128"/>
      <c r="G391" s="128" t="s">
        <v>3294</v>
      </c>
      <c r="H391" s="125"/>
      <c r="I391" s="125"/>
      <c r="J391" s="132" t="s">
        <v>2520</v>
      </c>
      <c r="K391" s="130"/>
      <c r="L391" s="129"/>
      <c r="M391" s="127" t="s">
        <v>758</v>
      </c>
      <c r="N391" s="127" t="s">
        <v>2520</v>
      </c>
      <c r="O391" s="127" t="s">
        <v>1553</v>
      </c>
      <c r="P391" s="127">
        <v>0</v>
      </c>
      <c r="Q391" s="127">
        <v>2</v>
      </c>
      <c r="R391" s="127" t="s">
        <v>807</v>
      </c>
      <c r="S391" s="127" t="s">
        <v>362</v>
      </c>
      <c r="T391" s="127">
        <v>0</v>
      </c>
      <c r="U391" s="127">
        <v>0</v>
      </c>
      <c r="V391" s="127">
        <v>0</v>
      </c>
      <c r="W391" s="127" t="s">
        <v>1449</v>
      </c>
      <c r="X391" s="127" t="s">
        <v>362</v>
      </c>
      <c r="Y391" s="127" t="s">
        <v>1436</v>
      </c>
      <c r="Z391" s="127" t="s">
        <v>1568</v>
      </c>
      <c r="AA391" s="127" t="s">
        <v>2510</v>
      </c>
      <c r="AB391" s="131" t="s">
        <v>1246</v>
      </c>
      <c r="AC391" s="127" t="s">
        <v>2034</v>
      </c>
      <c r="AD391" s="131" t="s">
        <v>841</v>
      </c>
      <c r="AE391" s="131" t="e">
        <v>#N/A</v>
      </c>
      <c r="AF391" s="131" t="e">
        <v>#N/A</v>
      </c>
      <c r="AG391" s="131" t="e">
        <v>#REF!</v>
      </c>
    </row>
    <row r="392" spans="1:33" s="131" customFormat="1" ht="18" customHeight="1" x14ac:dyDescent="0.25">
      <c r="A392" s="125">
        <v>391</v>
      </c>
      <c r="B392" s="126" t="s">
        <v>373</v>
      </c>
      <c r="C392" s="126" t="s">
        <v>2966</v>
      </c>
      <c r="D392" s="126" t="s">
        <v>2950</v>
      </c>
      <c r="E392" s="127" t="s">
        <v>841</v>
      </c>
      <c r="F392" s="128" t="s">
        <v>2521</v>
      </c>
      <c r="G392" s="128" t="s">
        <v>3290</v>
      </c>
      <c r="H392" s="125"/>
      <c r="I392" s="125"/>
      <c r="J392" s="132" t="s">
        <v>2520</v>
      </c>
      <c r="K392" s="130"/>
      <c r="L392" s="129"/>
      <c r="M392" s="127" t="s">
        <v>758</v>
      </c>
      <c r="N392" s="127" t="s">
        <v>2520</v>
      </c>
      <c r="O392" s="127" t="s">
        <v>1553</v>
      </c>
      <c r="P392" s="127" t="s">
        <v>1554</v>
      </c>
      <c r="Q392" s="127">
        <v>2</v>
      </c>
      <c r="R392" s="127" t="s">
        <v>804</v>
      </c>
      <c r="S392" s="127" t="s">
        <v>373</v>
      </c>
      <c r="T392" s="127">
        <v>0</v>
      </c>
      <c r="U392" s="127">
        <v>0</v>
      </c>
      <c r="V392" s="127">
        <v>0</v>
      </c>
      <c r="W392" s="127">
        <v>0</v>
      </c>
      <c r="X392" s="127">
        <v>0</v>
      </c>
      <c r="Y392" s="127">
        <v>0</v>
      </c>
      <c r="Z392" s="127" t="s">
        <v>1568</v>
      </c>
      <c r="AA392" s="127" t="s">
        <v>2510</v>
      </c>
      <c r="AB392" s="131" t="s">
        <v>1247</v>
      </c>
      <c r="AC392" s="127" t="s">
        <v>2035</v>
      </c>
      <c r="AD392" s="131" t="s">
        <v>841</v>
      </c>
      <c r="AE392" s="131" t="e">
        <v>#N/A</v>
      </c>
      <c r="AF392" s="131" t="e">
        <v>#N/A</v>
      </c>
      <c r="AG392" s="131" t="e">
        <v>#REF!</v>
      </c>
    </row>
    <row r="393" spans="1:33" s="131" customFormat="1" ht="18" customHeight="1" x14ac:dyDescent="0.25">
      <c r="A393" s="125">
        <v>392</v>
      </c>
      <c r="B393" s="126" t="s">
        <v>345</v>
      </c>
      <c r="C393" s="126" t="s">
        <v>2967</v>
      </c>
      <c r="D393" s="126" t="s">
        <v>2938</v>
      </c>
      <c r="E393" s="127" t="s">
        <v>841</v>
      </c>
      <c r="F393" s="128" t="s">
        <v>2411</v>
      </c>
      <c r="G393" s="128" t="s">
        <v>3289</v>
      </c>
      <c r="H393" s="125" t="s">
        <v>1002</v>
      </c>
      <c r="I393" s="125"/>
      <c r="J393" s="129"/>
      <c r="K393" s="130"/>
      <c r="L393" s="129"/>
      <c r="M393" s="127" t="s">
        <v>761</v>
      </c>
      <c r="N393" s="127" t="s">
        <v>1639</v>
      </c>
      <c r="O393" s="127" t="s">
        <v>1509</v>
      </c>
      <c r="P393" s="127" t="s">
        <v>812</v>
      </c>
      <c r="Q393" s="127">
        <v>0</v>
      </c>
      <c r="R393" s="127">
        <v>0</v>
      </c>
      <c r="S393" s="127">
        <v>0</v>
      </c>
      <c r="T393" s="127">
        <v>0</v>
      </c>
      <c r="U393" s="127">
        <v>0</v>
      </c>
      <c r="V393" s="127">
        <v>0</v>
      </c>
      <c r="W393" s="127">
        <v>0</v>
      </c>
      <c r="X393" s="127">
        <v>0</v>
      </c>
      <c r="Y393" s="127">
        <v>0</v>
      </c>
      <c r="Z393" s="127">
        <v>0</v>
      </c>
      <c r="AA393" s="127" t="s">
        <v>2511</v>
      </c>
      <c r="AB393" s="131" t="s">
        <v>1248</v>
      </c>
      <c r="AC393" s="127" t="s">
        <v>2036</v>
      </c>
      <c r="AD393" s="131" t="s">
        <v>841</v>
      </c>
      <c r="AE393" s="131" t="e">
        <v>#N/A</v>
      </c>
      <c r="AF393" s="131" t="e">
        <v>#N/A</v>
      </c>
      <c r="AG393" s="131" t="e">
        <v>#REF!</v>
      </c>
    </row>
    <row r="394" spans="1:33" s="131" customFormat="1" ht="18" customHeight="1" x14ac:dyDescent="0.25">
      <c r="A394" s="125">
        <v>393</v>
      </c>
      <c r="B394" s="126" t="s">
        <v>367</v>
      </c>
      <c r="C394" s="126" t="s">
        <v>2968</v>
      </c>
      <c r="D394" s="126" t="s">
        <v>2938</v>
      </c>
      <c r="E394" s="127" t="s">
        <v>340</v>
      </c>
      <c r="F394" s="128" t="s">
        <v>2521</v>
      </c>
      <c r="G394" s="128" t="s">
        <v>3290</v>
      </c>
      <c r="H394" s="125"/>
      <c r="I394" s="125"/>
      <c r="J394" s="132" t="s">
        <v>2520</v>
      </c>
      <c r="K394" s="130"/>
      <c r="L394" s="129"/>
      <c r="M394" s="127" t="s">
        <v>758</v>
      </c>
      <c r="N394" s="127" t="s">
        <v>2520</v>
      </c>
      <c r="O394" s="127" t="s">
        <v>1553</v>
      </c>
      <c r="P394" s="127" t="s">
        <v>1554</v>
      </c>
      <c r="Q394" s="127">
        <v>2</v>
      </c>
      <c r="R394" s="127" t="s">
        <v>1514</v>
      </c>
      <c r="S394" s="127" t="s">
        <v>367</v>
      </c>
      <c r="T394" s="127">
        <v>0</v>
      </c>
      <c r="U394" s="127">
        <v>0</v>
      </c>
      <c r="V394" s="127">
        <v>0</v>
      </c>
      <c r="W394" s="127" t="s">
        <v>1472</v>
      </c>
      <c r="X394" s="127" t="s">
        <v>367</v>
      </c>
      <c r="Y394" s="127" t="s">
        <v>1571</v>
      </c>
      <c r="Z394" s="127" t="s">
        <v>1568</v>
      </c>
      <c r="AA394" s="127" t="s">
        <v>2510</v>
      </c>
      <c r="AB394" s="131" t="s">
        <v>1250</v>
      </c>
      <c r="AC394" s="127" t="s">
        <v>2379</v>
      </c>
      <c r="AD394" s="131" t="s">
        <v>340</v>
      </c>
      <c r="AE394" s="131" t="e">
        <v>#N/A</v>
      </c>
      <c r="AF394" s="131" t="e">
        <v>#N/A</v>
      </c>
      <c r="AG394" s="131" t="e">
        <v>#REF!</v>
      </c>
    </row>
    <row r="395" spans="1:33" s="131" customFormat="1" ht="18" customHeight="1" x14ac:dyDescent="0.25">
      <c r="A395" s="125">
        <v>394</v>
      </c>
      <c r="B395" s="126" t="s">
        <v>346</v>
      </c>
      <c r="C395" s="126" t="s">
        <v>2969</v>
      </c>
      <c r="D395" s="126" t="s">
        <v>2938</v>
      </c>
      <c r="E395" s="127" t="s">
        <v>841</v>
      </c>
      <c r="F395" s="128"/>
      <c r="G395" s="128" t="s">
        <v>3290</v>
      </c>
      <c r="H395" s="125"/>
      <c r="I395" s="125"/>
      <c r="J395" s="132" t="s">
        <v>2520</v>
      </c>
      <c r="K395" s="130"/>
      <c r="L395" s="129"/>
      <c r="M395" s="127" t="s">
        <v>774</v>
      </c>
      <c r="N395" s="127" t="s">
        <v>2520</v>
      </c>
      <c r="O395" s="127" t="s">
        <v>1553</v>
      </c>
      <c r="P395" s="127">
        <v>0</v>
      </c>
      <c r="Q395" s="127">
        <v>2</v>
      </c>
      <c r="R395" s="127" t="s">
        <v>802</v>
      </c>
      <c r="S395" s="127" t="s">
        <v>346</v>
      </c>
      <c r="T395" s="127">
        <v>0</v>
      </c>
      <c r="U395" s="127">
        <v>0</v>
      </c>
      <c r="V395" s="127">
        <v>0</v>
      </c>
      <c r="W395" s="127" t="s">
        <v>806</v>
      </c>
      <c r="X395" s="127" t="s">
        <v>346</v>
      </c>
      <c r="Y395" s="127" t="s">
        <v>1570</v>
      </c>
      <c r="Z395" s="127">
        <v>0</v>
      </c>
      <c r="AA395" s="127" t="s">
        <v>2511</v>
      </c>
      <c r="AB395" s="131" t="s">
        <v>839</v>
      </c>
      <c r="AC395" s="127" t="s">
        <v>2037</v>
      </c>
      <c r="AD395" s="131" t="s">
        <v>841</v>
      </c>
      <c r="AE395" s="131" t="e">
        <v>#N/A</v>
      </c>
      <c r="AF395" s="131" t="e">
        <v>#N/A</v>
      </c>
      <c r="AG395" s="131" t="e">
        <v>#REF!</v>
      </c>
    </row>
    <row r="396" spans="1:33" s="131" customFormat="1" ht="18" customHeight="1" x14ac:dyDescent="0.25">
      <c r="A396" s="125">
        <v>395</v>
      </c>
      <c r="B396" s="126" t="s">
        <v>365</v>
      </c>
      <c r="C396" s="126" t="s">
        <v>2970</v>
      </c>
      <c r="D396" s="126" t="s">
        <v>2938</v>
      </c>
      <c r="E396" s="127" t="s">
        <v>340</v>
      </c>
      <c r="F396" s="128" t="s">
        <v>2411</v>
      </c>
      <c r="G396" s="128" t="s">
        <v>3290</v>
      </c>
      <c r="H396" s="125" t="s">
        <v>1732</v>
      </c>
      <c r="I396" s="125"/>
      <c r="J396" s="129"/>
      <c r="K396" s="130"/>
      <c r="L396" s="129"/>
      <c r="M396" s="127" t="s">
        <v>761</v>
      </c>
      <c r="N396" s="127" t="s">
        <v>1639</v>
      </c>
      <c r="O396" s="127" t="s">
        <v>1553</v>
      </c>
      <c r="P396" s="127" t="s">
        <v>1554</v>
      </c>
      <c r="Q396" s="127">
        <v>2</v>
      </c>
      <c r="R396" s="127" t="s">
        <v>802</v>
      </c>
      <c r="S396" s="127" t="s">
        <v>365</v>
      </c>
      <c r="T396" s="127">
        <v>0</v>
      </c>
      <c r="U396" s="127">
        <v>0</v>
      </c>
      <c r="V396" s="127">
        <v>0</v>
      </c>
      <c r="W396" s="127">
        <v>0</v>
      </c>
      <c r="X396" s="127">
        <v>0</v>
      </c>
      <c r="Y396" s="127">
        <v>0</v>
      </c>
      <c r="Z396" s="127" t="s">
        <v>1568</v>
      </c>
      <c r="AA396" s="127" t="s">
        <v>2511</v>
      </c>
      <c r="AB396" s="131" t="s">
        <v>1251</v>
      </c>
      <c r="AC396" s="127" t="s">
        <v>2038</v>
      </c>
      <c r="AD396" s="131" t="s">
        <v>340</v>
      </c>
      <c r="AE396" s="131" t="e">
        <v>#N/A</v>
      </c>
      <c r="AF396" s="131" t="e">
        <v>#N/A</v>
      </c>
      <c r="AG396" s="131" t="e">
        <v>#REF!</v>
      </c>
    </row>
    <row r="397" spans="1:33" s="131" customFormat="1" ht="18" customHeight="1" x14ac:dyDescent="0.25">
      <c r="A397" s="125">
        <v>396</v>
      </c>
      <c r="B397" s="126" t="s">
        <v>376</v>
      </c>
      <c r="C397" s="126" t="s">
        <v>2971</v>
      </c>
      <c r="D397" s="126" t="s">
        <v>2943</v>
      </c>
      <c r="E397" s="127" t="s">
        <v>339</v>
      </c>
      <c r="F397" s="128" t="s">
        <v>2411</v>
      </c>
      <c r="G397" s="128" t="s">
        <v>3289</v>
      </c>
      <c r="H397" s="125" t="s">
        <v>2391</v>
      </c>
      <c r="I397" s="125"/>
      <c r="J397" s="129"/>
      <c r="K397" s="130"/>
      <c r="L397" s="129"/>
      <c r="M397" s="127" t="s">
        <v>761</v>
      </c>
      <c r="N397" s="127" t="s">
        <v>1639</v>
      </c>
      <c r="O397" s="127" t="s">
        <v>1513</v>
      </c>
      <c r="P397" s="127" t="s">
        <v>812</v>
      </c>
      <c r="Q397" s="127">
        <v>0</v>
      </c>
      <c r="R397" s="127">
        <v>0</v>
      </c>
      <c r="S397" s="127">
        <v>0</v>
      </c>
      <c r="T397" s="127">
        <v>0</v>
      </c>
      <c r="U397" s="127">
        <v>0</v>
      </c>
      <c r="V397" s="127">
        <v>0</v>
      </c>
      <c r="W397" s="127">
        <v>0</v>
      </c>
      <c r="X397" s="127">
        <v>0</v>
      </c>
      <c r="Y397" s="127">
        <v>0</v>
      </c>
      <c r="Z397" s="127">
        <v>0</v>
      </c>
      <c r="AA397" s="127" t="s">
        <v>2510</v>
      </c>
      <c r="AB397" s="131" t="s">
        <v>1253</v>
      </c>
      <c r="AC397" s="127" t="s">
        <v>2040</v>
      </c>
      <c r="AD397" s="131" t="s">
        <v>339</v>
      </c>
      <c r="AE397" s="131" t="e">
        <v>#N/A</v>
      </c>
      <c r="AF397" s="131" t="e">
        <v>#N/A</v>
      </c>
      <c r="AG397" s="131" t="e">
        <v>#REF!</v>
      </c>
    </row>
    <row r="398" spans="1:33" s="131" customFormat="1" ht="18" customHeight="1" x14ac:dyDescent="0.25">
      <c r="A398" s="125">
        <v>397</v>
      </c>
      <c r="B398" s="126" t="s">
        <v>374</v>
      </c>
      <c r="C398" s="126" t="s">
        <v>2972</v>
      </c>
      <c r="D398" s="126" t="s">
        <v>2938</v>
      </c>
      <c r="E398" s="127" t="s">
        <v>340</v>
      </c>
      <c r="F398" s="128"/>
      <c r="G398" s="128" t="s">
        <v>3290</v>
      </c>
      <c r="H398" s="125" t="s">
        <v>986</v>
      </c>
      <c r="I398" s="125"/>
      <c r="J398" s="129"/>
      <c r="K398" s="130"/>
      <c r="L398" s="129"/>
      <c r="M398" s="127" t="s">
        <v>761</v>
      </c>
      <c r="N398" s="127" t="s">
        <v>1639</v>
      </c>
      <c r="O398" s="127" t="s">
        <v>1427</v>
      </c>
      <c r="P398" s="127">
        <v>0</v>
      </c>
      <c r="Q398" s="127">
        <v>0</v>
      </c>
      <c r="R398" s="127">
        <v>0</v>
      </c>
      <c r="S398" s="127">
        <v>0</v>
      </c>
      <c r="T398" s="127">
        <v>2</v>
      </c>
      <c r="U398" s="127" t="s">
        <v>1587</v>
      </c>
      <c r="V398" s="127" t="s">
        <v>374</v>
      </c>
      <c r="W398" s="127" t="s">
        <v>1513</v>
      </c>
      <c r="X398" s="127" t="s">
        <v>374</v>
      </c>
      <c r="Y398" s="127" t="s">
        <v>1461</v>
      </c>
      <c r="Z398" s="127" t="s">
        <v>1568</v>
      </c>
      <c r="AA398" s="127" t="s">
        <v>2510</v>
      </c>
      <c r="AB398" s="131" t="s">
        <v>1254</v>
      </c>
      <c r="AC398" s="127" t="s">
        <v>2039</v>
      </c>
      <c r="AD398" s="131" t="s">
        <v>340</v>
      </c>
      <c r="AE398" s="131" t="e">
        <v>#N/A</v>
      </c>
      <c r="AF398" s="131" t="e">
        <v>#N/A</v>
      </c>
      <c r="AG398" s="131" t="e">
        <v>#REF!</v>
      </c>
    </row>
    <row r="399" spans="1:33" s="131" customFormat="1" ht="18" customHeight="1" x14ac:dyDescent="0.25">
      <c r="A399" s="125">
        <v>398</v>
      </c>
      <c r="B399" s="126" t="s">
        <v>375</v>
      </c>
      <c r="C399" s="126" t="s">
        <v>2973</v>
      </c>
      <c r="D399" s="126" t="s">
        <v>2950</v>
      </c>
      <c r="E399" s="127" t="s">
        <v>841</v>
      </c>
      <c r="F399" s="128" t="s">
        <v>2410</v>
      </c>
      <c r="G399" s="128" t="s">
        <v>3294</v>
      </c>
      <c r="H399" s="125" t="s">
        <v>1086</v>
      </c>
      <c r="I399" s="125"/>
      <c r="J399" s="129"/>
      <c r="K399" s="130" t="s">
        <v>372</v>
      </c>
      <c r="L399" s="129"/>
      <c r="M399" s="127" t="s">
        <v>761</v>
      </c>
      <c r="N399" s="127" t="s">
        <v>1639</v>
      </c>
      <c r="O399" s="127" t="s">
        <v>1553</v>
      </c>
      <c r="P399" s="127">
        <v>0</v>
      </c>
      <c r="Q399" s="127">
        <v>2</v>
      </c>
      <c r="R399" s="127" t="s">
        <v>804</v>
      </c>
      <c r="S399" s="127" t="s">
        <v>375</v>
      </c>
      <c r="T399" s="127">
        <v>0</v>
      </c>
      <c r="U399" s="127">
        <v>0</v>
      </c>
      <c r="V399" s="127">
        <v>0</v>
      </c>
      <c r="W399" s="127" t="s">
        <v>806</v>
      </c>
      <c r="X399" s="127" t="s">
        <v>375</v>
      </c>
      <c r="Y399" s="127" t="s">
        <v>1573</v>
      </c>
      <c r="Z399" s="127">
        <v>0</v>
      </c>
      <c r="AA399" s="127" t="s">
        <v>2511</v>
      </c>
      <c r="AB399" s="131" t="s">
        <v>1256</v>
      </c>
      <c r="AC399" s="127" t="s">
        <v>2041</v>
      </c>
      <c r="AD399" s="131" t="s">
        <v>841</v>
      </c>
      <c r="AE399" s="131" t="s">
        <v>372</v>
      </c>
      <c r="AF399" s="131" t="b">
        <v>1</v>
      </c>
      <c r="AG399" s="131" t="e">
        <v>#REF!</v>
      </c>
    </row>
    <row r="400" spans="1:33" s="131" customFormat="1" ht="18" customHeight="1" x14ac:dyDescent="0.25">
      <c r="A400" s="125">
        <v>399</v>
      </c>
      <c r="B400" s="126" t="s">
        <v>411</v>
      </c>
      <c r="C400" s="126" t="s">
        <v>2974</v>
      </c>
      <c r="D400" s="126" t="s">
        <v>2950</v>
      </c>
      <c r="E400" s="127" t="s">
        <v>841</v>
      </c>
      <c r="F400" s="128" t="s">
        <v>2411</v>
      </c>
      <c r="G400" s="128" t="s">
        <v>3290</v>
      </c>
      <c r="H400" s="125" t="s">
        <v>931</v>
      </c>
      <c r="I400" s="125"/>
      <c r="J400" s="129"/>
      <c r="K400" s="130"/>
      <c r="L400" s="129"/>
      <c r="M400" s="127" t="s">
        <v>761</v>
      </c>
      <c r="N400" s="127" t="s">
        <v>1639</v>
      </c>
      <c r="O400" s="127" t="s">
        <v>1553</v>
      </c>
      <c r="P400" s="127" t="s">
        <v>1554</v>
      </c>
      <c r="Q400" s="127">
        <v>2</v>
      </c>
      <c r="R400" s="127" t="s">
        <v>807</v>
      </c>
      <c r="S400" s="127" t="s">
        <v>411</v>
      </c>
      <c r="T400" s="127">
        <v>0</v>
      </c>
      <c r="U400" s="127">
        <v>0</v>
      </c>
      <c r="V400" s="127">
        <v>0</v>
      </c>
      <c r="W400" s="127" t="s">
        <v>806</v>
      </c>
      <c r="X400" s="127" t="s">
        <v>411</v>
      </c>
      <c r="Y400" s="127" t="s">
        <v>1571</v>
      </c>
      <c r="Z400" s="127" t="s">
        <v>1568</v>
      </c>
      <c r="AA400" s="127" t="s">
        <v>2510</v>
      </c>
      <c r="AB400" s="131" t="s">
        <v>1257</v>
      </c>
      <c r="AC400" s="127" t="s">
        <v>2042</v>
      </c>
      <c r="AD400" s="131" t="s">
        <v>841</v>
      </c>
      <c r="AE400" s="131" t="e">
        <v>#N/A</v>
      </c>
      <c r="AF400" s="131" t="e">
        <v>#N/A</v>
      </c>
      <c r="AG400" s="131" t="e">
        <v>#REF!</v>
      </c>
    </row>
    <row r="401" spans="1:33" s="131" customFormat="1" ht="18" customHeight="1" x14ac:dyDescent="0.25">
      <c r="A401" s="125">
        <v>400</v>
      </c>
      <c r="B401" s="126" t="s">
        <v>410</v>
      </c>
      <c r="C401" s="126" t="s">
        <v>2975</v>
      </c>
      <c r="D401" s="126" t="s">
        <v>2938</v>
      </c>
      <c r="E401" s="127" t="s">
        <v>340</v>
      </c>
      <c r="F401" s="128"/>
      <c r="G401" s="128" t="s">
        <v>3290</v>
      </c>
      <c r="H401" s="125" t="s">
        <v>2394</v>
      </c>
      <c r="I401" s="125"/>
      <c r="J401" s="132"/>
      <c r="K401" s="130"/>
      <c r="L401" s="129"/>
      <c r="M401" s="127" t="s">
        <v>759</v>
      </c>
      <c r="N401" s="127" t="s">
        <v>1639</v>
      </c>
      <c r="O401" s="127" t="s">
        <v>1427</v>
      </c>
      <c r="P401" s="127">
        <v>0</v>
      </c>
      <c r="Q401" s="127">
        <v>0</v>
      </c>
      <c r="R401" s="127">
        <v>0</v>
      </c>
      <c r="S401" s="127">
        <v>0</v>
      </c>
      <c r="T401" s="127">
        <v>2</v>
      </c>
      <c r="U401" s="127" t="s">
        <v>1588</v>
      </c>
      <c r="V401" s="127" t="s">
        <v>410</v>
      </c>
      <c r="W401" s="127" t="s">
        <v>1509</v>
      </c>
      <c r="X401" s="127" t="s">
        <v>410</v>
      </c>
      <c r="Y401" s="127" t="s">
        <v>2261</v>
      </c>
      <c r="Z401" s="127" t="s">
        <v>1568</v>
      </c>
      <c r="AA401" s="127" t="s">
        <v>2510</v>
      </c>
      <c r="AB401" s="131" t="s">
        <v>1258</v>
      </c>
      <c r="AC401" s="127" t="s">
        <v>2043</v>
      </c>
      <c r="AD401" s="131" t="s">
        <v>340</v>
      </c>
      <c r="AE401" s="131" t="e">
        <v>#N/A</v>
      </c>
      <c r="AF401" s="131" t="e">
        <v>#N/A</v>
      </c>
      <c r="AG401" s="131" t="e">
        <v>#REF!</v>
      </c>
    </row>
    <row r="402" spans="1:33" s="131" customFormat="1" ht="17.45" customHeight="1" x14ac:dyDescent="0.25">
      <c r="A402" s="125">
        <v>401</v>
      </c>
      <c r="B402" s="126" t="s">
        <v>420</v>
      </c>
      <c r="C402" s="126" t="s">
        <v>2976</v>
      </c>
      <c r="D402" s="126" t="s">
        <v>2950</v>
      </c>
      <c r="E402" s="127" t="s">
        <v>841</v>
      </c>
      <c r="F402" s="128" t="s">
        <v>2410</v>
      </c>
      <c r="G402" s="128" t="s">
        <v>3289</v>
      </c>
      <c r="H402" s="125"/>
      <c r="I402" s="125"/>
      <c r="J402" s="132" t="s">
        <v>1641</v>
      </c>
      <c r="K402" s="130" t="s">
        <v>360</v>
      </c>
      <c r="L402" s="129"/>
      <c r="M402" s="127" t="s">
        <v>759</v>
      </c>
      <c r="N402" s="127" t="s">
        <v>1641</v>
      </c>
      <c r="O402" s="127" t="s">
        <v>1553</v>
      </c>
      <c r="P402" s="127">
        <v>0</v>
      </c>
      <c r="Q402" s="127">
        <v>2</v>
      </c>
      <c r="R402" s="127" t="s">
        <v>1516</v>
      </c>
      <c r="S402" s="127" t="s">
        <v>420</v>
      </c>
      <c r="T402" s="127">
        <v>0</v>
      </c>
      <c r="U402" s="127">
        <v>0</v>
      </c>
      <c r="V402" s="127">
        <v>0</v>
      </c>
      <c r="W402" s="127">
        <v>0</v>
      </c>
      <c r="X402" s="127">
        <v>0</v>
      </c>
      <c r="Y402" s="127">
        <v>0</v>
      </c>
      <c r="Z402" s="127">
        <v>0</v>
      </c>
      <c r="AA402" s="127" t="s">
        <v>2511</v>
      </c>
      <c r="AB402" s="131" t="s">
        <v>1259</v>
      </c>
      <c r="AC402" s="127" t="e">
        <v>#N/A</v>
      </c>
      <c r="AD402" s="131" t="s">
        <v>841</v>
      </c>
      <c r="AE402" s="131" t="s">
        <v>360</v>
      </c>
      <c r="AF402" s="131" t="b">
        <v>1</v>
      </c>
      <c r="AG402" s="131" t="e">
        <v>#REF!</v>
      </c>
    </row>
    <row r="403" spans="1:33" s="131" customFormat="1" ht="18" customHeight="1" x14ac:dyDescent="0.25">
      <c r="A403" s="125">
        <v>402</v>
      </c>
      <c r="B403" s="126" t="s">
        <v>443</v>
      </c>
      <c r="C403" s="126" t="s">
        <v>2977</v>
      </c>
      <c r="D403" s="126" t="s">
        <v>2950</v>
      </c>
      <c r="E403" s="127" t="s">
        <v>841</v>
      </c>
      <c r="F403" s="128" t="s">
        <v>2411</v>
      </c>
      <c r="G403" s="128" t="s">
        <v>3290</v>
      </c>
      <c r="H403" s="125" t="s">
        <v>993</v>
      </c>
      <c r="I403" s="125"/>
      <c r="J403" s="129"/>
      <c r="K403" s="130"/>
      <c r="L403" s="129"/>
      <c r="M403" s="127" t="s">
        <v>759</v>
      </c>
      <c r="N403" s="127" t="s">
        <v>1639</v>
      </c>
      <c r="O403" s="127" t="s">
        <v>1553</v>
      </c>
      <c r="P403" s="127" t="s">
        <v>1554</v>
      </c>
      <c r="Q403" s="127">
        <v>2</v>
      </c>
      <c r="R403" s="127" t="s">
        <v>1516</v>
      </c>
      <c r="S403" s="127" t="s">
        <v>443</v>
      </c>
      <c r="T403" s="127">
        <v>0</v>
      </c>
      <c r="U403" s="127">
        <v>0</v>
      </c>
      <c r="V403" s="127">
        <v>0</v>
      </c>
      <c r="W403" s="127">
        <v>0</v>
      </c>
      <c r="X403" s="127">
        <v>0</v>
      </c>
      <c r="Y403" s="127">
        <v>0</v>
      </c>
      <c r="Z403" s="127">
        <v>0</v>
      </c>
      <c r="AA403" s="127" t="s">
        <v>2511</v>
      </c>
      <c r="AB403" s="131" t="s">
        <v>1260</v>
      </c>
      <c r="AC403" s="127" t="s">
        <v>2044</v>
      </c>
      <c r="AD403" s="131" t="s">
        <v>841</v>
      </c>
      <c r="AE403" s="131" t="e">
        <v>#N/A</v>
      </c>
      <c r="AF403" s="131" t="e">
        <v>#N/A</v>
      </c>
      <c r="AG403" s="131" t="e">
        <v>#REF!</v>
      </c>
    </row>
    <row r="404" spans="1:33" s="131" customFormat="1" ht="15.75" x14ac:dyDescent="0.25">
      <c r="A404" s="125">
        <v>403</v>
      </c>
      <c r="B404" s="126" t="s">
        <v>444</v>
      </c>
      <c r="C404" s="126" t="s">
        <v>2978</v>
      </c>
      <c r="D404" s="126" t="s">
        <v>2943</v>
      </c>
      <c r="E404" s="127" t="s">
        <v>339</v>
      </c>
      <c r="F404" s="128" t="s">
        <v>2411</v>
      </c>
      <c r="G404" s="128" t="s">
        <v>3290</v>
      </c>
      <c r="H404" s="125" t="s">
        <v>1732</v>
      </c>
      <c r="I404" s="125"/>
      <c r="J404" s="129"/>
      <c r="K404" s="130"/>
      <c r="L404" s="129"/>
      <c r="M404" s="127" t="s">
        <v>759</v>
      </c>
      <c r="N404" s="127" t="s">
        <v>1639</v>
      </c>
      <c r="O404" s="127" t="s">
        <v>1553</v>
      </c>
      <c r="P404" s="127" t="s">
        <v>1554</v>
      </c>
      <c r="Q404" s="127">
        <v>2</v>
      </c>
      <c r="R404" s="127" t="s">
        <v>1512</v>
      </c>
      <c r="S404" s="127" t="s">
        <v>444</v>
      </c>
      <c r="T404" s="127">
        <v>0</v>
      </c>
      <c r="U404" s="127">
        <v>0</v>
      </c>
      <c r="V404" s="127">
        <v>0</v>
      </c>
      <c r="W404" s="127">
        <v>0</v>
      </c>
      <c r="X404" s="127">
        <v>0</v>
      </c>
      <c r="Y404" s="127">
        <v>0</v>
      </c>
      <c r="Z404" s="127" t="s">
        <v>1568</v>
      </c>
      <c r="AA404" s="127" t="s">
        <v>2511</v>
      </c>
      <c r="AB404" s="131" t="s">
        <v>1262</v>
      </c>
      <c r="AC404" s="127" t="s">
        <v>2045</v>
      </c>
      <c r="AD404" s="131" t="s">
        <v>339</v>
      </c>
      <c r="AE404" s="131" t="e">
        <v>#N/A</v>
      </c>
      <c r="AF404" s="131" t="e">
        <v>#N/A</v>
      </c>
      <c r="AG404" s="131" t="e">
        <v>#REF!</v>
      </c>
    </row>
    <row r="405" spans="1:33" s="131" customFormat="1" ht="15.75" x14ac:dyDescent="0.25">
      <c r="A405" s="125">
        <v>404</v>
      </c>
      <c r="B405" s="126" t="s">
        <v>445</v>
      </c>
      <c r="C405" s="126" t="s">
        <v>2979</v>
      </c>
      <c r="D405" s="126" t="s">
        <v>2943</v>
      </c>
      <c r="E405" s="127" t="s">
        <v>339</v>
      </c>
      <c r="F405" s="128" t="s">
        <v>2411</v>
      </c>
      <c r="G405" s="128" t="s">
        <v>3290</v>
      </c>
      <c r="H405" s="125" t="s">
        <v>1732</v>
      </c>
      <c r="I405" s="125"/>
      <c r="J405" s="129"/>
      <c r="K405" s="130"/>
      <c r="L405" s="129"/>
      <c r="M405" s="127" t="s">
        <v>759</v>
      </c>
      <c r="N405" s="127" t="s">
        <v>1639</v>
      </c>
      <c r="O405" s="127" t="s">
        <v>1553</v>
      </c>
      <c r="P405" s="127" t="s">
        <v>1554</v>
      </c>
      <c r="Q405" s="127">
        <v>2</v>
      </c>
      <c r="R405" s="127" t="s">
        <v>1512</v>
      </c>
      <c r="S405" s="127" t="s">
        <v>445</v>
      </c>
      <c r="T405" s="127">
        <v>0</v>
      </c>
      <c r="U405" s="127">
        <v>0</v>
      </c>
      <c r="V405" s="127">
        <v>0</v>
      </c>
      <c r="W405" s="127">
        <v>0</v>
      </c>
      <c r="X405" s="127">
        <v>0</v>
      </c>
      <c r="Y405" s="127">
        <v>0</v>
      </c>
      <c r="Z405" s="127" t="s">
        <v>1568</v>
      </c>
      <c r="AA405" s="127" t="s">
        <v>2510</v>
      </c>
      <c r="AB405" s="131" t="s">
        <v>1264</v>
      </c>
      <c r="AC405" s="127" t="s">
        <v>2046</v>
      </c>
      <c r="AD405" s="131" t="s">
        <v>339</v>
      </c>
      <c r="AE405" s="131" t="e">
        <v>#N/A</v>
      </c>
      <c r="AF405" s="131" t="e">
        <v>#N/A</v>
      </c>
      <c r="AG405" s="131" t="e">
        <v>#REF!</v>
      </c>
    </row>
    <row r="406" spans="1:33" s="131" customFormat="1" ht="15.75" x14ac:dyDescent="0.25">
      <c r="A406" s="125">
        <v>405</v>
      </c>
      <c r="B406" s="126" t="s">
        <v>446</v>
      </c>
      <c r="C406" s="126" t="s">
        <v>2980</v>
      </c>
      <c r="D406" s="126" t="s">
        <v>2950</v>
      </c>
      <c r="E406" s="127" t="s">
        <v>841</v>
      </c>
      <c r="F406" s="128" t="s">
        <v>2410</v>
      </c>
      <c r="G406" s="128" t="s">
        <v>3290</v>
      </c>
      <c r="H406" s="125" t="s">
        <v>998</v>
      </c>
      <c r="I406" s="125"/>
      <c r="J406" s="129"/>
      <c r="K406" s="130" t="s">
        <v>358</v>
      </c>
      <c r="L406" s="129"/>
      <c r="M406" s="127" t="s">
        <v>759</v>
      </c>
      <c r="N406" s="127" t="s">
        <v>1639</v>
      </c>
      <c r="O406" s="127" t="s">
        <v>1553</v>
      </c>
      <c r="P406" s="127">
        <v>0</v>
      </c>
      <c r="Q406" s="127">
        <v>2</v>
      </c>
      <c r="R406" s="127" t="s">
        <v>806</v>
      </c>
      <c r="S406" s="127" t="s">
        <v>446</v>
      </c>
      <c r="T406" s="127">
        <v>0</v>
      </c>
      <c r="U406" s="127">
        <v>0</v>
      </c>
      <c r="V406" s="127">
        <v>0</v>
      </c>
      <c r="W406" s="127">
        <v>0</v>
      </c>
      <c r="X406" s="127">
        <v>0</v>
      </c>
      <c r="Y406" s="127">
        <v>0</v>
      </c>
      <c r="Z406" s="127">
        <v>0</v>
      </c>
      <c r="AA406" s="127" t="s">
        <v>2511</v>
      </c>
      <c r="AB406" s="131" t="s">
        <v>1265</v>
      </c>
      <c r="AC406" s="127" t="s">
        <v>2047</v>
      </c>
      <c r="AD406" s="131" t="s">
        <v>841</v>
      </c>
      <c r="AE406" s="131" t="s">
        <v>358</v>
      </c>
      <c r="AF406" s="131" t="b">
        <v>1</v>
      </c>
      <c r="AG406" s="131" t="e">
        <v>#REF!</v>
      </c>
    </row>
    <row r="407" spans="1:33" s="131" customFormat="1" ht="15.75" x14ac:dyDescent="0.25">
      <c r="A407" s="125">
        <v>406</v>
      </c>
      <c r="B407" s="126" t="s">
        <v>475</v>
      </c>
      <c r="C407" s="126" t="s">
        <v>2981</v>
      </c>
      <c r="D407" s="126" t="s">
        <v>2950</v>
      </c>
      <c r="E407" s="127" t="s">
        <v>841</v>
      </c>
      <c r="F407" s="128" t="s">
        <v>2410</v>
      </c>
      <c r="G407" s="128" t="s">
        <v>3294</v>
      </c>
      <c r="H407" s="125"/>
      <c r="I407" s="125"/>
      <c r="J407" s="132" t="s">
        <v>1641</v>
      </c>
      <c r="K407" s="130" t="s">
        <v>358</v>
      </c>
      <c r="L407" s="129"/>
      <c r="M407" s="127" t="s">
        <v>757</v>
      </c>
      <c r="N407" s="127" t="s">
        <v>1641</v>
      </c>
      <c r="O407" s="127" t="s">
        <v>1553</v>
      </c>
      <c r="P407" s="127">
        <v>0</v>
      </c>
      <c r="Q407" s="127">
        <v>2</v>
      </c>
      <c r="R407" s="127" t="s">
        <v>806</v>
      </c>
      <c r="S407" s="127" t="s">
        <v>475</v>
      </c>
      <c r="T407" s="127">
        <v>0</v>
      </c>
      <c r="U407" s="127">
        <v>0</v>
      </c>
      <c r="V407" s="127">
        <v>0</v>
      </c>
      <c r="W407" s="127">
        <v>0</v>
      </c>
      <c r="X407" s="127">
        <v>0</v>
      </c>
      <c r="Y407" s="127">
        <v>0</v>
      </c>
      <c r="Z407" s="127">
        <v>0</v>
      </c>
      <c r="AA407" s="127" t="s">
        <v>2511</v>
      </c>
      <c r="AB407" s="131" t="s">
        <v>664</v>
      </c>
      <c r="AC407" s="127" t="s">
        <v>2048</v>
      </c>
      <c r="AD407" s="131" t="s">
        <v>841</v>
      </c>
      <c r="AE407" s="131" t="s">
        <v>358</v>
      </c>
      <c r="AF407" s="131" t="b">
        <v>1</v>
      </c>
      <c r="AG407" s="131" t="e">
        <v>#REF!</v>
      </c>
    </row>
    <row r="408" spans="1:33" s="131" customFormat="1" ht="15.75" x14ac:dyDescent="0.25">
      <c r="A408" s="125">
        <v>407</v>
      </c>
      <c r="B408" s="126" t="s">
        <v>476</v>
      </c>
      <c r="C408" s="126" t="s">
        <v>2982</v>
      </c>
      <c r="D408" s="126" t="s">
        <v>2950</v>
      </c>
      <c r="E408" s="127" t="s">
        <v>841</v>
      </c>
      <c r="F408" s="128" t="s">
        <v>2410</v>
      </c>
      <c r="G408" s="128" t="s">
        <v>3294</v>
      </c>
      <c r="H408" s="125"/>
      <c r="I408" s="125"/>
      <c r="J408" s="129" t="s">
        <v>1641</v>
      </c>
      <c r="K408" s="130" t="s">
        <v>358</v>
      </c>
      <c r="L408" s="129"/>
      <c r="M408" s="127" t="s">
        <v>757</v>
      </c>
      <c r="N408" s="127" t="s">
        <v>1641</v>
      </c>
      <c r="O408" s="127" t="s">
        <v>1553</v>
      </c>
      <c r="P408" s="127">
        <v>0</v>
      </c>
      <c r="Q408" s="127">
        <v>2</v>
      </c>
      <c r="R408" s="127" t="s">
        <v>806</v>
      </c>
      <c r="S408" s="127" t="s">
        <v>476</v>
      </c>
      <c r="T408" s="127">
        <v>0</v>
      </c>
      <c r="U408" s="127">
        <v>0</v>
      </c>
      <c r="V408" s="127">
        <v>0</v>
      </c>
      <c r="W408" s="127">
        <v>0</v>
      </c>
      <c r="X408" s="127">
        <v>0</v>
      </c>
      <c r="Y408" s="127">
        <v>0</v>
      </c>
      <c r="Z408" s="127">
        <v>0</v>
      </c>
      <c r="AA408" s="127" t="s">
        <v>2511</v>
      </c>
      <c r="AB408" s="131" t="s">
        <v>665</v>
      </c>
      <c r="AC408" s="127" t="s">
        <v>2049</v>
      </c>
      <c r="AD408" s="131" t="s">
        <v>841</v>
      </c>
      <c r="AE408" s="131" t="s">
        <v>321</v>
      </c>
      <c r="AF408" s="131" t="b">
        <v>0</v>
      </c>
      <c r="AG408" s="131" t="e">
        <v>#REF!</v>
      </c>
    </row>
    <row r="409" spans="1:33" s="131" customFormat="1" ht="15.75" x14ac:dyDescent="0.25">
      <c r="A409" s="125">
        <v>408</v>
      </c>
      <c r="B409" s="126" t="s">
        <v>485</v>
      </c>
      <c r="C409" s="126" t="s">
        <v>2983</v>
      </c>
      <c r="D409" s="126" t="s">
        <v>2950</v>
      </c>
      <c r="E409" s="127" t="s">
        <v>841</v>
      </c>
      <c r="F409" s="128" t="s">
        <v>2410</v>
      </c>
      <c r="G409" s="128" t="s">
        <v>3294</v>
      </c>
      <c r="H409" s="125"/>
      <c r="I409" s="125"/>
      <c r="J409" s="132" t="s">
        <v>1641</v>
      </c>
      <c r="K409" s="130" t="s">
        <v>361</v>
      </c>
      <c r="L409" s="129"/>
      <c r="M409" s="127" t="s">
        <v>757</v>
      </c>
      <c r="N409" s="127" t="s">
        <v>1641</v>
      </c>
      <c r="O409" s="127" t="s">
        <v>1553</v>
      </c>
      <c r="P409" s="127">
        <v>0</v>
      </c>
      <c r="Q409" s="127">
        <v>2</v>
      </c>
      <c r="R409" s="127" t="s">
        <v>807</v>
      </c>
      <c r="S409" s="127" t="s">
        <v>485</v>
      </c>
      <c r="T409" s="127">
        <v>0</v>
      </c>
      <c r="U409" s="127">
        <v>0</v>
      </c>
      <c r="V409" s="127">
        <v>0</v>
      </c>
      <c r="W409" s="127">
        <v>0</v>
      </c>
      <c r="X409" s="127">
        <v>0</v>
      </c>
      <c r="Y409" s="127">
        <v>0</v>
      </c>
      <c r="Z409" s="127">
        <v>0</v>
      </c>
      <c r="AA409" s="127" t="s">
        <v>2511</v>
      </c>
      <c r="AB409" s="131" t="s">
        <v>666</v>
      </c>
      <c r="AC409" s="127" t="s">
        <v>2050</v>
      </c>
      <c r="AD409" s="131" t="s">
        <v>841</v>
      </c>
      <c r="AE409" s="131" t="s">
        <v>320</v>
      </c>
      <c r="AF409" s="131" t="b">
        <v>0</v>
      </c>
      <c r="AG409" s="131" t="e">
        <v>#REF!</v>
      </c>
    </row>
    <row r="410" spans="1:33" s="131" customFormat="1" ht="15.75" x14ac:dyDescent="0.25">
      <c r="A410" s="125">
        <v>409</v>
      </c>
      <c r="B410" s="126" t="s">
        <v>538</v>
      </c>
      <c r="C410" s="126" t="s">
        <v>2984</v>
      </c>
      <c r="D410" s="126" t="s">
        <v>2950</v>
      </c>
      <c r="E410" s="127" t="s">
        <v>841</v>
      </c>
      <c r="F410" s="128" t="s">
        <v>2410</v>
      </c>
      <c r="G410" s="128" t="s">
        <v>3294</v>
      </c>
      <c r="H410" s="125"/>
      <c r="I410" s="125"/>
      <c r="J410" s="132" t="s">
        <v>1641</v>
      </c>
      <c r="K410" s="130" t="s">
        <v>358</v>
      </c>
      <c r="L410" s="129"/>
      <c r="M410" s="127" t="s">
        <v>757</v>
      </c>
      <c r="N410" s="127" t="s">
        <v>1641</v>
      </c>
      <c r="O410" s="127" t="s">
        <v>1427</v>
      </c>
      <c r="P410" s="127">
        <v>0</v>
      </c>
      <c r="Q410" s="127">
        <v>0</v>
      </c>
      <c r="R410" s="127">
        <v>0</v>
      </c>
      <c r="S410" s="127">
        <v>0</v>
      </c>
      <c r="T410" s="127">
        <v>2</v>
      </c>
      <c r="U410" s="127" t="s">
        <v>806</v>
      </c>
      <c r="V410" s="127" t="s">
        <v>538</v>
      </c>
      <c r="W410" s="127">
        <v>0</v>
      </c>
      <c r="X410" s="127">
        <v>0</v>
      </c>
      <c r="Y410" s="127">
        <v>0</v>
      </c>
      <c r="Z410" s="127">
        <v>0</v>
      </c>
      <c r="AA410" s="127" t="s">
        <v>2511</v>
      </c>
      <c r="AB410" s="131" t="s">
        <v>667</v>
      </c>
      <c r="AC410" s="127" t="s">
        <v>2051</v>
      </c>
      <c r="AD410" s="131" t="s">
        <v>841</v>
      </c>
      <c r="AE410" s="131" t="s">
        <v>358</v>
      </c>
      <c r="AF410" s="131" t="b">
        <v>1</v>
      </c>
      <c r="AG410" s="131" t="e">
        <v>#REF!</v>
      </c>
    </row>
    <row r="411" spans="1:33" s="131" customFormat="1" ht="18" customHeight="1" x14ac:dyDescent="0.25">
      <c r="A411" s="125">
        <v>410</v>
      </c>
      <c r="B411" s="126" t="s">
        <v>510</v>
      </c>
      <c r="C411" s="126" t="s">
        <v>2985</v>
      </c>
      <c r="D411" s="126" t="s">
        <v>2950</v>
      </c>
      <c r="E411" s="127" t="s">
        <v>841</v>
      </c>
      <c r="F411" s="128" t="s">
        <v>2410</v>
      </c>
      <c r="G411" s="128" t="s">
        <v>3294</v>
      </c>
      <c r="H411" s="125"/>
      <c r="I411" s="125"/>
      <c r="J411" s="132" t="s">
        <v>1641</v>
      </c>
      <c r="K411" s="130" t="s">
        <v>370</v>
      </c>
      <c r="L411" s="129"/>
      <c r="M411" s="127" t="s">
        <v>757</v>
      </c>
      <c r="N411" s="127" t="s">
        <v>1641</v>
      </c>
      <c r="O411" s="127" t="s">
        <v>1553</v>
      </c>
      <c r="P411" s="127">
        <v>0</v>
      </c>
      <c r="Q411" s="127">
        <v>2</v>
      </c>
      <c r="R411" s="127" t="s">
        <v>805</v>
      </c>
      <c r="S411" s="127" t="s">
        <v>510</v>
      </c>
      <c r="T411" s="127">
        <v>0</v>
      </c>
      <c r="U411" s="127">
        <v>0</v>
      </c>
      <c r="V411" s="127">
        <v>0</v>
      </c>
      <c r="W411" s="127">
        <v>0</v>
      </c>
      <c r="X411" s="127">
        <v>0</v>
      </c>
      <c r="Y411" s="127">
        <v>0</v>
      </c>
      <c r="Z411" s="127">
        <v>0</v>
      </c>
      <c r="AA411" s="127" t="s">
        <v>2511</v>
      </c>
      <c r="AB411" s="131" t="s">
        <v>668</v>
      </c>
      <c r="AC411" s="127" t="s">
        <v>2052</v>
      </c>
      <c r="AD411" s="131" t="s">
        <v>841</v>
      </c>
      <c r="AE411" s="131" t="s">
        <v>370</v>
      </c>
      <c r="AF411" s="131" t="b">
        <v>1</v>
      </c>
      <c r="AG411" s="131" t="e">
        <v>#REF!</v>
      </c>
    </row>
    <row r="412" spans="1:33" s="131" customFormat="1" ht="18" customHeight="1" x14ac:dyDescent="0.25">
      <c r="A412" s="125">
        <v>411</v>
      </c>
      <c r="B412" s="126" t="s">
        <v>477</v>
      </c>
      <c r="C412" s="126" t="s">
        <v>2986</v>
      </c>
      <c r="D412" s="126" t="s">
        <v>2950</v>
      </c>
      <c r="E412" s="127" t="s">
        <v>841</v>
      </c>
      <c r="F412" s="128" t="s">
        <v>2410</v>
      </c>
      <c r="G412" s="128" t="s">
        <v>3294</v>
      </c>
      <c r="H412" s="125"/>
      <c r="I412" s="125"/>
      <c r="J412" s="132" t="s">
        <v>1641</v>
      </c>
      <c r="K412" s="130" t="s">
        <v>372</v>
      </c>
      <c r="L412" s="129"/>
      <c r="M412" s="127" t="s">
        <v>757</v>
      </c>
      <c r="N412" s="127" t="s">
        <v>1641</v>
      </c>
      <c r="O412" s="127" t="s">
        <v>1553</v>
      </c>
      <c r="P412" s="127">
        <v>0</v>
      </c>
      <c r="Q412" s="127">
        <v>2</v>
      </c>
      <c r="R412" s="127" t="s">
        <v>804</v>
      </c>
      <c r="S412" s="127" t="s">
        <v>477</v>
      </c>
      <c r="T412" s="127">
        <v>0</v>
      </c>
      <c r="U412" s="127">
        <v>0</v>
      </c>
      <c r="V412" s="127">
        <v>0</v>
      </c>
      <c r="W412" s="127">
        <v>0</v>
      </c>
      <c r="X412" s="127">
        <v>0</v>
      </c>
      <c r="Y412" s="127">
        <v>0</v>
      </c>
      <c r="Z412" s="127">
        <v>0</v>
      </c>
      <c r="AA412" s="127" t="s">
        <v>2511</v>
      </c>
      <c r="AB412" s="131" t="s">
        <v>669</v>
      </c>
      <c r="AC412" s="127" t="s">
        <v>2053</v>
      </c>
      <c r="AD412" s="131" t="s">
        <v>841</v>
      </c>
      <c r="AE412" s="131" t="s">
        <v>64</v>
      </c>
      <c r="AF412" s="131" t="b">
        <v>0</v>
      </c>
      <c r="AG412" s="131" t="e">
        <v>#REF!</v>
      </c>
    </row>
    <row r="413" spans="1:33" s="131" customFormat="1" ht="18" customHeight="1" x14ac:dyDescent="0.25">
      <c r="A413" s="125">
        <v>412</v>
      </c>
      <c r="B413" s="126" t="s">
        <v>539</v>
      </c>
      <c r="C413" s="126" t="s">
        <v>2987</v>
      </c>
      <c r="D413" s="126" t="s">
        <v>2943</v>
      </c>
      <c r="E413" s="127" t="s">
        <v>339</v>
      </c>
      <c r="F413" s="128"/>
      <c r="G413" s="128" t="s">
        <v>3290</v>
      </c>
      <c r="H413" s="125" t="s">
        <v>2394</v>
      </c>
      <c r="I413" s="125"/>
      <c r="J413" s="132"/>
      <c r="K413" s="130"/>
      <c r="L413" s="129"/>
      <c r="M413" s="127" t="s">
        <v>757</v>
      </c>
      <c r="N413" s="127" t="s">
        <v>1639</v>
      </c>
      <c r="O413" s="127" t="s">
        <v>1427</v>
      </c>
      <c r="P413" s="127">
        <v>0</v>
      </c>
      <c r="Q413" s="127">
        <v>0</v>
      </c>
      <c r="R413" s="127">
        <v>0</v>
      </c>
      <c r="S413" s="127">
        <v>0</v>
      </c>
      <c r="T413" s="127">
        <v>2</v>
      </c>
      <c r="U413" s="127" t="s">
        <v>1513</v>
      </c>
      <c r="V413" s="127" t="s">
        <v>539</v>
      </c>
      <c r="W413" s="127">
        <v>0</v>
      </c>
      <c r="X413" s="127">
        <v>0</v>
      </c>
      <c r="Y413" s="127">
        <v>0</v>
      </c>
      <c r="Z413" s="127">
        <v>0</v>
      </c>
      <c r="AA413" s="127" t="s">
        <v>2511</v>
      </c>
      <c r="AB413" s="131" t="s">
        <v>670</v>
      </c>
      <c r="AC413" s="127" t="s">
        <v>2054</v>
      </c>
      <c r="AD413" s="131" t="s">
        <v>339</v>
      </c>
      <c r="AE413" s="131" t="e">
        <v>#N/A</v>
      </c>
      <c r="AF413" s="131" t="e">
        <v>#N/A</v>
      </c>
      <c r="AG413" s="131" t="e">
        <v>#REF!</v>
      </c>
    </row>
    <row r="414" spans="1:33" s="131" customFormat="1" ht="18" customHeight="1" x14ac:dyDescent="0.25">
      <c r="A414" s="125">
        <v>413</v>
      </c>
      <c r="B414" s="126" t="s">
        <v>478</v>
      </c>
      <c r="C414" s="126" t="s">
        <v>2988</v>
      </c>
      <c r="D414" s="126" t="s">
        <v>2938</v>
      </c>
      <c r="E414" s="127" t="s">
        <v>340</v>
      </c>
      <c r="F414" s="128" t="s">
        <v>2410</v>
      </c>
      <c r="G414" s="128" t="s">
        <v>3294</v>
      </c>
      <c r="H414" s="125"/>
      <c r="I414" s="125"/>
      <c r="J414" s="132" t="s">
        <v>1641</v>
      </c>
      <c r="K414" s="130" t="s">
        <v>347</v>
      </c>
      <c r="L414" s="129"/>
      <c r="M414" s="127" t="s">
        <v>757</v>
      </c>
      <c r="N414" s="127" t="s">
        <v>1641</v>
      </c>
      <c r="O414" s="127" t="s">
        <v>1553</v>
      </c>
      <c r="P414" s="127">
        <v>0</v>
      </c>
      <c r="Q414" s="127">
        <v>2</v>
      </c>
      <c r="R414" s="127" t="s">
        <v>802</v>
      </c>
      <c r="S414" s="127" t="s">
        <v>478</v>
      </c>
      <c r="T414" s="127">
        <v>0</v>
      </c>
      <c r="U414" s="127">
        <v>0</v>
      </c>
      <c r="V414" s="127">
        <v>0</v>
      </c>
      <c r="W414" s="127">
        <v>0</v>
      </c>
      <c r="X414" s="127">
        <v>0</v>
      </c>
      <c r="Y414" s="127">
        <v>0</v>
      </c>
      <c r="Z414" s="127">
        <v>0</v>
      </c>
      <c r="AA414" s="127" t="s">
        <v>2511</v>
      </c>
      <c r="AB414" s="131" t="s">
        <v>671</v>
      </c>
      <c r="AC414" s="127" t="s">
        <v>2055</v>
      </c>
      <c r="AD414" s="131" t="s">
        <v>340</v>
      </c>
      <c r="AE414" s="131" t="s">
        <v>386</v>
      </c>
      <c r="AF414" s="131" t="b">
        <v>0</v>
      </c>
      <c r="AG414" s="131" t="e">
        <v>#REF!</v>
      </c>
    </row>
    <row r="415" spans="1:33" s="131" customFormat="1" ht="18" customHeight="1" x14ac:dyDescent="0.25">
      <c r="A415" s="125">
        <v>414</v>
      </c>
      <c r="B415" s="126" t="s">
        <v>474</v>
      </c>
      <c r="C415" s="126" t="s">
        <v>2989</v>
      </c>
      <c r="D415" s="126" t="s">
        <v>2950</v>
      </c>
      <c r="E415" s="127" t="s">
        <v>841</v>
      </c>
      <c r="F415" s="128" t="s">
        <v>2410</v>
      </c>
      <c r="G415" s="128" t="s">
        <v>3294</v>
      </c>
      <c r="H415" s="125" t="s">
        <v>2394</v>
      </c>
      <c r="I415" s="125"/>
      <c r="J415" s="129"/>
      <c r="K415" s="130" t="s">
        <v>370</v>
      </c>
      <c r="L415" s="129"/>
      <c r="M415" s="127" t="s">
        <v>759</v>
      </c>
      <c r="N415" s="127" t="s">
        <v>1639</v>
      </c>
      <c r="O415" s="127" t="s">
        <v>1553</v>
      </c>
      <c r="P415" s="127">
        <v>0</v>
      </c>
      <c r="Q415" s="127">
        <v>2</v>
      </c>
      <c r="R415" s="127" t="s">
        <v>805</v>
      </c>
      <c r="S415" s="127" t="s">
        <v>474</v>
      </c>
      <c r="T415" s="127">
        <v>0</v>
      </c>
      <c r="U415" s="127">
        <v>0</v>
      </c>
      <c r="V415" s="127">
        <v>0</v>
      </c>
      <c r="W415" s="127">
        <v>0</v>
      </c>
      <c r="X415" s="127">
        <v>0</v>
      </c>
      <c r="Y415" s="127">
        <v>0</v>
      </c>
      <c r="Z415" s="127">
        <v>0</v>
      </c>
      <c r="AA415" s="127" t="s">
        <v>2511</v>
      </c>
      <c r="AB415" s="131" t="s">
        <v>672</v>
      </c>
      <c r="AC415" s="127" t="s">
        <v>2056</v>
      </c>
      <c r="AD415" s="131" t="s">
        <v>841</v>
      </c>
      <c r="AE415" s="131" t="s">
        <v>370</v>
      </c>
      <c r="AF415" s="131" t="b">
        <v>1</v>
      </c>
      <c r="AG415" s="131" t="e">
        <v>#REF!</v>
      </c>
    </row>
    <row r="416" spans="1:33" s="131" customFormat="1" ht="18" customHeight="1" x14ac:dyDescent="0.25">
      <c r="A416" s="125">
        <v>415</v>
      </c>
      <c r="B416" s="126" t="s">
        <v>543</v>
      </c>
      <c r="C416" s="126" t="s">
        <v>2990</v>
      </c>
      <c r="D416" s="126" t="s">
        <v>2943</v>
      </c>
      <c r="E416" s="127" t="s">
        <v>339</v>
      </c>
      <c r="F416" s="128"/>
      <c r="G416" s="128" t="s">
        <v>3290</v>
      </c>
      <c r="H416" s="125" t="s">
        <v>2394</v>
      </c>
      <c r="I416" s="125"/>
      <c r="J416" s="129"/>
      <c r="K416" s="130"/>
      <c r="L416" s="129"/>
      <c r="M416" s="127" t="s">
        <v>759</v>
      </c>
      <c r="N416" s="127" t="s">
        <v>1639</v>
      </c>
      <c r="O416" s="127" t="s">
        <v>1553</v>
      </c>
      <c r="P416" s="127">
        <v>0</v>
      </c>
      <c r="Q416" s="127">
        <v>2</v>
      </c>
      <c r="R416" s="127" t="s">
        <v>1470</v>
      </c>
      <c r="S416" s="127" t="s">
        <v>543</v>
      </c>
      <c r="T416" s="127">
        <v>0</v>
      </c>
      <c r="U416" s="127">
        <v>0</v>
      </c>
      <c r="V416" s="127">
        <v>0</v>
      </c>
      <c r="W416" s="127">
        <v>0</v>
      </c>
      <c r="X416" s="127">
        <v>0</v>
      </c>
      <c r="Y416" s="127">
        <v>0</v>
      </c>
      <c r="Z416" s="127">
        <v>0</v>
      </c>
      <c r="AA416" s="127" t="s">
        <v>2511</v>
      </c>
      <c r="AB416" s="131" t="s">
        <v>673</v>
      </c>
      <c r="AC416" s="127" t="s">
        <v>2057</v>
      </c>
      <c r="AD416" s="131" t="s">
        <v>339</v>
      </c>
      <c r="AE416" s="131" t="e">
        <v>#N/A</v>
      </c>
      <c r="AF416" s="131" t="e">
        <v>#N/A</v>
      </c>
      <c r="AG416" s="131" t="e">
        <v>#REF!</v>
      </c>
    </row>
    <row r="417" spans="1:33" s="131" customFormat="1" ht="18" customHeight="1" x14ac:dyDescent="0.25">
      <c r="A417" s="125">
        <v>416</v>
      </c>
      <c r="B417" s="126" t="s">
        <v>537</v>
      </c>
      <c r="C417" s="126" t="s">
        <v>2991</v>
      </c>
      <c r="D417" s="126" t="s">
        <v>2950</v>
      </c>
      <c r="E417" s="127" t="s">
        <v>841</v>
      </c>
      <c r="F417" s="128" t="s">
        <v>2410</v>
      </c>
      <c r="G417" s="128" t="s">
        <v>3294</v>
      </c>
      <c r="H417" s="125" t="s">
        <v>2394</v>
      </c>
      <c r="I417" s="125"/>
      <c r="J417" s="129"/>
      <c r="K417" s="130" t="s">
        <v>357</v>
      </c>
      <c r="L417" s="129"/>
      <c r="M417" s="127" t="s">
        <v>759</v>
      </c>
      <c r="N417" s="127" t="s">
        <v>1639</v>
      </c>
      <c r="O417" s="127" t="s">
        <v>1427</v>
      </c>
      <c r="P417" s="127">
        <v>0</v>
      </c>
      <c r="Q417" s="127">
        <v>0</v>
      </c>
      <c r="R417" s="127">
        <v>0</v>
      </c>
      <c r="S417" s="127">
        <v>0</v>
      </c>
      <c r="T417" s="127">
        <v>2</v>
      </c>
      <c r="U417" s="127" t="s">
        <v>1515</v>
      </c>
      <c r="V417" s="127" t="s">
        <v>537</v>
      </c>
      <c r="W417" s="127">
        <v>0</v>
      </c>
      <c r="X417" s="127">
        <v>0</v>
      </c>
      <c r="Y417" s="127">
        <v>0</v>
      </c>
      <c r="Z417" s="127">
        <v>0</v>
      </c>
      <c r="AA417" s="127" t="s">
        <v>2511</v>
      </c>
      <c r="AB417" s="131" t="s">
        <v>674</v>
      </c>
      <c r="AC417" s="127" t="s">
        <v>2058</v>
      </c>
      <c r="AD417" s="131" t="s">
        <v>841</v>
      </c>
      <c r="AE417" s="131" t="s">
        <v>357</v>
      </c>
      <c r="AF417" s="131" t="b">
        <v>1</v>
      </c>
      <c r="AG417" s="131" t="e">
        <v>#REF!</v>
      </c>
    </row>
    <row r="418" spans="1:33" s="131" customFormat="1" ht="18" customHeight="1" x14ac:dyDescent="0.25">
      <c r="A418" s="125">
        <v>417</v>
      </c>
      <c r="B418" s="126" t="s">
        <v>498</v>
      </c>
      <c r="C418" s="126" t="s">
        <v>2992</v>
      </c>
      <c r="D418" s="126" t="s">
        <v>2943</v>
      </c>
      <c r="E418" s="127" t="s">
        <v>339</v>
      </c>
      <c r="F418" s="128" t="s">
        <v>2410</v>
      </c>
      <c r="G418" s="128" t="s">
        <v>3294</v>
      </c>
      <c r="H418" s="125" t="s">
        <v>2394</v>
      </c>
      <c r="I418" s="125"/>
      <c r="J418" s="129"/>
      <c r="K418" s="130" t="s">
        <v>369</v>
      </c>
      <c r="L418" s="129"/>
      <c r="M418" s="127" t="s">
        <v>759</v>
      </c>
      <c r="N418" s="127" t="s">
        <v>1639</v>
      </c>
      <c r="O418" s="127" t="s">
        <v>1553</v>
      </c>
      <c r="P418" s="127">
        <v>0</v>
      </c>
      <c r="Q418" s="127">
        <v>2</v>
      </c>
      <c r="R418" s="127" t="s">
        <v>1512</v>
      </c>
      <c r="S418" s="127" t="s">
        <v>498</v>
      </c>
      <c r="T418" s="127">
        <v>0</v>
      </c>
      <c r="U418" s="127">
        <v>0</v>
      </c>
      <c r="V418" s="127">
        <v>0</v>
      </c>
      <c r="W418" s="127">
        <v>0</v>
      </c>
      <c r="X418" s="127">
        <v>0</v>
      </c>
      <c r="Y418" s="127">
        <v>0</v>
      </c>
      <c r="Z418" s="127">
        <v>0</v>
      </c>
      <c r="AA418" s="127" t="s">
        <v>2511</v>
      </c>
      <c r="AB418" s="131" t="s">
        <v>675</v>
      </c>
      <c r="AC418" s="127" t="s">
        <v>2059</v>
      </c>
      <c r="AD418" s="131" t="s">
        <v>339</v>
      </c>
      <c r="AE418" s="131" t="s">
        <v>369</v>
      </c>
      <c r="AF418" s="131" t="b">
        <v>1</v>
      </c>
      <c r="AG418" s="131" t="e">
        <v>#REF!</v>
      </c>
    </row>
    <row r="419" spans="1:33" s="131" customFormat="1" ht="18" customHeight="1" x14ac:dyDescent="0.25">
      <c r="A419" s="125">
        <v>418</v>
      </c>
      <c r="B419" s="126" t="s">
        <v>526</v>
      </c>
      <c r="C419" s="126" t="s">
        <v>2993</v>
      </c>
      <c r="D419" s="126" t="s">
        <v>2938</v>
      </c>
      <c r="E419" s="127" t="s">
        <v>340</v>
      </c>
      <c r="F419" s="128" t="s">
        <v>2410</v>
      </c>
      <c r="G419" s="128" t="s">
        <v>3294</v>
      </c>
      <c r="H419" s="125" t="s">
        <v>2394</v>
      </c>
      <c r="I419" s="125"/>
      <c r="J419" s="129"/>
      <c r="K419" s="130" t="s">
        <v>347</v>
      </c>
      <c r="L419" s="129"/>
      <c r="M419" s="127" t="s">
        <v>759</v>
      </c>
      <c r="N419" s="127" t="s">
        <v>1639</v>
      </c>
      <c r="O419" s="127" t="s">
        <v>1553</v>
      </c>
      <c r="P419" s="127">
        <v>0</v>
      </c>
      <c r="Q419" s="127">
        <v>2</v>
      </c>
      <c r="R419" s="127" t="s">
        <v>802</v>
      </c>
      <c r="S419" s="127" t="s">
        <v>526</v>
      </c>
      <c r="T419" s="127">
        <v>0</v>
      </c>
      <c r="U419" s="127">
        <v>0</v>
      </c>
      <c r="V419" s="127">
        <v>0</v>
      </c>
      <c r="W419" s="127">
        <v>0</v>
      </c>
      <c r="X419" s="127">
        <v>0</v>
      </c>
      <c r="Y419" s="127">
        <v>0</v>
      </c>
      <c r="Z419" s="127">
        <v>0</v>
      </c>
      <c r="AA419" s="127" t="s">
        <v>2511</v>
      </c>
      <c r="AB419" s="131" t="s">
        <v>676</v>
      </c>
      <c r="AC419" s="127" t="s">
        <v>2060</v>
      </c>
      <c r="AD419" s="131" t="s">
        <v>340</v>
      </c>
      <c r="AE419" s="131" t="s">
        <v>347</v>
      </c>
      <c r="AF419" s="131" t="b">
        <v>1</v>
      </c>
      <c r="AG419" s="131" t="e">
        <v>#REF!</v>
      </c>
    </row>
    <row r="420" spans="1:33" s="131" customFormat="1" ht="18" customHeight="1" x14ac:dyDescent="0.25">
      <c r="A420" s="125">
        <v>419</v>
      </c>
      <c r="B420" s="126" t="s">
        <v>511</v>
      </c>
      <c r="C420" s="126" t="s">
        <v>2994</v>
      </c>
      <c r="D420" s="126" t="s">
        <v>2950</v>
      </c>
      <c r="E420" s="127" t="s">
        <v>841</v>
      </c>
      <c r="F420" s="128" t="s">
        <v>2410</v>
      </c>
      <c r="G420" s="128" t="s">
        <v>3294</v>
      </c>
      <c r="H420" s="125" t="s">
        <v>2394</v>
      </c>
      <c r="I420" s="125"/>
      <c r="J420" s="129"/>
      <c r="K420" s="130" t="s">
        <v>372</v>
      </c>
      <c r="L420" s="129"/>
      <c r="M420" s="127" t="s">
        <v>759</v>
      </c>
      <c r="N420" s="127" t="s">
        <v>1639</v>
      </c>
      <c r="O420" s="127" t="s">
        <v>1553</v>
      </c>
      <c r="P420" s="127">
        <v>0</v>
      </c>
      <c r="Q420" s="127">
        <v>2</v>
      </c>
      <c r="R420" s="127" t="s">
        <v>804</v>
      </c>
      <c r="S420" s="127" t="s">
        <v>511</v>
      </c>
      <c r="T420" s="127">
        <v>0</v>
      </c>
      <c r="U420" s="127">
        <v>0</v>
      </c>
      <c r="V420" s="127">
        <v>0</v>
      </c>
      <c r="W420" s="127">
        <v>0</v>
      </c>
      <c r="X420" s="127">
        <v>0</v>
      </c>
      <c r="Y420" s="127">
        <v>0</v>
      </c>
      <c r="Z420" s="127">
        <v>0</v>
      </c>
      <c r="AA420" s="127" t="s">
        <v>2511</v>
      </c>
      <c r="AB420" s="131" t="s">
        <v>677</v>
      </c>
      <c r="AC420" s="127" t="s">
        <v>2061</v>
      </c>
      <c r="AD420" s="131" t="s">
        <v>841</v>
      </c>
      <c r="AE420" s="131" t="s">
        <v>372</v>
      </c>
      <c r="AF420" s="131" t="b">
        <v>1</v>
      </c>
      <c r="AG420" s="131" t="e">
        <v>#REF!</v>
      </c>
    </row>
    <row r="421" spans="1:33" s="131" customFormat="1" ht="18" customHeight="1" x14ac:dyDescent="0.25">
      <c r="A421" s="125">
        <v>420</v>
      </c>
      <c r="B421" s="126" t="s">
        <v>525</v>
      </c>
      <c r="C421" s="126" t="s">
        <v>2995</v>
      </c>
      <c r="D421" s="126" t="s">
        <v>2938</v>
      </c>
      <c r="E421" s="127" t="s">
        <v>841</v>
      </c>
      <c r="F421" s="128"/>
      <c r="G421" s="128" t="s">
        <v>3290</v>
      </c>
      <c r="H421" s="125" t="s">
        <v>2394</v>
      </c>
      <c r="I421" s="125"/>
      <c r="J421" s="129"/>
      <c r="K421" s="130"/>
      <c r="L421" s="129"/>
      <c r="M421" s="127" t="s">
        <v>759</v>
      </c>
      <c r="N421" s="127" t="s">
        <v>1639</v>
      </c>
      <c r="O421" s="127" t="s">
        <v>1436</v>
      </c>
      <c r="P421" s="127">
        <v>0</v>
      </c>
      <c r="Q421" s="127">
        <v>0</v>
      </c>
      <c r="R421" s="127">
        <v>0</v>
      </c>
      <c r="S421" s="127">
        <v>0</v>
      </c>
      <c r="T421" s="127">
        <v>0</v>
      </c>
      <c r="U421" s="127">
        <v>0</v>
      </c>
      <c r="V421" s="127">
        <v>0</v>
      </c>
      <c r="W421" s="127" t="s">
        <v>1515</v>
      </c>
      <c r="X421" s="127" t="s">
        <v>525</v>
      </c>
      <c r="Y421" s="127" t="s">
        <v>1436</v>
      </c>
      <c r="Z421" s="127">
        <v>0</v>
      </c>
      <c r="AA421" s="127" t="s">
        <v>2511</v>
      </c>
      <c r="AB421" s="131" t="s">
        <v>678</v>
      </c>
      <c r="AC421" s="127" t="s">
        <v>2062</v>
      </c>
      <c r="AD421" s="131" t="s">
        <v>841</v>
      </c>
      <c r="AE421" s="131" t="e">
        <v>#N/A</v>
      </c>
      <c r="AF421" s="131" t="e">
        <v>#N/A</v>
      </c>
      <c r="AG421" s="131" t="e">
        <v>#REF!</v>
      </c>
    </row>
    <row r="422" spans="1:33" s="131" customFormat="1" ht="18" customHeight="1" x14ac:dyDescent="0.25">
      <c r="A422" s="125">
        <v>421</v>
      </c>
      <c r="B422" s="126" t="s">
        <v>512</v>
      </c>
      <c r="C422" s="126" t="s">
        <v>2996</v>
      </c>
      <c r="D422" s="126" t="s">
        <v>2950</v>
      </c>
      <c r="E422" s="127" t="s">
        <v>841</v>
      </c>
      <c r="F422" s="128"/>
      <c r="G422" s="128" t="s">
        <v>3290</v>
      </c>
      <c r="H422" s="125" t="s">
        <v>2394</v>
      </c>
      <c r="I422" s="125"/>
      <c r="J422" s="129"/>
      <c r="K422" s="130"/>
      <c r="L422" s="129"/>
      <c r="M422" s="127" t="s">
        <v>759</v>
      </c>
      <c r="N422" s="127" t="s">
        <v>1639</v>
      </c>
      <c r="O422" s="127" t="s">
        <v>1553</v>
      </c>
      <c r="P422" s="127">
        <v>0</v>
      </c>
      <c r="Q422" s="127">
        <v>2</v>
      </c>
      <c r="R422" s="127" t="s">
        <v>1449</v>
      </c>
      <c r="S422" s="127" t="s">
        <v>512</v>
      </c>
      <c r="T422" s="127">
        <v>0</v>
      </c>
      <c r="U422" s="127">
        <v>0</v>
      </c>
      <c r="V422" s="127">
        <v>0</v>
      </c>
      <c r="W422" s="127">
        <v>0</v>
      </c>
      <c r="X422" s="127">
        <v>0</v>
      </c>
      <c r="Y422" s="127">
        <v>0</v>
      </c>
      <c r="Z422" s="127">
        <v>0</v>
      </c>
      <c r="AA422" s="127" t="s">
        <v>2511</v>
      </c>
      <c r="AB422" s="131" t="s">
        <v>679</v>
      </c>
      <c r="AC422" s="127" t="s">
        <v>2063</v>
      </c>
      <c r="AD422" s="131" t="s">
        <v>841</v>
      </c>
      <c r="AE422" s="131" t="e">
        <v>#N/A</v>
      </c>
      <c r="AF422" s="131" t="e">
        <v>#N/A</v>
      </c>
      <c r="AG422" s="131" t="e">
        <v>#REF!</v>
      </c>
    </row>
    <row r="423" spans="1:33" s="131" customFormat="1" ht="18" customHeight="1" x14ac:dyDescent="0.25">
      <c r="A423" s="125">
        <v>422</v>
      </c>
      <c r="B423" s="126" t="s">
        <v>527</v>
      </c>
      <c r="C423" s="126" t="s">
        <v>2997</v>
      </c>
      <c r="D423" s="126" t="s">
        <v>2938</v>
      </c>
      <c r="E423" s="127" t="s">
        <v>339</v>
      </c>
      <c r="F423" s="128" t="s">
        <v>2410</v>
      </c>
      <c r="G423" s="128" t="s">
        <v>3294</v>
      </c>
      <c r="H423" s="125" t="s">
        <v>2394</v>
      </c>
      <c r="I423" s="125"/>
      <c r="J423" s="129"/>
      <c r="K423" s="130" t="s">
        <v>376</v>
      </c>
      <c r="L423" s="129"/>
      <c r="M423" s="127" t="s">
        <v>759</v>
      </c>
      <c r="N423" s="127" t="s">
        <v>1639</v>
      </c>
      <c r="O423" s="127" t="s">
        <v>1553</v>
      </c>
      <c r="P423" s="127">
        <v>0</v>
      </c>
      <c r="Q423" s="127">
        <v>2</v>
      </c>
      <c r="R423" s="127" t="s">
        <v>1513</v>
      </c>
      <c r="S423" s="127" t="s">
        <v>527</v>
      </c>
      <c r="T423" s="127">
        <v>0</v>
      </c>
      <c r="U423" s="127">
        <v>0</v>
      </c>
      <c r="V423" s="127">
        <v>0</v>
      </c>
      <c r="W423" s="127">
        <v>0</v>
      </c>
      <c r="X423" s="127">
        <v>0</v>
      </c>
      <c r="Y423" s="127">
        <v>0</v>
      </c>
      <c r="Z423" s="127">
        <v>0</v>
      </c>
      <c r="AA423" s="127" t="s">
        <v>2511</v>
      </c>
      <c r="AB423" s="131" t="s">
        <v>680</v>
      </c>
      <c r="AC423" s="127" t="s">
        <v>2064</v>
      </c>
      <c r="AD423" s="131" t="s">
        <v>339</v>
      </c>
      <c r="AE423" s="131" t="s">
        <v>376</v>
      </c>
      <c r="AF423" s="131" t="b">
        <v>1</v>
      </c>
      <c r="AG423" s="131" t="e">
        <v>#REF!</v>
      </c>
    </row>
    <row r="424" spans="1:33" s="131" customFormat="1" ht="18" customHeight="1" x14ac:dyDescent="0.25">
      <c r="A424" s="125">
        <v>423</v>
      </c>
      <c r="B424" s="126" t="s">
        <v>513</v>
      </c>
      <c r="C424" s="126" t="s">
        <v>2998</v>
      </c>
      <c r="D424" s="126" t="s">
        <v>2938</v>
      </c>
      <c r="E424" s="127" t="s">
        <v>841</v>
      </c>
      <c r="F424" s="128"/>
      <c r="G424" s="128" t="s">
        <v>3290</v>
      </c>
      <c r="H424" s="125" t="s">
        <v>931</v>
      </c>
      <c r="I424" s="125"/>
      <c r="J424" s="129"/>
      <c r="K424" s="130"/>
      <c r="L424" s="129"/>
      <c r="M424" s="127" t="s">
        <v>759</v>
      </c>
      <c r="N424" s="127" t="s">
        <v>1639</v>
      </c>
      <c r="O424" s="127" t="s">
        <v>1553</v>
      </c>
      <c r="P424" s="127">
        <v>0</v>
      </c>
      <c r="Q424" s="127">
        <v>2</v>
      </c>
      <c r="R424" s="127" t="s">
        <v>1514</v>
      </c>
      <c r="S424" s="127" t="s">
        <v>513</v>
      </c>
      <c r="T424" s="127">
        <v>0</v>
      </c>
      <c r="U424" s="127">
        <v>0</v>
      </c>
      <c r="V424" s="127">
        <v>0</v>
      </c>
      <c r="W424" s="127">
        <v>0</v>
      </c>
      <c r="X424" s="127">
        <v>0</v>
      </c>
      <c r="Y424" s="127">
        <v>0</v>
      </c>
      <c r="Z424" s="127">
        <v>0</v>
      </c>
      <c r="AA424" s="127" t="s">
        <v>2511</v>
      </c>
      <c r="AB424" s="131" t="s">
        <v>681</v>
      </c>
      <c r="AC424" s="127" t="s">
        <v>2065</v>
      </c>
      <c r="AD424" s="131" t="s">
        <v>841</v>
      </c>
      <c r="AE424" s="131" t="e">
        <v>#N/A</v>
      </c>
      <c r="AF424" s="131" t="e">
        <v>#N/A</v>
      </c>
      <c r="AG424" s="131" t="e">
        <v>#REF!</v>
      </c>
    </row>
    <row r="425" spans="1:33" s="131" customFormat="1" ht="15.75" x14ac:dyDescent="0.25">
      <c r="A425" s="125">
        <v>424</v>
      </c>
      <c r="B425" s="126" t="s">
        <v>559</v>
      </c>
      <c r="C425" s="126" t="s">
        <v>2999</v>
      </c>
      <c r="D425" s="126" t="s">
        <v>2943</v>
      </c>
      <c r="E425" s="127" t="s">
        <v>339</v>
      </c>
      <c r="F425" s="128" t="s">
        <v>2410</v>
      </c>
      <c r="G425" s="128" t="s">
        <v>3294</v>
      </c>
      <c r="H425" s="125"/>
      <c r="I425" s="125"/>
      <c r="J425" s="129" t="s">
        <v>1641</v>
      </c>
      <c r="K425" s="130" t="s">
        <v>354</v>
      </c>
      <c r="L425" s="129"/>
      <c r="M425" s="127" t="s">
        <v>757</v>
      </c>
      <c r="N425" s="127" t="s">
        <v>1641</v>
      </c>
      <c r="O425" s="127" t="s">
        <v>1553</v>
      </c>
      <c r="P425" s="127">
        <v>0</v>
      </c>
      <c r="Q425" s="127">
        <v>2</v>
      </c>
      <c r="R425" s="127" t="s">
        <v>1470</v>
      </c>
      <c r="S425" s="127" t="s">
        <v>559</v>
      </c>
      <c r="T425" s="127">
        <v>0</v>
      </c>
      <c r="U425" s="127">
        <v>0</v>
      </c>
      <c r="V425" s="127">
        <v>0</v>
      </c>
      <c r="W425" s="127">
        <v>0</v>
      </c>
      <c r="X425" s="127">
        <v>0</v>
      </c>
      <c r="Y425" s="127">
        <v>0</v>
      </c>
      <c r="Z425" s="127">
        <v>0</v>
      </c>
      <c r="AA425" s="127" t="s">
        <v>2511</v>
      </c>
      <c r="AB425" s="131" t="s">
        <v>682</v>
      </c>
      <c r="AC425" s="127" t="s">
        <v>2066</v>
      </c>
      <c r="AD425" s="131" t="s">
        <v>339</v>
      </c>
      <c r="AE425" s="131" t="s">
        <v>354</v>
      </c>
      <c r="AF425" s="131" t="b">
        <v>1</v>
      </c>
      <c r="AG425" s="131" t="e">
        <v>#REF!</v>
      </c>
    </row>
    <row r="426" spans="1:33" s="131" customFormat="1" ht="15.75" x14ac:dyDescent="0.25">
      <c r="A426" s="125">
        <v>425</v>
      </c>
      <c r="B426" s="126" t="s">
        <v>558</v>
      </c>
      <c r="C426" s="126" t="s">
        <v>3000</v>
      </c>
      <c r="D426" s="126" t="s">
        <v>2943</v>
      </c>
      <c r="E426" s="127" t="s">
        <v>339</v>
      </c>
      <c r="F426" s="128" t="s">
        <v>2410</v>
      </c>
      <c r="G426" s="128" t="s">
        <v>3294</v>
      </c>
      <c r="H426" s="125"/>
      <c r="I426" s="125"/>
      <c r="J426" s="129" t="s">
        <v>1641</v>
      </c>
      <c r="K426" s="130" t="s">
        <v>369</v>
      </c>
      <c r="L426" s="129"/>
      <c r="M426" s="127" t="s">
        <v>757</v>
      </c>
      <c r="N426" s="127" t="s">
        <v>1641</v>
      </c>
      <c r="O426" s="127" t="s">
        <v>1553</v>
      </c>
      <c r="P426" s="127">
        <v>0</v>
      </c>
      <c r="Q426" s="127">
        <v>2</v>
      </c>
      <c r="R426" s="127" t="s">
        <v>1512</v>
      </c>
      <c r="S426" s="127" t="s">
        <v>558</v>
      </c>
      <c r="T426" s="127">
        <v>0</v>
      </c>
      <c r="U426" s="127">
        <v>0</v>
      </c>
      <c r="V426" s="127">
        <v>0</v>
      </c>
      <c r="W426" s="127">
        <v>0</v>
      </c>
      <c r="X426" s="127">
        <v>0</v>
      </c>
      <c r="Y426" s="127">
        <v>0</v>
      </c>
      <c r="Z426" s="127">
        <v>0</v>
      </c>
      <c r="AA426" s="127" t="s">
        <v>2511</v>
      </c>
      <c r="AB426" s="131" t="s">
        <v>683</v>
      </c>
      <c r="AC426" s="127" t="s">
        <v>2067</v>
      </c>
      <c r="AD426" s="131" t="s">
        <v>339</v>
      </c>
      <c r="AE426" s="131" t="s">
        <v>369</v>
      </c>
      <c r="AF426" s="131" t="b">
        <v>1</v>
      </c>
      <c r="AG426" s="131" t="e">
        <v>#REF!</v>
      </c>
    </row>
    <row r="427" spans="1:33" s="131" customFormat="1" ht="18" customHeight="1" x14ac:dyDescent="0.25">
      <c r="A427" s="125">
        <v>426</v>
      </c>
      <c r="B427" s="126" t="s">
        <v>568</v>
      </c>
      <c r="C427" s="126" t="s">
        <v>3001</v>
      </c>
      <c r="D427" s="126" t="s">
        <v>2943</v>
      </c>
      <c r="E427" s="127" t="s">
        <v>339</v>
      </c>
      <c r="F427" s="128" t="s">
        <v>2410</v>
      </c>
      <c r="G427" s="128" t="s">
        <v>3294</v>
      </c>
      <c r="H427" s="125" t="s">
        <v>952</v>
      </c>
      <c r="I427" s="125"/>
      <c r="J427" s="129"/>
      <c r="K427" s="130" t="s">
        <v>278</v>
      </c>
      <c r="L427" s="129"/>
      <c r="M427" s="127" t="s">
        <v>759</v>
      </c>
      <c r="N427" s="127" t="s">
        <v>1639</v>
      </c>
      <c r="O427" s="127" t="s">
        <v>1427</v>
      </c>
      <c r="P427" s="127">
        <v>0</v>
      </c>
      <c r="Q427" s="127">
        <v>0</v>
      </c>
      <c r="R427" s="127">
        <v>0</v>
      </c>
      <c r="S427" s="127">
        <v>0</v>
      </c>
      <c r="T427" s="127">
        <v>2</v>
      </c>
      <c r="U427" s="127" t="s">
        <v>1518</v>
      </c>
      <c r="V427" s="127" t="s">
        <v>568</v>
      </c>
      <c r="W427" s="127">
        <v>0</v>
      </c>
      <c r="X427" s="127">
        <v>0</v>
      </c>
      <c r="Y427" s="127">
        <v>0</v>
      </c>
      <c r="Z427" s="127">
        <v>0</v>
      </c>
      <c r="AA427" s="127" t="s">
        <v>2511</v>
      </c>
      <c r="AB427" s="131" t="s">
        <v>684</v>
      </c>
      <c r="AC427" s="127" t="s">
        <v>2068</v>
      </c>
      <c r="AD427" s="131" t="s">
        <v>339</v>
      </c>
      <c r="AE427" s="131" t="s">
        <v>278</v>
      </c>
      <c r="AF427" s="131" t="b">
        <v>1</v>
      </c>
      <c r="AG427" s="131" t="e">
        <v>#REF!</v>
      </c>
    </row>
    <row r="428" spans="1:33" s="131" customFormat="1" ht="18" customHeight="1" x14ac:dyDescent="0.25">
      <c r="A428" s="125">
        <v>427</v>
      </c>
      <c r="B428" s="126" t="s">
        <v>581</v>
      </c>
      <c r="C428" s="126" t="s">
        <v>3002</v>
      </c>
      <c r="D428" s="126" t="s">
        <v>2938</v>
      </c>
      <c r="E428" s="127" t="s">
        <v>841</v>
      </c>
      <c r="F428" s="128" t="s">
        <v>2410</v>
      </c>
      <c r="G428" s="128" t="s">
        <v>3294</v>
      </c>
      <c r="H428" s="125" t="s">
        <v>993</v>
      </c>
      <c r="I428" s="125"/>
      <c r="J428" s="129"/>
      <c r="K428" s="130" t="s">
        <v>370</v>
      </c>
      <c r="L428" s="129"/>
      <c r="M428" s="127" t="s">
        <v>759</v>
      </c>
      <c r="N428" s="127" t="s">
        <v>1639</v>
      </c>
      <c r="O428" s="127" t="s">
        <v>1427</v>
      </c>
      <c r="P428" s="127">
        <v>0</v>
      </c>
      <c r="Q428" s="127">
        <v>0</v>
      </c>
      <c r="R428" s="127">
        <v>0</v>
      </c>
      <c r="S428" s="127">
        <v>0</v>
      </c>
      <c r="T428" s="127">
        <v>4</v>
      </c>
      <c r="U428" s="127" t="s">
        <v>805</v>
      </c>
      <c r="V428" s="127" t="s">
        <v>581</v>
      </c>
      <c r="W428" s="127">
        <v>0</v>
      </c>
      <c r="X428" s="127">
        <v>0</v>
      </c>
      <c r="Y428" s="127">
        <v>0</v>
      </c>
      <c r="Z428" s="127">
        <v>0</v>
      </c>
      <c r="AA428" s="127" t="s">
        <v>2511</v>
      </c>
      <c r="AB428" s="131" t="s">
        <v>685</v>
      </c>
      <c r="AC428" s="127" t="s">
        <v>2069</v>
      </c>
      <c r="AD428" s="131" t="s">
        <v>841</v>
      </c>
      <c r="AE428" s="131" t="s">
        <v>370</v>
      </c>
      <c r="AF428" s="131" t="b">
        <v>1</v>
      </c>
      <c r="AG428" s="131" t="e">
        <v>#REF!</v>
      </c>
    </row>
    <row r="429" spans="1:33" s="131" customFormat="1" ht="18" customHeight="1" x14ac:dyDescent="0.25">
      <c r="A429" s="125">
        <v>428</v>
      </c>
      <c r="B429" s="126" t="s">
        <v>582</v>
      </c>
      <c r="C429" s="126" t="s">
        <v>3003</v>
      </c>
      <c r="D429" s="126" t="s">
        <v>2938</v>
      </c>
      <c r="E429" s="127" t="s">
        <v>340</v>
      </c>
      <c r="F429" s="128"/>
      <c r="G429" s="128" t="s">
        <v>3290</v>
      </c>
      <c r="H429" s="125" t="s">
        <v>998</v>
      </c>
      <c r="I429" s="125"/>
      <c r="J429" s="129"/>
      <c r="K429" s="130"/>
      <c r="L429" s="129"/>
      <c r="M429" s="127" t="s">
        <v>759</v>
      </c>
      <c r="N429" s="127" t="s">
        <v>1639</v>
      </c>
      <c r="O429" s="127" t="s">
        <v>1427</v>
      </c>
      <c r="P429" s="127">
        <v>0</v>
      </c>
      <c r="Q429" s="127">
        <v>0</v>
      </c>
      <c r="R429" s="127">
        <v>0</v>
      </c>
      <c r="S429" s="127">
        <v>0</v>
      </c>
      <c r="T429" s="127">
        <v>2</v>
      </c>
      <c r="U429" s="127" t="s">
        <v>802</v>
      </c>
      <c r="V429" s="127" t="s">
        <v>582</v>
      </c>
      <c r="W429" s="127" t="s">
        <v>802</v>
      </c>
      <c r="X429" s="127" t="s">
        <v>582</v>
      </c>
      <c r="Y429" s="127" t="s">
        <v>1573</v>
      </c>
      <c r="Z429" s="127">
        <v>0</v>
      </c>
      <c r="AA429" s="127" t="s">
        <v>2511</v>
      </c>
      <c r="AB429" s="131" t="s">
        <v>686</v>
      </c>
      <c r="AC429" s="127" t="s">
        <v>2070</v>
      </c>
      <c r="AD429" s="131" t="s">
        <v>340</v>
      </c>
      <c r="AE429" s="131" t="e">
        <v>#N/A</v>
      </c>
      <c r="AF429" s="131" t="e">
        <v>#N/A</v>
      </c>
      <c r="AG429" s="131" t="e">
        <v>#REF!</v>
      </c>
    </row>
    <row r="430" spans="1:33" s="131" customFormat="1" ht="18" customHeight="1" x14ac:dyDescent="0.25">
      <c r="A430" s="125">
        <v>429</v>
      </c>
      <c r="B430" s="126" t="s">
        <v>578</v>
      </c>
      <c r="C430" s="126" t="s">
        <v>3004</v>
      </c>
      <c r="D430" s="126" t="s">
        <v>2950</v>
      </c>
      <c r="E430" s="127" t="s">
        <v>841</v>
      </c>
      <c r="F430" s="128" t="s">
        <v>2410</v>
      </c>
      <c r="G430" s="128" t="s">
        <v>3294</v>
      </c>
      <c r="H430" s="125" t="s">
        <v>2394</v>
      </c>
      <c r="I430" s="125"/>
      <c r="J430" s="132"/>
      <c r="K430" s="130" t="s">
        <v>372</v>
      </c>
      <c r="L430" s="129"/>
      <c r="M430" s="127" t="s">
        <v>759</v>
      </c>
      <c r="N430" s="127" t="s">
        <v>1639</v>
      </c>
      <c r="O430" s="127" t="s">
        <v>1427</v>
      </c>
      <c r="P430" s="127">
        <v>0</v>
      </c>
      <c r="Q430" s="127">
        <v>0</v>
      </c>
      <c r="R430" s="127">
        <v>0</v>
      </c>
      <c r="S430" s="127">
        <v>0</v>
      </c>
      <c r="T430" s="127">
        <v>2</v>
      </c>
      <c r="U430" s="127" t="s">
        <v>804</v>
      </c>
      <c r="V430" s="127" t="s">
        <v>578</v>
      </c>
      <c r="W430" s="127">
        <v>0</v>
      </c>
      <c r="X430" s="127">
        <v>0</v>
      </c>
      <c r="Y430" s="127">
        <v>0</v>
      </c>
      <c r="Z430" s="127">
        <v>0</v>
      </c>
      <c r="AA430" s="127" t="s">
        <v>2511</v>
      </c>
      <c r="AB430" s="131" t="s">
        <v>687</v>
      </c>
      <c r="AC430" s="127" t="s">
        <v>2071</v>
      </c>
      <c r="AD430" s="131" t="s">
        <v>841</v>
      </c>
      <c r="AE430" s="131" t="s">
        <v>372</v>
      </c>
      <c r="AF430" s="131" t="b">
        <v>1</v>
      </c>
      <c r="AG430" s="131" t="e">
        <v>#REF!</v>
      </c>
    </row>
    <row r="431" spans="1:33" s="131" customFormat="1" ht="18" customHeight="1" x14ac:dyDescent="0.25">
      <c r="A431" s="125">
        <v>430</v>
      </c>
      <c r="B431" s="126" t="s">
        <v>873</v>
      </c>
      <c r="C431" s="126" t="s">
        <v>3005</v>
      </c>
      <c r="D431" s="126" t="s">
        <v>2950</v>
      </c>
      <c r="E431" s="127" t="s">
        <v>841</v>
      </c>
      <c r="F431" s="128" t="s">
        <v>2410</v>
      </c>
      <c r="G431" s="128" t="s">
        <v>3294</v>
      </c>
      <c r="H431" s="125"/>
      <c r="I431" s="125"/>
      <c r="J431" s="132" t="s">
        <v>1641</v>
      </c>
      <c r="K431" s="130" t="s">
        <v>360</v>
      </c>
      <c r="L431" s="129"/>
      <c r="M431" s="127" t="s">
        <v>759</v>
      </c>
      <c r="N431" s="127" t="s">
        <v>1641</v>
      </c>
      <c r="O431" s="127" t="s">
        <v>1427</v>
      </c>
      <c r="P431" s="127">
        <v>0</v>
      </c>
      <c r="Q431" s="127">
        <v>0</v>
      </c>
      <c r="R431" s="127">
        <v>0</v>
      </c>
      <c r="S431" s="127">
        <v>0</v>
      </c>
      <c r="T431" s="127">
        <v>2</v>
      </c>
      <c r="U431" s="127" t="s">
        <v>1516</v>
      </c>
      <c r="V431" s="127" t="s">
        <v>873</v>
      </c>
      <c r="W431" s="127">
        <v>0</v>
      </c>
      <c r="X431" s="127">
        <v>0</v>
      </c>
      <c r="Y431" s="127">
        <v>0</v>
      </c>
      <c r="Z431" s="127">
        <v>0</v>
      </c>
      <c r="AA431" s="127" t="s">
        <v>2511</v>
      </c>
      <c r="AB431" s="131" t="s">
        <v>1674</v>
      </c>
      <c r="AC431" s="127" t="s">
        <v>1735</v>
      </c>
      <c r="AD431" s="131" t="s">
        <v>841</v>
      </c>
      <c r="AE431" s="131" t="s">
        <v>360</v>
      </c>
      <c r="AF431" s="131" t="b">
        <v>1</v>
      </c>
      <c r="AG431" s="131" t="e">
        <v>#REF!</v>
      </c>
    </row>
    <row r="432" spans="1:33" s="131" customFormat="1" ht="18" customHeight="1" x14ac:dyDescent="0.25">
      <c r="A432" s="125">
        <v>431</v>
      </c>
      <c r="B432" s="126" t="s">
        <v>2329</v>
      </c>
      <c r="C432" s="126" t="s">
        <v>3006</v>
      </c>
      <c r="D432" s="126" t="s">
        <v>2950</v>
      </c>
      <c r="E432" s="127" t="s">
        <v>841</v>
      </c>
      <c r="F432" s="134" t="s">
        <v>2410</v>
      </c>
      <c r="G432" s="128" t="s">
        <v>3294</v>
      </c>
      <c r="H432" s="125"/>
      <c r="I432" s="125"/>
      <c r="J432" s="129" t="s">
        <v>1641</v>
      </c>
      <c r="K432" s="130" t="s">
        <v>51</v>
      </c>
      <c r="L432" s="129"/>
      <c r="M432" s="127"/>
      <c r="N432" s="127" t="s">
        <v>1641</v>
      </c>
      <c r="O432" s="127" t="s">
        <v>1427</v>
      </c>
      <c r="P432" s="127">
        <v>0</v>
      </c>
      <c r="Q432" s="127">
        <v>0</v>
      </c>
      <c r="R432" s="127">
        <v>0</v>
      </c>
      <c r="S432" s="127">
        <v>0</v>
      </c>
      <c r="T432" s="127">
        <v>2</v>
      </c>
      <c r="U432" s="127" t="s">
        <v>51</v>
      </c>
      <c r="V432" s="127" t="s">
        <v>2329</v>
      </c>
      <c r="W432" s="127">
        <v>0</v>
      </c>
      <c r="X432" s="127">
        <v>0</v>
      </c>
      <c r="Y432" s="127">
        <v>0</v>
      </c>
      <c r="Z432" s="127">
        <v>0</v>
      </c>
      <c r="AA432" s="127" t="s">
        <v>2511</v>
      </c>
      <c r="AB432" s="131" t="s">
        <v>2342</v>
      </c>
      <c r="AC432" s="127"/>
      <c r="AD432" s="131" t="s">
        <v>841</v>
      </c>
      <c r="AE432" s="131" t="e">
        <v>#N/A</v>
      </c>
      <c r="AF432" s="131" t="e">
        <v>#N/A</v>
      </c>
      <c r="AG432" s="131" t="e">
        <v>#REF!</v>
      </c>
    </row>
    <row r="433" spans="1:33" s="131" customFormat="1" ht="18" customHeight="1" x14ac:dyDescent="0.25">
      <c r="A433" s="125">
        <v>432</v>
      </c>
      <c r="B433" s="126" t="s">
        <v>1613</v>
      </c>
      <c r="C433" s="126" t="s">
        <v>3007</v>
      </c>
      <c r="D433" s="126" t="s">
        <v>2950</v>
      </c>
      <c r="E433" s="127" t="s">
        <v>841</v>
      </c>
      <c r="F433" s="128"/>
      <c r="G433" s="128" t="s">
        <v>3294</v>
      </c>
      <c r="H433" s="125"/>
      <c r="I433" s="125"/>
      <c r="J433" s="132" t="s">
        <v>1641</v>
      </c>
      <c r="K433" s="130"/>
      <c r="L433" s="129"/>
      <c r="M433" s="127" t="s">
        <v>759</v>
      </c>
      <c r="N433" s="127" t="s">
        <v>1641</v>
      </c>
      <c r="O433" s="127" t="s">
        <v>1427</v>
      </c>
      <c r="P433" s="127">
        <v>0</v>
      </c>
      <c r="Q433" s="127">
        <v>0</v>
      </c>
      <c r="R433" s="127">
        <v>0</v>
      </c>
      <c r="S433" s="127">
        <v>0</v>
      </c>
      <c r="T433" s="127">
        <v>2</v>
      </c>
      <c r="U433" s="127" t="s">
        <v>361</v>
      </c>
      <c r="V433" s="127" t="s">
        <v>1613</v>
      </c>
      <c r="W433" s="127">
        <v>0</v>
      </c>
      <c r="X433" s="127">
        <v>0</v>
      </c>
      <c r="Y433" s="127">
        <v>0</v>
      </c>
      <c r="Z433" s="127">
        <v>0</v>
      </c>
      <c r="AA433" s="127" t="s">
        <v>2511</v>
      </c>
      <c r="AB433" s="131" t="s">
        <v>1683</v>
      </c>
      <c r="AC433" s="127" t="e">
        <v>#N/A</v>
      </c>
      <c r="AD433" s="131" t="s">
        <v>841</v>
      </c>
      <c r="AE433" s="131" t="s">
        <v>3297</v>
      </c>
      <c r="AF433" s="131" t="b">
        <v>0</v>
      </c>
      <c r="AG433" s="131" t="e">
        <v>#REF!</v>
      </c>
    </row>
    <row r="434" spans="1:33" s="131" customFormat="1" ht="18" customHeight="1" x14ac:dyDescent="0.25">
      <c r="A434" s="125">
        <v>433</v>
      </c>
      <c r="B434" s="136" t="s">
        <v>1615</v>
      </c>
      <c r="C434" s="126" t="s">
        <v>3008</v>
      </c>
      <c r="D434" s="126" t="s">
        <v>2950</v>
      </c>
      <c r="E434" s="127" t="s">
        <v>841</v>
      </c>
      <c r="F434" s="128"/>
      <c r="G434" s="128" t="s">
        <v>3294</v>
      </c>
      <c r="H434" s="125"/>
      <c r="I434" s="125"/>
      <c r="J434" s="132" t="s">
        <v>1641</v>
      </c>
      <c r="K434" s="130"/>
      <c r="L434" s="129"/>
      <c r="M434" s="127" t="s">
        <v>759</v>
      </c>
      <c r="N434" s="127" t="s">
        <v>1641</v>
      </c>
      <c r="O434" s="127" t="s">
        <v>1427</v>
      </c>
      <c r="P434" s="127">
        <v>0</v>
      </c>
      <c r="Q434" s="127">
        <v>0</v>
      </c>
      <c r="R434" s="127">
        <v>0</v>
      </c>
      <c r="S434" s="127">
        <v>0</v>
      </c>
      <c r="T434" s="127">
        <v>2</v>
      </c>
      <c r="U434" s="127" t="s">
        <v>443</v>
      </c>
      <c r="V434" s="127" t="s">
        <v>1615</v>
      </c>
      <c r="W434" s="127">
        <v>0</v>
      </c>
      <c r="X434" s="127">
        <v>0</v>
      </c>
      <c r="Y434" s="127">
        <v>0</v>
      </c>
      <c r="Z434" s="127">
        <v>0</v>
      </c>
      <c r="AA434" s="127" t="s">
        <v>2511</v>
      </c>
      <c r="AB434" s="131" t="s">
        <v>1687</v>
      </c>
      <c r="AC434" s="127" t="s">
        <v>2289</v>
      </c>
      <c r="AD434" s="131" t="s">
        <v>841</v>
      </c>
      <c r="AE434" s="131" t="s">
        <v>3297</v>
      </c>
      <c r="AF434" s="131" t="b">
        <v>0</v>
      </c>
      <c r="AG434" s="131" t="e">
        <v>#REF!</v>
      </c>
    </row>
    <row r="435" spans="1:33" s="131" customFormat="1" ht="18" customHeight="1" x14ac:dyDescent="0.25">
      <c r="A435" s="125">
        <v>434</v>
      </c>
      <c r="B435" s="136" t="s">
        <v>1616</v>
      </c>
      <c r="C435" s="126" t="s">
        <v>3009</v>
      </c>
      <c r="D435" s="126" t="s">
        <v>2938</v>
      </c>
      <c r="E435" s="127" t="s">
        <v>340</v>
      </c>
      <c r="F435" s="128"/>
      <c r="G435" s="128" t="s">
        <v>3294</v>
      </c>
      <c r="H435" s="125"/>
      <c r="I435" s="125"/>
      <c r="J435" s="132" t="s">
        <v>1641</v>
      </c>
      <c r="K435" s="130"/>
      <c r="L435" s="129"/>
      <c r="M435" s="127" t="s">
        <v>759</v>
      </c>
      <c r="N435" s="127" t="s">
        <v>1641</v>
      </c>
      <c r="O435" s="127" t="s">
        <v>1427</v>
      </c>
      <c r="P435" s="127">
        <v>0</v>
      </c>
      <c r="Q435" s="127">
        <v>0</v>
      </c>
      <c r="R435" s="127">
        <v>0</v>
      </c>
      <c r="S435" s="127">
        <v>0</v>
      </c>
      <c r="T435" s="127">
        <v>2</v>
      </c>
      <c r="U435" s="127" t="s">
        <v>526</v>
      </c>
      <c r="V435" s="127" t="s">
        <v>1616</v>
      </c>
      <c r="W435" s="127">
        <v>0</v>
      </c>
      <c r="X435" s="127">
        <v>0</v>
      </c>
      <c r="Y435" s="127">
        <v>0</v>
      </c>
      <c r="Z435" s="127">
        <v>0</v>
      </c>
      <c r="AA435" s="127" t="s">
        <v>2511</v>
      </c>
      <c r="AB435" s="131" t="s">
        <v>1688</v>
      </c>
      <c r="AC435" s="127" t="e">
        <v>#N/A</v>
      </c>
      <c r="AD435" s="131" t="s">
        <v>340</v>
      </c>
      <c r="AE435" s="131" t="s">
        <v>3297</v>
      </c>
      <c r="AF435" s="131" t="b">
        <v>0</v>
      </c>
      <c r="AG435" s="131" t="e">
        <v>#REF!</v>
      </c>
    </row>
    <row r="436" spans="1:33" s="131" customFormat="1" ht="18" customHeight="1" x14ac:dyDescent="0.25">
      <c r="A436" s="125">
        <v>435</v>
      </c>
      <c r="B436" s="136" t="s">
        <v>1617</v>
      </c>
      <c r="C436" s="126" t="s">
        <v>3010</v>
      </c>
      <c r="D436" s="126" t="s">
        <v>2943</v>
      </c>
      <c r="E436" s="127" t="s">
        <v>339</v>
      </c>
      <c r="F436" s="128"/>
      <c r="G436" s="128" t="s">
        <v>3294</v>
      </c>
      <c r="H436" s="125"/>
      <c r="I436" s="125"/>
      <c r="J436" s="132" t="s">
        <v>1641</v>
      </c>
      <c r="K436" s="130"/>
      <c r="L436" s="129"/>
      <c r="M436" s="127" t="s">
        <v>759</v>
      </c>
      <c r="N436" s="127" t="s">
        <v>1641</v>
      </c>
      <c r="O436" s="127" t="s">
        <v>1427</v>
      </c>
      <c r="P436" s="127">
        <v>0</v>
      </c>
      <c r="Q436" s="127">
        <v>0</v>
      </c>
      <c r="R436" s="127">
        <v>0</v>
      </c>
      <c r="S436" s="127">
        <v>0</v>
      </c>
      <c r="T436" s="127">
        <v>2</v>
      </c>
      <c r="U436" s="127" t="s">
        <v>275</v>
      </c>
      <c r="V436" s="127" t="s">
        <v>1617</v>
      </c>
      <c r="W436" s="127">
        <v>0</v>
      </c>
      <c r="X436" s="127">
        <v>0</v>
      </c>
      <c r="Y436" s="127">
        <v>0</v>
      </c>
      <c r="Z436" s="127">
        <v>0</v>
      </c>
      <c r="AA436" s="127" t="s">
        <v>2511</v>
      </c>
      <c r="AB436" s="131" t="s">
        <v>1689</v>
      </c>
      <c r="AC436" s="127" t="s">
        <v>2290</v>
      </c>
      <c r="AD436" s="131" t="s">
        <v>339</v>
      </c>
      <c r="AE436" s="131" t="s">
        <v>3297</v>
      </c>
      <c r="AF436" s="131" t="b">
        <v>0</v>
      </c>
      <c r="AG436" s="131" t="e">
        <v>#REF!</v>
      </c>
    </row>
    <row r="437" spans="1:33" s="131" customFormat="1" ht="18" customHeight="1" x14ac:dyDescent="0.25">
      <c r="A437" s="125">
        <v>436</v>
      </c>
      <c r="B437" s="126" t="s">
        <v>2354</v>
      </c>
      <c r="C437" s="126" t="s">
        <v>3011</v>
      </c>
      <c r="D437" s="126" t="s">
        <v>2950</v>
      </c>
      <c r="E437" s="127" t="s">
        <v>841</v>
      </c>
      <c r="F437" s="134" t="s">
        <v>2410</v>
      </c>
      <c r="G437" s="128" t="s">
        <v>3294</v>
      </c>
      <c r="H437" s="125"/>
      <c r="I437" s="125"/>
      <c r="J437" s="132"/>
      <c r="K437" s="130" t="s">
        <v>360</v>
      </c>
      <c r="L437" s="129" t="s">
        <v>2550</v>
      </c>
      <c r="M437" s="127" t="s">
        <v>2356</v>
      </c>
      <c r="N437" s="127" t="s">
        <v>764</v>
      </c>
      <c r="O437" s="127" t="s">
        <v>1427</v>
      </c>
      <c r="P437" s="127">
        <v>0</v>
      </c>
      <c r="Q437" s="127">
        <v>0</v>
      </c>
      <c r="R437" s="127">
        <v>0</v>
      </c>
      <c r="S437" s="127">
        <v>0</v>
      </c>
      <c r="T437" s="127">
        <v>2</v>
      </c>
      <c r="U437" s="127" t="s">
        <v>1516</v>
      </c>
      <c r="V437" s="127" t="s">
        <v>2354</v>
      </c>
      <c r="W437" s="127">
        <v>0</v>
      </c>
      <c r="X437" s="127">
        <v>0</v>
      </c>
      <c r="Y437" s="127">
        <v>0</v>
      </c>
      <c r="Z437" s="127">
        <v>0</v>
      </c>
      <c r="AA437" s="127" t="s">
        <v>2511</v>
      </c>
      <c r="AB437" s="131" t="s">
        <v>1681</v>
      </c>
      <c r="AC437" s="127"/>
      <c r="AD437" s="131" t="s">
        <v>841</v>
      </c>
      <c r="AE437" s="131" t="e">
        <v>#N/A</v>
      </c>
      <c r="AF437" s="131" t="e">
        <v>#N/A</v>
      </c>
      <c r="AG437" s="131" t="e">
        <v>#REF!</v>
      </c>
    </row>
    <row r="438" spans="1:33" s="131" customFormat="1" ht="18" customHeight="1" x14ac:dyDescent="0.25">
      <c r="A438" s="125">
        <v>437</v>
      </c>
      <c r="B438" s="126" t="s">
        <v>165</v>
      </c>
      <c r="C438" s="126" t="s">
        <v>3012</v>
      </c>
      <c r="D438" s="126" t="s">
        <v>3013</v>
      </c>
      <c r="E438" s="127" t="s">
        <v>2512</v>
      </c>
      <c r="F438" s="128" t="s">
        <v>2411</v>
      </c>
      <c r="G438" s="128" t="s">
        <v>3289</v>
      </c>
      <c r="H438" s="125" t="s">
        <v>1002</v>
      </c>
      <c r="I438" s="125"/>
      <c r="J438" s="129"/>
      <c r="K438" s="130"/>
      <c r="L438" s="129"/>
      <c r="M438" s="127" t="s">
        <v>761</v>
      </c>
      <c r="N438" s="127" t="s">
        <v>1639</v>
      </c>
      <c r="O438" s="127" t="s">
        <v>808</v>
      </c>
      <c r="P438" s="127" t="s">
        <v>812</v>
      </c>
      <c r="Q438" s="127">
        <v>0</v>
      </c>
      <c r="R438" s="127">
        <v>0</v>
      </c>
      <c r="S438" s="127">
        <v>0</v>
      </c>
      <c r="T438" s="127">
        <v>0</v>
      </c>
      <c r="U438" s="127">
        <v>0</v>
      </c>
      <c r="V438" s="127">
        <v>0</v>
      </c>
      <c r="W438" s="127">
        <v>0</v>
      </c>
      <c r="X438" s="127">
        <v>0</v>
      </c>
      <c r="Y438" s="127">
        <v>0</v>
      </c>
      <c r="Z438" s="127">
        <v>0</v>
      </c>
      <c r="AA438" s="127" t="s">
        <v>2511</v>
      </c>
      <c r="AB438" s="131" t="s">
        <v>1271</v>
      </c>
      <c r="AC438" s="127" t="s">
        <v>2072</v>
      </c>
      <c r="AD438" s="131" t="s">
        <v>2512</v>
      </c>
      <c r="AE438" s="131" t="e">
        <v>#N/A</v>
      </c>
      <c r="AF438" s="131" t="e">
        <v>#N/A</v>
      </c>
      <c r="AG438" s="131" t="e">
        <v>#REF!</v>
      </c>
    </row>
    <row r="439" spans="1:33" s="131" customFormat="1" ht="18" customHeight="1" x14ac:dyDescent="0.25">
      <c r="A439" s="125">
        <v>438</v>
      </c>
      <c r="B439" s="126" t="s">
        <v>166</v>
      </c>
      <c r="C439" s="126" t="s">
        <v>3014</v>
      </c>
      <c r="D439" s="126" t="s">
        <v>3013</v>
      </c>
      <c r="E439" s="127" t="s">
        <v>2512</v>
      </c>
      <c r="F439" s="128" t="s">
        <v>2410</v>
      </c>
      <c r="G439" s="128" t="s">
        <v>3294</v>
      </c>
      <c r="H439" s="125"/>
      <c r="I439" s="125"/>
      <c r="J439" s="132" t="s">
        <v>760</v>
      </c>
      <c r="K439" s="130" t="s">
        <v>165</v>
      </c>
      <c r="L439" s="129"/>
      <c r="M439" s="127" t="s">
        <v>760</v>
      </c>
      <c r="N439" s="127" t="s">
        <v>760</v>
      </c>
      <c r="O439" s="127" t="s">
        <v>1553</v>
      </c>
      <c r="P439" s="127">
        <v>0</v>
      </c>
      <c r="Q439" s="127">
        <v>2</v>
      </c>
      <c r="R439" s="127" t="s">
        <v>808</v>
      </c>
      <c r="S439" s="127" t="s">
        <v>165</v>
      </c>
      <c r="T439" s="127">
        <v>0</v>
      </c>
      <c r="U439" s="127">
        <v>0</v>
      </c>
      <c r="V439" s="127">
        <v>0</v>
      </c>
      <c r="W439" s="127" t="s">
        <v>808</v>
      </c>
      <c r="X439" s="127" t="s">
        <v>166</v>
      </c>
      <c r="Y439" s="127" t="s">
        <v>1570</v>
      </c>
      <c r="Z439" s="127">
        <v>0</v>
      </c>
      <c r="AA439" s="127" t="s">
        <v>2511</v>
      </c>
      <c r="AB439" s="131" t="s">
        <v>837</v>
      </c>
      <c r="AC439" s="127" t="e">
        <v>#N/A</v>
      </c>
      <c r="AD439" s="131" t="s">
        <v>2512</v>
      </c>
      <c r="AE439" s="131" t="s">
        <v>165</v>
      </c>
      <c r="AF439" s="131" t="b">
        <v>1</v>
      </c>
      <c r="AG439" s="131" t="e">
        <v>#REF!</v>
      </c>
    </row>
    <row r="440" spans="1:33" s="131" customFormat="1" ht="18" customHeight="1" x14ac:dyDescent="0.25">
      <c r="A440" s="125">
        <v>439</v>
      </c>
      <c r="B440" s="126" t="s">
        <v>153</v>
      </c>
      <c r="C440" s="126" t="s">
        <v>3015</v>
      </c>
      <c r="D440" s="126" t="s">
        <v>3013</v>
      </c>
      <c r="E440" s="127" t="s">
        <v>2512</v>
      </c>
      <c r="F440" s="128" t="s">
        <v>2411</v>
      </c>
      <c r="G440" s="128" t="s">
        <v>3290</v>
      </c>
      <c r="H440" s="125"/>
      <c r="I440" s="125" t="s">
        <v>934</v>
      </c>
      <c r="J440" s="132"/>
      <c r="K440" s="130"/>
      <c r="L440" s="129"/>
      <c r="M440" s="127" t="s">
        <v>759</v>
      </c>
      <c r="N440" s="127" t="s">
        <v>770</v>
      </c>
      <c r="O440" s="127" t="s">
        <v>1553</v>
      </c>
      <c r="P440" s="127" t="s">
        <v>1554</v>
      </c>
      <c r="Q440" s="127">
        <v>2</v>
      </c>
      <c r="R440" s="127" t="s">
        <v>1519</v>
      </c>
      <c r="S440" s="127" t="s">
        <v>153</v>
      </c>
      <c r="T440" s="127">
        <v>0</v>
      </c>
      <c r="U440" s="127">
        <v>0</v>
      </c>
      <c r="V440" s="127">
        <v>0</v>
      </c>
      <c r="W440" s="127" t="s">
        <v>808</v>
      </c>
      <c r="X440" s="127" t="s">
        <v>153</v>
      </c>
      <c r="Y440" s="127" t="s">
        <v>1573</v>
      </c>
      <c r="Z440" s="127">
        <v>0</v>
      </c>
      <c r="AA440" s="127" t="s">
        <v>2510</v>
      </c>
      <c r="AB440" s="131" t="s">
        <v>1272</v>
      </c>
      <c r="AC440" s="127" t="s">
        <v>2073</v>
      </c>
      <c r="AD440" s="131" t="s">
        <v>2512</v>
      </c>
      <c r="AE440" s="131" t="e">
        <v>#N/A</v>
      </c>
      <c r="AF440" s="131" t="e">
        <v>#N/A</v>
      </c>
      <c r="AG440" s="131" t="e">
        <v>#REF!</v>
      </c>
    </row>
    <row r="441" spans="1:33" s="131" customFormat="1" ht="18" customHeight="1" x14ac:dyDescent="0.25">
      <c r="A441" s="125">
        <v>440</v>
      </c>
      <c r="B441" s="126" t="s">
        <v>154</v>
      </c>
      <c r="C441" s="126" t="s">
        <v>3016</v>
      </c>
      <c r="D441" s="126" t="s">
        <v>3013</v>
      </c>
      <c r="E441" s="127" t="s">
        <v>2512</v>
      </c>
      <c r="F441" s="128"/>
      <c r="G441" s="128" t="s">
        <v>3290</v>
      </c>
      <c r="H441" s="125"/>
      <c r="I441" s="125"/>
      <c r="J441" s="132" t="s">
        <v>2520</v>
      </c>
      <c r="K441" s="130"/>
      <c r="L441" s="129"/>
      <c r="M441" s="127" t="s">
        <v>758</v>
      </c>
      <c r="N441" s="127" t="s">
        <v>2520</v>
      </c>
      <c r="O441" s="127" t="s">
        <v>1553</v>
      </c>
      <c r="P441" s="127">
        <v>0</v>
      </c>
      <c r="Q441" s="127">
        <v>2</v>
      </c>
      <c r="R441" s="127" t="s">
        <v>1520</v>
      </c>
      <c r="S441" s="127" t="s">
        <v>154</v>
      </c>
      <c r="T441" s="127">
        <v>0</v>
      </c>
      <c r="U441" s="127">
        <v>0</v>
      </c>
      <c r="V441" s="127">
        <v>0</v>
      </c>
      <c r="W441" s="127" t="s">
        <v>804</v>
      </c>
      <c r="X441" s="127" t="s">
        <v>154</v>
      </c>
      <c r="Y441" s="127" t="s">
        <v>1436</v>
      </c>
      <c r="Z441" s="127" t="s">
        <v>1568</v>
      </c>
      <c r="AA441" s="127" t="s">
        <v>2510</v>
      </c>
      <c r="AB441" s="131" t="s">
        <v>1273</v>
      </c>
      <c r="AC441" s="127" t="s">
        <v>2074</v>
      </c>
      <c r="AD441" s="131" t="s">
        <v>2512</v>
      </c>
      <c r="AE441" s="131" t="e">
        <v>#N/A</v>
      </c>
      <c r="AF441" s="131" t="e">
        <v>#N/A</v>
      </c>
      <c r="AG441" s="131" t="e">
        <v>#REF!</v>
      </c>
    </row>
    <row r="442" spans="1:33" s="131" customFormat="1" ht="18" customHeight="1" x14ac:dyDescent="0.25">
      <c r="A442" s="125">
        <v>441</v>
      </c>
      <c r="B442" s="126" t="s">
        <v>155</v>
      </c>
      <c r="C442" s="126" t="s">
        <v>3017</v>
      </c>
      <c r="D442" s="126" t="s">
        <v>3013</v>
      </c>
      <c r="E442" s="127" t="s">
        <v>2512</v>
      </c>
      <c r="F442" s="128" t="s">
        <v>2521</v>
      </c>
      <c r="G442" s="128" t="s">
        <v>3290</v>
      </c>
      <c r="H442" s="125"/>
      <c r="I442" s="125"/>
      <c r="J442" s="132" t="s">
        <v>2520</v>
      </c>
      <c r="K442" s="130"/>
      <c r="L442" s="129"/>
      <c r="M442" s="127" t="s">
        <v>758</v>
      </c>
      <c r="N442" s="127" t="s">
        <v>2520</v>
      </c>
      <c r="O442" s="127" t="s">
        <v>1553</v>
      </c>
      <c r="P442" s="127" t="s">
        <v>1554</v>
      </c>
      <c r="Q442" s="127">
        <v>2</v>
      </c>
      <c r="R442" s="127" t="s">
        <v>1458</v>
      </c>
      <c r="S442" s="127" t="s">
        <v>155</v>
      </c>
      <c r="T442" s="127">
        <v>0</v>
      </c>
      <c r="U442" s="127">
        <v>0</v>
      </c>
      <c r="V442" s="127">
        <v>0</v>
      </c>
      <c r="W442" s="127">
        <v>0</v>
      </c>
      <c r="X442" s="127">
        <v>0</v>
      </c>
      <c r="Y442" s="127">
        <v>0</v>
      </c>
      <c r="Z442" s="127" t="s">
        <v>1568</v>
      </c>
      <c r="AA442" s="127" t="s">
        <v>2511</v>
      </c>
      <c r="AB442" s="131" t="s">
        <v>1274</v>
      </c>
      <c r="AC442" s="127" t="s">
        <v>2075</v>
      </c>
      <c r="AD442" s="131" t="s">
        <v>2512</v>
      </c>
      <c r="AE442" s="131" t="e">
        <v>#N/A</v>
      </c>
      <c r="AF442" s="131" t="e">
        <v>#N/A</v>
      </c>
      <c r="AG442" s="131" t="e">
        <v>#REF!</v>
      </c>
    </row>
    <row r="443" spans="1:33" s="131" customFormat="1" ht="18" customHeight="1" x14ac:dyDescent="0.25">
      <c r="A443" s="125">
        <v>442</v>
      </c>
      <c r="B443" s="126" t="s">
        <v>167</v>
      </c>
      <c r="C443" s="126" t="s">
        <v>3018</v>
      </c>
      <c r="D443" s="126" t="s">
        <v>3019</v>
      </c>
      <c r="E443" s="127" t="s">
        <v>2512</v>
      </c>
      <c r="F443" s="128" t="s">
        <v>2411</v>
      </c>
      <c r="G443" s="128" t="s">
        <v>3290</v>
      </c>
      <c r="H443" s="125" t="s">
        <v>1732</v>
      </c>
      <c r="I443" s="125"/>
      <c r="J443" s="129"/>
      <c r="K443" s="130"/>
      <c r="L443" s="129"/>
      <c r="M443" s="127" t="s">
        <v>793</v>
      </c>
      <c r="N443" s="127" t="s">
        <v>1639</v>
      </c>
      <c r="O443" s="127" t="s">
        <v>1553</v>
      </c>
      <c r="P443" s="127" t="s">
        <v>1554</v>
      </c>
      <c r="Q443" s="127">
        <v>2</v>
      </c>
      <c r="R443" s="127" t="s">
        <v>810</v>
      </c>
      <c r="S443" s="127" t="s">
        <v>167</v>
      </c>
      <c r="T443" s="127">
        <v>0</v>
      </c>
      <c r="U443" s="127">
        <v>0</v>
      </c>
      <c r="V443" s="127">
        <v>0</v>
      </c>
      <c r="W443" s="127">
        <v>0</v>
      </c>
      <c r="X443" s="127">
        <v>0</v>
      </c>
      <c r="Y443" s="127">
        <v>0</v>
      </c>
      <c r="Z443" s="127" t="s">
        <v>1568</v>
      </c>
      <c r="AA443" s="127" t="s">
        <v>2510</v>
      </c>
      <c r="AB443" s="131" t="s">
        <v>1275</v>
      </c>
      <c r="AC443" s="127" t="s">
        <v>2076</v>
      </c>
      <c r="AD443" s="131" t="s">
        <v>2512</v>
      </c>
      <c r="AE443" s="131" t="e">
        <v>#N/A</v>
      </c>
      <c r="AF443" s="131" t="e">
        <v>#N/A</v>
      </c>
      <c r="AG443" s="131" t="e">
        <v>#REF!</v>
      </c>
    </row>
    <row r="444" spans="1:33" s="131" customFormat="1" ht="18" customHeight="1" x14ac:dyDescent="0.25">
      <c r="A444" s="125">
        <v>443</v>
      </c>
      <c r="B444" s="126" t="s">
        <v>168</v>
      </c>
      <c r="C444" s="126" t="s">
        <v>3020</v>
      </c>
      <c r="D444" s="126" t="s">
        <v>3021</v>
      </c>
      <c r="E444" s="127" t="s">
        <v>2512</v>
      </c>
      <c r="F444" s="128" t="s">
        <v>2411</v>
      </c>
      <c r="G444" s="128" t="s">
        <v>3289</v>
      </c>
      <c r="H444" s="125"/>
      <c r="I444" s="125"/>
      <c r="J444" s="132"/>
      <c r="K444" s="130"/>
      <c r="L444" s="129"/>
      <c r="M444" s="127" t="s">
        <v>758</v>
      </c>
      <c r="N444" s="127" t="s">
        <v>765</v>
      </c>
      <c r="O444" s="127" t="s">
        <v>1523</v>
      </c>
      <c r="P444" s="127" t="s">
        <v>812</v>
      </c>
      <c r="Q444" s="127">
        <v>0</v>
      </c>
      <c r="R444" s="127">
        <v>0</v>
      </c>
      <c r="S444" s="127">
        <v>0</v>
      </c>
      <c r="T444" s="127">
        <v>0</v>
      </c>
      <c r="U444" s="127">
        <v>0</v>
      </c>
      <c r="V444" s="127">
        <v>0</v>
      </c>
      <c r="W444" s="127">
        <v>0</v>
      </c>
      <c r="X444" s="127">
        <v>0</v>
      </c>
      <c r="Y444" s="127">
        <v>0</v>
      </c>
      <c r="Z444" s="127">
        <v>0</v>
      </c>
      <c r="AA444" s="127" t="s">
        <v>2510</v>
      </c>
      <c r="AB444" s="131" t="s">
        <v>1276</v>
      </c>
      <c r="AC444" s="127" t="s">
        <v>2077</v>
      </c>
      <c r="AD444" s="131" t="s">
        <v>2512</v>
      </c>
      <c r="AE444" s="131" t="e">
        <v>#N/A</v>
      </c>
      <c r="AF444" s="131" t="e">
        <v>#N/A</v>
      </c>
      <c r="AG444" s="131" t="e">
        <v>#REF!</v>
      </c>
    </row>
    <row r="445" spans="1:33" s="131" customFormat="1" ht="18" customHeight="1" x14ac:dyDescent="0.25">
      <c r="A445" s="125">
        <v>444</v>
      </c>
      <c r="B445" s="126" t="s">
        <v>169</v>
      </c>
      <c r="C445" s="126" t="s">
        <v>3022</v>
      </c>
      <c r="D445" s="126" t="s">
        <v>3013</v>
      </c>
      <c r="E445" s="127" t="s">
        <v>2512</v>
      </c>
      <c r="F445" s="128" t="s">
        <v>2411</v>
      </c>
      <c r="G445" s="128" t="s">
        <v>3289</v>
      </c>
      <c r="H445" s="125"/>
      <c r="I445" s="125"/>
      <c r="J445" s="132"/>
      <c r="K445" s="130"/>
      <c r="L445" s="129"/>
      <c r="M445" s="127" t="s">
        <v>758</v>
      </c>
      <c r="N445" s="127" t="s">
        <v>765</v>
      </c>
      <c r="O445" s="127" t="s">
        <v>809</v>
      </c>
      <c r="P445" s="127" t="s">
        <v>812</v>
      </c>
      <c r="Q445" s="127">
        <v>0</v>
      </c>
      <c r="R445" s="127">
        <v>0</v>
      </c>
      <c r="S445" s="127">
        <v>0</v>
      </c>
      <c r="T445" s="127">
        <v>0</v>
      </c>
      <c r="U445" s="127">
        <v>0</v>
      </c>
      <c r="V445" s="127">
        <v>0</v>
      </c>
      <c r="W445" s="127">
        <v>0</v>
      </c>
      <c r="X445" s="127">
        <v>0</v>
      </c>
      <c r="Y445" s="127">
        <v>0</v>
      </c>
      <c r="Z445" s="127">
        <v>0</v>
      </c>
      <c r="AA445" s="127" t="s">
        <v>2510</v>
      </c>
      <c r="AB445" s="131" t="s">
        <v>1277</v>
      </c>
      <c r="AC445" s="127" t="s">
        <v>2078</v>
      </c>
      <c r="AD445" s="131" t="s">
        <v>2512</v>
      </c>
      <c r="AE445" s="131" t="e">
        <v>#N/A</v>
      </c>
      <c r="AF445" s="131" t="e">
        <v>#N/A</v>
      </c>
      <c r="AG445" s="131" t="e">
        <v>#REF!</v>
      </c>
    </row>
    <row r="446" spans="1:33" s="131" customFormat="1" ht="18" customHeight="1" x14ac:dyDescent="0.25">
      <c r="A446" s="125">
        <v>445</v>
      </c>
      <c r="B446" s="126" t="s">
        <v>156</v>
      </c>
      <c r="C446" s="126" t="s">
        <v>3023</v>
      </c>
      <c r="D446" s="126" t="s">
        <v>3013</v>
      </c>
      <c r="E446" s="127" t="s">
        <v>2512</v>
      </c>
      <c r="F446" s="128" t="s">
        <v>2521</v>
      </c>
      <c r="G446" s="128" t="s">
        <v>3290</v>
      </c>
      <c r="H446" s="125"/>
      <c r="I446" s="125"/>
      <c r="J446" s="132" t="s">
        <v>2520</v>
      </c>
      <c r="K446" s="130"/>
      <c r="L446" s="129"/>
      <c r="M446" s="127" t="s">
        <v>758</v>
      </c>
      <c r="N446" s="127" t="s">
        <v>2520</v>
      </c>
      <c r="O446" s="127" t="s">
        <v>1553</v>
      </c>
      <c r="P446" s="127" t="s">
        <v>1554</v>
      </c>
      <c r="Q446" s="127">
        <v>2</v>
      </c>
      <c r="R446" s="127" t="s">
        <v>809</v>
      </c>
      <c r="S446" s="127" t="s">
        <v>156</v>
      </c>
      <c r="T446" s="127">
        <v>0</v>
      </c>
      <c r="U446" s="127">
        <v>0</v>
      </c>
      <c r="V446" s="127">
        <v>0</v>
      </c>
      <c r="W446" s="127" t="s">
        <v>1589</v>
      </c>
      <c r="X446" s="127" t="s">
        <v>156</v>
      </c>
      <c r="Y446" s="127" t="s">
        <v>1590</v>
      </c>
      <c r="Z446" s="127">
        <v>0</v>
      </c>
      <c r="AA446" s="127" t="s">
        <v>2510</v>
      </c>
      <c r="AB446" s="131" t="s">
        <v>1278</v>
      </c>
      <c r="AC446" s="127" t="s">
        <v>2079</v>
      </c>
      <c r="AD446" s="131" t="s">
        <v>2512</v>
      </c>
      <c r="AE446" s="131" t="e">
        <v>#N/A</v>
      </c>
      <c r="AF446" s="131" t="e">
        <v>#N/A</v>
      </c>
      <c r="AG446" s="131" t="e">
        <v>#REF!</v>
      </c>
    </row>
    <row r="447" spans="1:33" s="131" customFormat="1" ht="18" customHeight="1" x14ac:dyDescent="0.25">
      <c r="A447" s="125">
        <v>446</v>
      </c>
      <c r="B447" s="126" t="s">
        <v>157</v>
      </c>
      <c r="C447" s="126" t="s">
        <v>3024</v>
      </c>
      <c r="D447" s="126" t="s">
        <v>3013</v>
      </c>
      <c r="E447" s="127" t="s">
        <v>2512</v>
      </c>
      <c r="F447" s="128" t="s">
        <v>2411</v>
      </c>
      <c r="G447" s="128" t="s">
        <v>3289</v>
      </c>
      <c r="H447" s="125"/>
      <c r="I447" s="125"/>
      <c r="J447" s="132"/>
      <c r="K447" s="130"/>
      <c r="L447" s="129"/>
      <c r="M447" s="127" t="s">
        <v>758</v>
      </c>
      <c r="N447" s="127" t="s">
        <v>765</v>
      </c>
      <c r="O447" s="127" t="s">
        <v>3320</v>
      </c>
      <c r="P447" s="127" t="s">
        <v>812</v>
      </c>
      <c r="Q447" s="127">
        <v>0</v>
      </c>
      <c r="R447" s="127">
        <v>0</v>
      </c>
      <c r="S447" s="127">
        <v>0</v>
      </c>
      <c r="T447" s="127">
        <v>0</v>
      </c>
      <c r="U447" s="127">
        <v>0</v>
      </c>
      <c r="V447" s="127">
        <v>0</v>
      </c>
      <c r="W447" s="127">
        <v>0</v>
      </c>
      <c r="X447" s="127">
        <v>0</v>
      </c>
      <c r="Y447" s="127" t="s">
        <v>2378</v>
      </c>
      <c r="Z447" s="127">
        <v>0</v>
      </c>
      <c r="AA447" s="127" t="s">
        <v>2511</v>
      </c>
      <c r="AB447" s="131" t="s">
        <v>1279</v>
      </c>
      <c r="AC447" s="127" t="s">
        <v>2080</v>
      </c>
      <c r="AD447" s="131" t="s">
        <v>2512</v>
      </c>
      <c r="AE447" s="131" t="e">
        <v>#N/A</v>
      </c>
      <c r="AF447" s="131" t="e">
        <v>#N/A</v>
      </c>
      <c r="AG447" s="131" t="e">
        <v>#REF!</v>
      </c>
    </row>
    <row r="448" spans="1:33" s="131" customFormat="1" ht="18" customHeight="1" x14ac:dyDescent="0.25">
      <c r="A448" s="125">
        <v>447</v>
      </c>
      <c r="B448" s="126" t="s">
        <v>170</v>
      </c>
      <c r="C448" s="126" t="s">
        <v>3025</v>
      </c>
      <c r="D448" s="126" t="s">
        <v>2821</v>
      </c>
      <c r="E448" s="127" t="s">
        <v>2512</v>
      </c>
      <c r="F448" s="128" t="s">
        <v>2521</v>
      </c>
      <c r="G448" s="128" t="s">
        <v>3290</v>
      </c>
      <c r="H448" s="125"/>
      <c r="I448" s="125"/>
      <c r="J448" s="132" t="s">
        <v>2520</v>
      </c>
      <c r="K448" s="130"/>
      <c r="L448" s="129"/>
      <c r="M448" s="127" t="s">
        <v>758</v>
      </c>
      <c r="N448" s="127" t="s">
        <v>2520</v>
      </c>
      <c r="O448" s="127" t="s">
        <v>1553</v>
      </c>
      <c r="P448" s="127" t="s">
        <v>1554</v>
      </c>
      <c r="Q448" s="127">
        <v>2</v>
      </c>
      <c r="R448" s="127" t="s">
        <v>1521</v>
      </c>
      <c r="S448" s="127" t="s">
        <v>170</v>
      </c>
      <c r="T448" s="127">
        <v>0</v>
      </c>
      <c r="U448" s="127">
        <v>0</v>
      </c>
      <c r="V448" s="127">
        <v>0</v>
      </c>
      <c r="W448" s="127" t="s">
        <v>1480</v>
      </c>
      <c r="X448" s="127" t="s">
        <v>170</v>
      </c>
      <c r="Y448" s="127" t="s">
        <v>1573</v>
      </c>
      <c r="Z448" s="127">
        <v>0</v>
      </c>
      <c r="AA448" s="127" t="s">
        <v>2511</v>
      </c>
      <c r="AB448" s="131" t="s">
        <v>1280</v>
      </c>
      <c r="AC448" s="127" t="s">
        <v>2081</v>
      </c>
      <c r="AD448" s="131" t="s">
        <v>2512</v>
      </c>
      <c r="AE448" s="131" t="e">
        <v>#N/A</v>
      </c>
      <c r="AF448" s="131" t="e">
        <v>#N/A</v>
      </c>
      <c r="AG448" s="131" t="e">
        <v>#REF!</v>
      </c>
    </row>
    <row r="449" spans="1:33" s="131" customFormat="1" ht="18" customHeight="1" x14ac:dyDescent="0.25">
      <c r="A449" s="125">
        <v>448</v>
      </c>
      <c r="B449" s="126" t="s">
        <v>171</v>
      </c>
      <c r="C449" s="126" t="s">
        <v>3026</v>
      </c>
      <c r="D449" s="126" t="s">
        <v>2821</v>
      </c>
      <c r="E449" s="127" t="s">
        <v>2512</v>
      </c>
      <c r="F449" s="128" t="s">
        <v>2521</v>
      </c>
      <c r="G449" s="128" t="s">
        <v>3290</v>
      </c>
      <c r="H449" s="125"/>
      <c r="I449" s="125"/>
      <c r="J449" s="132" t="s">
        <v>2520</v>
      </c>
      <c r="K449" s="130"/>
      <c r="L449" s="129"/>
      <c r="M449" s="127" t="s">
        <v>758</v>
      </c>
      <c r="N449" s="127" t="s">
        <v>2520</v>
      </c>
      <c r="O449" s="127" t="s">
        <v>1553</v>
      </c>
      <c r="P449" s="127" t="s">
        <v>1554</v>
      </c>
      <c r="Q449" s="127">
        <v>2</v>
      </c>
      <c r="R449" s="127" t="s">
        <v>1521</v>
      </c>
      <c r="S449" s="127" t="s">
        <v>171</v>
      </c>
      <c r="T449" s="127">
        <v>0</v>
      </c>
      <c r="U449" s="127">
        <v>0</v>
      </c>
      <c r="V449" s="127">
        <v>0</v>
      </c>
      <c r="W449" s="127" t="s">
        <v>1480</v>
      </c>
      <c r="X449" s="127" t="s">
        <v>171</v>
      </c>
      <c r="Y449" s="127" t="s">
        <v>1573</v>
      </c>
      <c r="Z449" s="127">
        <v>0</v>
      </c>
      <c r="AA449" s="127" t="s">
        <v>2511</v>
      </c>
      <c r="AB449" s="131" t="s">
        <v>1281</v>
      </c>
      <c r="AC449" s="127" t="s">
        <v>2082</v>
      </c>
      <c r="AD449" s="131" t="s">
        <v>2512</v>
      </c>
      <c r="AE449" s="131" t="e">
        <v>#N/A</v>
      </c>
      <c r="AF449" s="131" t="e">
        <v>#N/A</v>
      </c>
      <c r="AG449" s="131" t="e">
        <v>#REF!</v>
      </c>
    </row>
    <row r="450" spans="1:33" s="131" customFormat="1" ht="18" customHeight="1" x14ac:dyDescent="0.25">
      <c r="A450" s="125">
        <v>449</v>
      </c>
      <c r="B450" s="126" t="s">
        <v>172</v>
      </c>
      <c r="C450" s="126" t="s">
        <v>3027</v>
      </c>
      <c r="D450" s="126" t="s">
        <v>2821</v>
      </c>
      <c r="E450" s="127" t="s">
        <v>2512</v>
      </c>
      <c r="F450" s="128" t="s">
        <v>2521</v>
      </c>
      <c r="G450" s="128" t="s">
        <v>3290</v>
      </c>
      <c r="H450" s="125"/>
      <c r="I450" s="125"/>
      <c r="J450" s="132" t="s">
        <v>2520</v>
      </c>
      <c r="K450" s="130"/>
      <c r="L450" s="129"/>
      <c r="M450" s="127" t="s">
        <v>758</v>
      </c>
      <c r="N450" s="127" t="s">
        <v>2520</v>
      </c>
      <c r="O450" s="127" t="s">
        <v>1553</v>
      </c>
      <c r="P450" s="127" t="s">
        <v>1554</v>
      </c>
      <c r="Q450" s="127">
        <v>2</v>
      </c>
      <c r="R450" s="127" t="s">
        <v>1519</v>
      </c>
      <c r="S450" s="127" t="s">
        <v>172</v>
      </c>
      <c r="T450" s="127">
        <v>0</v>
      </c>
      <c r="U450" s="127">
        <v>0</v>
      </c>
      <c r="V450" s="127">
        <v>0</v>
      </c>
      <c r="W450" s="127" t="s">
        <v>1480</v>
      </c>
      <c r="X450" s="127" t="s">
        <v>172</v>
      </c>
      <c r="Y450" s="127" t="s">
        <v>1573</v>
      </c>
      <c r="Z450" s="127">
        <v>0</v>
      </c>
      <c r="AA450" s="127" t="s">
        <v>2510</v>
      </c>
      <c r="AB450" s="131" t="s">
        <v>1282</v>
      </c>
      <c r="AC450" s="127" t="s">
        <v>2083</v>
      </c>
      <c r="AD450" s="131" t="s">
        <v>2512</v>
      </c>
      <c r="AE450" s="131" t="e">
        <v>#N/A</v>
      </c>
      <c r="AF450" s="131" t="e">
        <v>#N/A</v>
      </c>
      <c r="AG450" s="131" t="e">
        <v>#REF!</v>
      </c>
    </row>
    <row r="451" spans="1:33" s="131" customFormat="1" ht="18" customHeight="1" x14ac:dyDescent="0.25">
      <c r="A451" s="125">
        <v>450</v>
      </c>
      <c r="B451" s="126" t="s">
        <v>173</v>
      </c>
      <c r="C451" s="126" t="s">
        <v>3028</v>
      </c>
      <c r="D451" s="126" t="s">
        <v>3013</v>
      </c>
      <c r="E451" s="127" t="s">
        <v>2512</v>
      </c>
      <c r="F451" s="128"/>
      <c r="G451" s="128" t="s">
        <v>3290</v>
      </c>
      <c r="H451" s="125"/>
      <c r="I451" s="125"/>
      <c r="J451" s="132"/>
      <c r="K451" s="130"/>
      <c r="L451" s="129"/>
      <c r="M451" s="127" t="s">
        <v>758</v>
      </c>
      <c r="N451" s="127" t="s">
        <v>2520</v>
      </c>
      <c r="O451" s="127" t="s">
        <v>1553</v>
      </c>
      <c r="P451" s="127">
        <v>0</v>
      </c>
      <c r="Q451" s="127">
        <v>2</v>
      </c>
      <c r="R451" s="127" t="s">
        <v>808</v>
      </c>
      <c r="S451" s="127" t="s">
        <v>173</v>
      </c>
      <c r="T451" s="127">
        <v>0</v>
      </c>
      <c r="U451" s="127">
        <v>0</v>
      </c>
      <c r="V451" s="127">
        <v>0</v>
      </c>
      <c r="W451" s="127" t="s">
        <v>1480</v>
      </c>
      <c r="X451" s="127" t="s">
        <v>173</v>
      </c>
      <c r="Y451" s="127" t="s">
        <v>1454</v>
      </c>
      <c r="Z451" s="127" t="s">
        <v>1568</v>
      </c>
      <c r="AA451" s="127" t="s">
        <v>2510</v>
      </c>
      <c r="AB451" s="131" t="s">
        <v>1283</v>
      </c>
      <c r="AC451" s="127" t="s">
        <v>2084</v>
      </c>
      <c r="AD451" s="131" t="s">
        <v>2512</v>
      </c>
      <c r="AE451" s="131" t="e">
        <v>#N/A</v>
      </c>
      <c r="AF451" s="131" t="e">
        <v>#N/A</v>
      </c>
      <c r="AG451" s="131" t="e">
        <v>#REF!</v>
      </c>
    </row>
    <row r="452" spans="1:33" s="131" customFormat="1" ht="18" customHeight="1" x14ac:dyDescent="0.25">
      <c r="A452" s="125">
        <v>451</v>
      </c>
      <c r="B452" s="126" t="s">
        <v>174</v>
      </c>
      <c r="C452" s="126" t="s">
        <v>3029</v>
      </c>
      <c r="D452" s="126" t="s">
        <v>3019</v>
      </c>
      <c r="E452" s="127" t="s">
        <v>2512</v>
      </c>
      <c r="F452" s="128"/>
      <c r="G452" s="128" t="s">
        <v>3290</v>
      </c>
      <c r="H452" s="125"/>
      <c r="I452" s="125"/>
      <c r="J452" s="132" t="s">
        <v>2520</v>
      </c>
      <c r="K452" s="130"/>
      <c r="L452" s="129"/>
      <c r="M452" s="127" t="s">
        <v>758</v>
      </c>
      <c r="N452" s="127" t="s">
        <v>2520</v>
      </c>
      <c r="O452" s="127" t="s">
        <v>1427</v>
      </c>
      <c r="P452" s="127">
        <v>0</v>
      </c>
      <c r="Q452" s="127">
        <v>0</v>
      </c>
      <c r="R452" s="127">
        <v>0</v>
      </c>
      <c r="S452" s="127">
        <v>0</v>
      </c>
      <c r="T452" s="127">
        <v>2</v>
      </c>
      <c r="U452" s="127" t="s">
        <v>1476</v>
      </c>
      <c r="V452" s="127" t="s">
        <v>174</v>
      </c>
      <c r="W452" s="127" t="s">
        <v>1521</v>
      </c>
      <c r="X452" s="127" t="s">
        <v>174</v>
      </c>
      <c r="Y452" s="127" t="s">
        <v>1461</v>
      </c>
      <c r="Z452" s="127" t="s">
        <v>1568</v>
      </c>
      <c r="AA452" s="127" t="s">
        <v>2510</v>
      </c>
      <c r="AB452" s="131" t="s">
        <v>1284</v>
      </c>
      <c r="AC452" s="127" t="s">
        <v>2085</v>
      </c>
      <c r="AD452" s="131" t="s">
        <v>2512</v>
      </c>
      <c r="AE452" s="131" t="e">
        <v>#N/A</v>
      </c>
      <c r="AF452" s="131" t="e">
        <v>#N/A</v>
      </c>
      <c r="AG452" s="131" t="e">
        <v>#REF!</v>
      </c>
    </row>
    <row r="453" spans="1:33" s="131" customFormat="1" ht="18" customHeight="1" x14ac:dyDescent="0.25">
      <c r="A453" s="125">
        <v>452</v>
      </c>
      <c r="B453" s="126" t="s">
        <v>175</v>
      </c>
      <c r="C453" s="126" t="s">
        <v>3030</v>
      </c>
      <c r="D453" s="126" t="s">
        <v>2821</v>
      </c>
      <c r="E453" s="127" t="s">
        <v>2512</v>
      </c>
      <c r="F453" s="128" t="s">
        <v>2411</v>
      </c>
      <c r="G453" s="128" t="s">
        <v>3289</v>
      </c>
      <c r="H453" s="125" t="s">
        <v>2391</v>
      </c>
      <c r="I453" s="125"/>
      <c r="J453" s="129"/>
      <c r="K453" s="130"/>
      <c r="L453" s="129"/>
      <c r="M453" s="127" t="s">
        <v>761</v>
      </c>
      <c r="N453" s="127" t="s">
        <v>1639</v>
      </c>
      <c r="O453" s="127" t="s">
        <v>1480</v>
      </c>
      <c r="P453" s="127" t="s">
        <v>812</v>
      </c>
      <c r="Q453" s="127">
        <v>0</v>
      </c>
      <c r="R453" s="127">
        <v>0</v>
      </c>
      <c r="S453" s="127">
        <v>0</v>
      </c>
      <c r="T453" s="127">
        <v>0</v>
      </c>
      <c r="U453" s="127">
        <v>0</v>
      </c>
      <c r="V453" s="127">
        <v>0</v>
      </c>
      <c r="W453" s="127">
        <v>0</v>
      </c>
      <c r="X453" s="127">
        <v>0</v>
      </c>
      <c r="Y453" s="127">
        <v>0</v>
      </c>
      <c r="Z453" s="127">
        <v>0</v>
      </c>
      <c r="AA453" s="127" t="s">
        <v>2511</v>
      </c>
      <c r="AB453" s="131" t="s">
        <v>1285</v>
      </c>
      <c r="AC453" s="127" t="s">
        <v>2086</v>
      </c>
      <c r="AD453" s="131" t="s">
        <v>2512</v>
      </c>
      <c r="AE453" s="131" t="e">
        <v>#N/A</v>
      </c>
      <c r="AF453" s="131" t="e">
        <v>#N/A</v>
      </c>
      <c r="AG453" s="131" t="e">
        <v>#REF!</v>
      </c>
    </row>
    <row r="454" spans="1:33" s="131" customFormat="1" ht="18" customHeight="1" x14ac:dyDescent="0.25">
      <c r="A454" s="125">
        <v>453</v>
      </c>
      <c r="B454" s="126" t="s">
        <v>158</v>
      </c>
      <c r="C454" s="126" t="s">
        <v>3031</v>
      </c>
      <c r="D454" s="126" t="s">
        <v>3013</v>
      </c>
      <c r="E454" s="127" t="s">
        <v>2512</v>
      </c>
      <c r="F454" s="128"/>
      <c r="G454" s="128" t="s">
        <v>3290</v>
      </c>
      <c r="H454" s="125" t="s">
        <v>965</v>
      </c>
      <c r="I454" s="125"/>
      <c r="J454" s="129"/>
      <c r="K454" s="130"/>
      <c r="L454" s="129"/>
      <c r="M454" s="127" t="s">
        <v>761</v>
      </c>
      <c r="N454" s="127" t="s">
        <v>1639</v>
      </c>
      <c r="O454" s="127" t="s">
        <v>1427</v>
      </c>
      <c r="P454" s="127">
        <v>0</v>
      </c>
      <c r="Q454" s="127">
        <v>0</v>
      </c>
      <c r="R454" s="127">
        <v>0</v>
      </c>
      <c r="S454" s="127">
        <v>0</v>
      </c>
      <c r="T454" s="127">
        <v>2</v>
      </c>
      <c r="U454" s="127" t="s">
        <v>1591</v>
      </c>
      <c r="V454" s="127" t="s">
        <v>158</v>
      </c>
      <c r="W454" s="127" t="s">
        <v>1449</v>
      </c>
      <c r="X454" s="127" t="s">
        <v>158</v>
      </c>
      <c r="Y454" s="127" t="s">
        <v>1574</v>
      </c>
      <c r="Z454" s="127" t="s">
        <v>1568</v>
      </c>
      <c r="AA454" s="127" t="s">
        <v>2511</v>
      </c>
      <c r="AB454" s="131" t="s">
        <v>1286</v>
      </c>
      <c r="AC454" s="127" t="s">
        <v>2087</v>
      </c>
      <c r="AD454" s="131" t="s">
        <v>2512</v>
      </c>
      <c r="AE454" s="131" t="e">
        <v>#N/A</v>
      </c>
      <c r="AF454" s="131" t="e">
        <v>#N/A</v>
      </c>
      <c r="AG454" s="131" t="e">
        <v>#REF!</v>
      </c>
    </row>
    <row r="455" spans="1:33" s="131" customFormat="1" ht="18" customHeight="1" x14ac:dyDescent="0.25">
      <c r="A455" s="125">
        <v>454</v>
      </c>
      <c r="B455" s="126" t="s">
        <v>176</v>
      </c>
      <c r="C455" s="126" t="s">
        <v>3032</v>
      </c>
      <c r="D455" s="126" t="s">
        <v>2821</v>
      </c>
      <c r="E455" s="127" t="s">
        <v>2512</v>
      </c>
      <c r="F455" s="128" t="s">
        <v>2411</v>
      </c>
      <c r="G455" s="128" t="s">
        <v>3289</v>
      </c>
      <c r="H455" s="125" t="s">
        <v>952</v>
      </c>
      <c r="I455" s="125"/>
      <c r="J455" s="129"/>
      <c r="K455" s="130"/>
      <c r="L455" s="129"/>
      <c r="M455" s="127" t="s">
        <v>761</v>
      </c>
      <c r="N455" s="127" t="s">
        <v>1639</v>
      </c>
      <c r="O455" s="127" t="s">
        <v>1521</v>
      </c>
      <c r="P455" s="127" t="s">
        <v>812</v>
      </c>
      <c r="Q455" s="127">
        <v>0</v>
      </c>
      <c r="R455" s="127">
        <v>0</v>
      </c>
      <c r="S455" s="127">
        <v>0</v>
      </c>
      <c r="T455" s="127">
        <v>0</v>
      </c>
      <c r="U455" s="127">
        <v>0</v>
      </c>
      <c r="V455" s="127">
        <v>0</v>
      </c>
      <c r="W455" s="127">
        <v>0</v>
      </c>
      <c r="X455" s="127">
        <v>0</v>
      </c>
      <c r="Y455" s="127">
        <v>0</v>
      </c>
      <c r="Z455" s="127">
        <v>0</v>
      </c>
      <c r="AA455" s="127" t="s">
        <v>2510</v>
      </c>
      <c r="AB455" s="131" t="s">
        <v>1287</v>
      </c>
      <c r="AC455" s="127" t="s">
        <v>2088</v>
      </c>
      <c r="AD455" s="131" t="s">
        <v>2512</v>
      </c>
      <c r="AE455" s="131" t="e">
        <v>#N/A</v>
      </c>
      <c r="AF455" s="131" t="e">
        <v>#N/A</v>
      </c>
      <c r="AG455" s="131" t="e">
        <v>#REF!</v>
      </c>
    </row>
    <row r="456" spans="1:33" s="131" customFormat="1" ht="18" customHeight="1" x14ac:dyDescent="0.25">
      <c r="A456" s="125">
        <v>455</v>
      </c>
      <c r="B456" s="126" t="s">
        <v>177</v>
      </c>
      <c r="C456" s="126" t="s">
        <v>3033</v>
      </c>
      <c r="D456" s="126" t="s">
        <v>3013</v>
      </c>
      <c r="E456" s="127" t="s">
        <v>2512</v>
      </c>
      <c r="F456" s="128"/>
      <c r="G456" s="128" t="s">
        <v>3290</v>
      </c>
      <c r="H456" s="125"/>
      <c r="I456" s="125"/>
      <c r="J456" s="132" t="s">
        <v>2520</v>
      </c>
      <c r="K456" s="130"/>
      <c r="L456" s="129"/>
      <c r="M456" s="127" t="s">
        <v>774</v>
      </c>
      <c r="N456" s="127" t="s">
        <v>2520</v>
      </c>
      <c r="O456" s="127" t="s">
        <v>1553</v>
      </c>
      <c r="P456" s="127">
        <v>0</v>
      </c>
      <c r="Q456" s="127">
        <v>2</v>
      </c>
      <c r="R456" s="127" t="s">
        <v>808</v>
      </c>
      <c r="S456" s="127" t="s">
        <v>177</v>
      </c>
      <c r="T456" s="127">
        <v>0</v>
      </c>
      <c r="U456" s="127">
        <v>0</v>
      </c>
      <c r="V456" s="127">
        <v>0</v>
      </c>
      <c r="W456" s="127" t="s">
        <v>1480</v>
      </c>
      <c r="X456" s="127" t="s">
        <v>177</v>
      </c>
      <c r="Y456" s="127" t="s">
        <v>1436</v>
      </c>
      <c r="Z456" s="127" t="s">
        <v>1568</v>
      </c>
      <c r="AA456" s="127" t="s">
        <v>2510</v>
      </c>
      <c r="AB456" s="131" t="s">
        <v>1288</v>
      </c>
      <c r="AC456" s="127" t="s">
        <v>2089</v>
      </c>
      <c r="AD456" s="131" t="s">
        <v>2512</v>
      </c>
      <c r="AE456" s="131" t="e">
        <v>#N/A</v>
      </c>
      <c r="AF456" s="131" t="e">
        <v>#N/A</v>
      </c>
      <c r="AG456" s="131" t="e">
        <v>#REF!</v>
      </c>
    </row>
    <row r="457" spans="1:33" s="131" customFormat="1" ht="18" customHeight="1" x14ac:dyDescent="0.25">
      <c r="A457" s="125">
        <v>456</v>
      </c>
      <c r="B457" s="126" t="s">
        <v>178</v>
      </c>
      <c r="C457" s="126" t="s">
        <v>3034</v>
      </c>
      <c r="D457" s="126" t="s">
        <v>3013</v>
      </c>
      <c r="E457" s="127" t="s">
        <v>2512</v>
      </c>
      <c r="F457" s="128" t="s">
        <v>2411</v>
      </c>
      <c r="G457" s="128" t="s">
        <v>3290</v>
      </c>
      <c r="H457" s="125" t="s">
        <v>1223</v>
      </c>
      <c r="I457" s="125"/>
      <c r="J457" s="129"/>
      <c r="K457" s="130"/>
      <c r="L457" s="129"/>
      <c r="M457" s="127" t="s">
        <v>761</v>
      </c>
      <c r="N457" s="127" t="s">
        <v>1639</v>
      </c>
      <c r="O457" s="127" t="s">
        <v>1553</v>
      </c>
      <c r="P457" s="127" t="s">
        <v>1554</v>
      </c>
      <c r="Q457" s="127">
        <v>2</v>
      </c>
      <c r="R457" s="127" t="s">
        <v>1522</v>
      </c>
      <c r="S457" s="127" t="s">
        <v>178</v>
      </c>
      <c r="T457" s="127">
        <v>0</v>
      </c>
      <c r="U457" s="127">
        <v>0</v>
      </c>
      <c r="V457" s="127">
        <v>0</v>
      </c>
      <c r="W457" s="127">
        <v>0</v>
      </c>
      <c r="X457" s="127">
        <v>0</v>
      </c>
      <c r="Y457" s="127">
        <v>0</v>
      </c>
      <c r="Z457" s="127" t="s">
        <v>1568</v>
      </c>
      <c r="AA457" s="127" t="s">
        <v>2510</v>
      </c>
      <c r="AB457" s="131" t="s">
        <v>1289</v>
      </c>
      <c r="AC457" s="127" t="s">
        <v>2090</v>
      </c>
      <c r="AD457" s="131" t="s">
        <v>2512</v>
      </c>
      <c r="AE457" s="131" t="e">
        <v>#N/A</v>
      </c>
      <c r="AF457" s="131" t="e">
        <v>#N/A</v>
      </c>
      <c r="AG457" s="131" t="e">
        <v>#REF!</v>
      </c>
    </row>
    <row r="458" spans="1:33" s="131" customFormat="1" ht="15.75" x14ac:dyDescent="0.25">
      <c r="A458" s="125">
        <v>457</v>
      </c>
      <c r="B458" s="126" t="s">
        <v>179</v>
      </c>
      <c r="C458" s="126" t="s">
        <v>3035</v>
      </c>
      <c r="D458" s="126" t="s">
        <v>3021</v>
      </c>
      <c r="E458" s="127" t="s">
        <v>2512</v>
      </c>
      <c r="F458" s="128" t="s">
        <v>2521</v>
      </c>
      <c r="G458" s="128" t="s">
        <v>3290</v>
      </c>
      <c r="H458" s="125"/>
      <c r="I458" s="125"/>
      <c r="J458" s="132" t="s">
        <v>2520</v>
      </c>
      <c r="K458" s="130"/>
      <c r="L458" s="129"/>
      <c r="M458" s="127" t="s">
        <v>772</v>
      </c>
      <c r="N458" s="127" t="s">
        <v>2520</v>
      </c>
      <c r="O458" s="127" t="s">
        <v>1427</v>
      </c>
      <c r="P458" s="127" t="s">
        <v>1554</v>
      </c>
      <c r="Q458" s="127">
        <v>0</v>
      </c>
      <c r="R458" s="127">
        <v>0</v>
      </c>
      <c r="S458" s="127">
        <v>0</v>
      </c>
      <c r="T458" s="127">
        <v>2</v>
      </c>
      <c r="U458" s="127" t="s">
        <v>810</v>
      </c>
      <c r="V458" s="127" t="s">
        <v>179</v>
      </c>
      <c r="W458" s="127">
        <v>0</v>
      </c>
      <c r="X458" s="127">
        <v>0</v>
      </c>
      <c r="Y458" s="127">
        <v>0</v>
      </c>
      <c r="Z458" s="127" t="s">
        <v>1568</v>
      </c>
      <c r="AA458" s="127" t="s">
        <v>2510</v>
      </c>
      <c r="AB458" s="131" t="s">
        <v>1290</v>
      </c>
      <c r="AC458" s="127" t="s">
        <v>2091</v>
      </c>
      <c r="AD458" s="131" t="s">
        <v>2512</v>
      </c>
      <c r="AE458" s="131" t="e">
        <v>#N/A</v>
      </c>
      <c r="AF458" s="131" t="e">
        <v>#N/A</v>
      </c>
      <c r="AG458" s="131" t="e">
        <v>#REF!</v>
      </c>
    </row>
    <row r="459" spans="1:33" s="131" customFormat="1" ht="15.75" x14ac:dyDescent="0.25">
      <c r="A459" s="125">
        <v>458</v>
      </c>
      <c r="B459" s="126" t="s">
        <v>180</v>
      </c>
      <c r="C459" s="126" t="s">
        <v>3036</v>
      </c>
      <c r="D459" s="126" t="s">
        <v>3019</v>
      </c>
      <c r="E459" s="127" t="s">
        <v>2512</v>
      </c>
      <c r="F459" s="128" t="s">
        <v>2521</v>
      </c>
      <c r="G459" s="128" t="s">
        <v>3290</v>
      </c>
      <c r="H459" s="125"/>
      <c r="I459" s="125"/>
      <c r="J459" s="132" t="s">
        <v>2520</v>
      </c>
      <c r="K459" s="130"/>
      <c r="L459" s="129"/>
      <c r="M459" s="127" t="s">
        <v>772</v>
      </c>
      <c r="N459" s="127" t="s">
        <v>2520</v>
      </c>
      <c r="O459" s="127" t="s">
        <v>1553</v>
      </c>
      <c r="P459" s="127" t="s">
        <v>1554</v>
      </c>
      <c r="Q459" s="127">
        <v>2</v>
      </c>
      <c r="R459" s="127" t="s">
        <v>810</v>
      </c>
      <c r="S459" s="127" t="s">
        <v>180</v>
      </c>
      <c r="T459" s="127">
        <v>0</v>
      </c>
      <c r="U459" s="127">
        <v>0</v>
      </c>
      <c r="V459" s="127">
        <v>0</v>
      </c>
      <c r="W459" s="127">
        <v>0</v>
      </c>
      <c r="X459" s="127">
        <v>0</v>
      </c>
      <c r="Y459" s="127">
        <v>0</v>
      </c>
      <c r="Z459" s="127" t="s">
        <v>1568</v>
      </c>
      <c r="AA459" s="127" t="s">
        <v>2510</v>
      </c>
      <c r="AB459" s="131" t="s">
        <v>1291</v>
      </c>
      <c r="AC459" s="127" t="s">
        <v>2092</v>
      </c>
      <c r="AD459" s="131" t="s">
        <v>2512</v>
      </c>
      <c r="AE459" s="131" t="e">
        <v>#N/A</v>
      </c>
      <c r="AF459" s="131" t="e">
        <v>#N/A</v>
      </c>
      <c r="AG459" s="131" t="e">
        <v>#REF!</v>
      </c>
    </row>
    <row r="460" spans="1:33" s="131" customFormat="1" ht="18" customHeight="1" x14ac:dyDescent="0.25">
      <c r="A460" s="125">
        <v>459</v>
      </c>
      <c r="B460" s="126" t="s">
        <v>181</v>
      </c>
      <c r="C460" s="126" t="s">
        <v>3037</v>
      </c>
      <c r="D460" s="126" t="s">
        <v>3013</v>
      </c>
      <c r="E460" s="127" t="s">
        <v>2512</v>
      </c>
      <c r="F460" s="128" t="s">
        <v>2521</v>
      </c>
      <c r="G460" s="128" t="s">
        <v>3290</v>
      </c>
      <c r="H460" s="125"/>
      <c r="I460" s="125"/>
      <c r="J460" s="132" t="s">
        <v>2520</v>
      </c>
      <c r="K460" s="130"/>
      <c r="L460" s="129"/>
      <c r="M460" s="127" t="s">
        <v>772</v>
      </c>
      <c r="N460" s="127" t="s">
        <v>2520</v>
      </c>
      <c r="O460" s="127" t="s">
        <v>1553</v>
      </c>
      <c r="P460" s="127" t="s">
        <v>1554</v>
      </c>
      <c r="Q460" s="127">
        <v>2</v>
      </c>
      <c r="R460" s="127" t="s">
        <v>810</v>
      </c>
      <c r="S460" s="127" t="s">
        <v>181</v>
      </c>
      <c r="T460" s="127">
        <v>0</v>
      </c>
      <c r="U460" s="127">
        <v>0</v>
      </c>
      <c r="V460" s="127">
        <v>0</v>
      </c>
      <c r="W460" s="127">
        <v>0</v>
      </c>
      <c r="X460" s="127">
        <v>0</v>
      </c>
      <c r="Y460" s="127">
        <v>0</v>
      </c>
      <c r="Z460" s="127" t="s">
        <v>1568</v>
      </c>
      <c r="AA460" s="127" t="s">
        <v>2510</v>
      </c>
      <c r="AB460" s="131" t="s">
        <v>1292</v>
      </c>
      <c r="AC460" s="127" t="s">
        <v>2093</v>
      </c>
      <c r="AD460" s="131" t="s">
        <v>2512</v>
      </c>
      <c r="AE460" s="131" t="e">
        <v>#N/A</v>
      </c>
      <c r="AF460" s="131" t="e">
        <v>#N/A</v>
      </c>
      <c r="AG460" s="131" t="e">
        <v>#REF!</v>
      </c>
    </row>
    <row r="461" spans="1:33" s="131" customFormat="1" ht="18" customHeight="1" x14ac:dyDescent="0.25">
      <c r="A461" s="125">
        <v>460</v>
      </c>
      <c r="B461" s="126" t="s">
        <v>182</v>
      </c>
      <c r="C461" s="126" t="s">
        <v>3038</v>
      </c>
      <c r="D461" s="126" t="s">
        <v>3019</v>
      </c>
      <c r="E461" s="127" t="s">
        <v>2512</v>
      </c>
      <c r="F461" s="128" t="s">
        <v>2411</v>
      </c>
      <c r="G461" s="128" t="s">
        <v>3289</v>
      </c>
      <c r="H461" s="125"/>
      <c r="I461" s="125"/>
      <c r="J461" s="132"/>
      <c r="K461" s="130"/>
      <c r="L461" s="129"/>
      <c r="M461" s="127" t="s">
        <v>772</v>
      </c>
      <c r="N461" s="127" t="s">
        <v>765</v>
      </c>
      <c r="O461" s="127" t="s">
        <v>810</v>
      </c>
      <c r="P461" s="127" t="s">
        <v>812</v>
      </c>
      <c r="Q461" s="127">
        <v>0</v>
      </c>
      <c r="R461" s="127">
        <v>0</v>
      </c>
      <c r="S461" s="127">
        <v>0</v>
      </c>
      <c r="T461" s="127">
        <v>0</v>
      </c>
      <c r="U461" s="127">
        <v>0</v>
      </c>
      <c r="V461" s="127">
        <v>0</v>
      </c>
      <c r="W461" s="127">
        <v>0</v>
      </c>
      <c r="X461" s="127">
        <v>0</v>
      </c>
      <c r="Y461" s="127">
        <v>0</v>
      </c>
      <c r="Z461" s="127">
        <v>0</v>
      </c>
      <c r="AA461" s="127" t="s">
        <v>2511</v>
      </c>
      <c r="AB461" s="131" t="s">
        <v>1293</v>
      </c>
      <c r="AC461" s="127" t="s">
        <v>2094</v>
      </c>
      <c r="AD461" s="131" t="s">
        <v>2512</v>
      </c>
      <c r="AE461" s="131" t="e">
        <v>#N/A</v>
      </c>
      <c r="AF461" s="131" t="e">
        <v>#N/A</v>
      </c>
      <c r="AG461" s="131" t="e">
        <v>#REF!</v>
      </c>
    </row>
    <row r="462" spans="1:33" s="131" customFormat="1" ht="18" customHeight="1" x14ac:dyDescent="0.25">
      <c r="A462" s="125">
        <v>461</v>
      </c>
      <c r="B462" s="126" t="s">
        <v>183</v>
      </c>
      <c r="C462" s="126" t="s">
        <v>3039</v>
      </c>
      <c r="D462" s="126" t="s">
        <v>3021</v>
      </c>
      <c r="E462" s="127" t="s">
        <v>2512</v>
      </c>
      <c r="F462" s="128" t="s">
        <v>2521</v>
      </c>
      <c r="G462" s="128" t="s">
        <v>3290</v>
      </c>
      <c r="H462" s="125"/>
      <c r="I462" s="125"/>
      <c r="J462" s="132" t="s">
        <v>2520</v>
      </c>
      <c r="K462" s="130"/>
      <c r="L462" s="129"/>
      <c r="M462" s="127" t="s">
        <v>758</v>
      </c>
      <c r="N462" s="127" t="s">
        <v>2520</v>
      </c>
      <c r="O462" s="127" t="s">
        <v>1553</v>
      </c>
      <c r="P462" s="127" t="s">
        <v>1554</v>
      </c>
      <c r="Q462" s="127">
        <v>2</v>
      </c>
      <c r="R462" s="127" t="s">
        <v>1523</v>
      </c>
      <c r="S462" s="127" t="s">
        <v>183</v>
      </c>
      <c r="T462" s="127">
        <v>0</v>
      </c>
      <c r="U462" s="127">
        <v>0</v>
      </c>
      <c r="V462" s="127">
        <v>0</v>
      </c>
      <c r="W462" s="127">
        <v>0</v>
      </c>
      <c r="X462" s="127">
        <v>0</v>
      </c>
      <c r="Y462" s="127">
        <v>0</v>
      </c>
      <c r="Z462" s="127" t="s">
        <v>1568</v>
      </c>
      <c r="AA462" s="127" t="s">
        <v>2510</v>
      </c>
      <c r="AB462" s="131" t="s">
        <v>1294</v>
      </c>
      <c r="AC462" s="127" t="s">
        <v>2095</v>
      </c>
      <c r="AD462" s="131" t="s">
        <v>2512</v>
      </c>
      <c r="AE462" s="131" t="e">
        <v>#N/A</v>
      </c>
      <c r="AF462" s="131" t="e">
        <v>#N/A</v>
      </c>
      <c r="AG462" s="131" t="e">
        <v>#REF!</v>
      </c>
    </row>
    <row r="463" spans="1:33" s="131" customFormat="1" ht="18" customHeight="1" x14ac:dyDescent="0.25">
      <c r="A463" s="125">
        <v>462</v>
      </c>
      <c r="B463" s="126" t="s">
        <v>184</v>
      </c>
      <c r="C463" s="126" t="s">
        <v>3040</v>
      </c>
      <c r="D463" s="126" t="s">
        <v>3013</v>
      </c>
      <c r="E463" s="127" t="s">
        <v>2512</v>
      </c>
      <c r="F463" s="128" t="s">
        <v>2411</v>
      </c>
      <c r="G463" s="128" t="s">
        <v>3289</v>
      </c>
      <c r="H463" s="125" t="s">
        <v>981</v>
      </c>
      <c r="I463" s="125"/>
      <c r="J463" s="129"/>
      <c r="K463" s="130"/>
      <c r="L463" s="129"/>
      <c r="M463" s="127" t="s">
        <v>761</v>
      </c>
      <c r="N463" s="127" t="s">
        <v>1639</v>
      </c>
      <c r="O463" s="127" t="s">
        <v>2367</v>
      </c>
      <c r="P463" s="127" t="s">
        <v>812</v>
      </c>
      <c r="Q463" s="127">
        <v>2</v>
      </c>
      <c r="R463" s="127" t="s">
        <v>809</v>
      </c>
      <c r="S463" s="127" t="s">
        <v>184</v>
      </c>
      <c r="T463" s="127">
        <v>0</v>
      </c>
      <c r="U463" s="127">
        <v>0</v>
      </c>
      <c r="V463" s="127">
        <v>0</v>
      </c>
      <c r="W463" s="127" t="s">
        <v>158</v>
      </c>
      <c r="X463" s="127" t="s">
        <v>184</v>
      </c>
      <c r="Y463" s="127" t="s">
        <v>1570</v>
      </c>
      <c r="Z463" s="127">
        <v>0</v>
      </c>
      <c r="AA463" s="127" t="s">
        <v>2511</v>
      </c>
      <c r="AB463" s="131" t="s">
        <v>1295</v>
      </c>
      <c r="AC463" s="127" t="s">
        <v>2096</v>
      </c>
      <c r="AD463" s="131" t="s">
        <v>2512</v>
      </c>
      <c r="AE463" s="131" t="e">
        <v>#N/A</v>
      </c>
      <c r="AF463" s="131" t="e">
        <v>#N/A</v>
      </c>
      <c r="AG463" s="131" t="e">
        <v>#REF!</v>
      </c>
    </row>
    <row r="464" spans="1:33" s="131" customFormat="1" ht="18" customHeight="1" x14ac:dyDescent="0.25">
      <c r="A464" s="125">
        <v>463</v>
      </c>
      <c r="B464" s="126" t="s">
        <v>185</v>
      </c>
      <c r="C464" s="126" t="s">
        <v>3041</v>
      </c>
      <c r="D464" s="126" t="s">
        <v>3013</v>
      </c>
      <c r="E464" s="127" t="s">
        <v>2512</v>
      </c>
      <c r="F464" s="128" t="s">
        <v>2410</v>
      </c>
      <c r="G464" s="128" t="s">
        <v>3294</v>
      </c>
      <c r="H464" s="125"/>
      <c r="I464" s="125"/>
      <c r="J464" s="132" t="s">
        <v>2520</v>
      </c>
      <c r="K464" s="130" t="s">
        <v>165</v>
      </c>
      <c r="L464" s="129"/>
      <c r="M464" s="127" t="s">
        <v>772</v>
      </c>
      <c r="N464" s="127" t="s">
        <v>2520</v>
      </c>
      <c r="O464" s="127" t="s">
        <v>1553</v>
      </c>
      <c r="P464" s="127">
        <v>0</v>
      </c>
      <c r="Q464" s="127">
        <v>2</v>
      </c>
      <c r="R464" s="127" t="s">
        <v>808</v>
      </c>
      <c r="S464" s="127" t="s">
        <v>185</v>
      </c>
      <c r="T464" s="127">
        <v>0</v>
      </c>
      <c r="U464" s="127">
        <v>0</v>
      </c>
      <c r="V464" s="127">
        <v>0</v>
      </c>
      <c r="W464" s="127" t="s">
        <v>808</v>
      </c>
      <c r="X464" s="127" t="s">
        <v>185</v>
      </c>
      <c r="Y464" s="127" t="s">
        <v>1436</v>
      </c>
      <c r="Z464" s="127">
        <v>0</v>
      </c>
      <c r="AA464" s="127" t="s">
        <v>2511</v>
      </c>
      <c r="AB464" s="131" t="s">
        <v>1296</v>
      </c>
      <c r="AC464" s="127" t="s">
        <v>2097</v>
      </c>
      <c r="AD464" s="131" t="s">
        <v>2512</v>
      </c>
      <c r="AE464" s="131" t="e">
        <v>#N/A</v>
      </c>
      <c r="AF464" s="131" t="e">
        <v>#N/A</v>
      </c>
      <c r="AG464" s="131" t="e">
        <v>#REF!</v>
      </c>
    </row>
    <row r="465" spans="1:33" s="131" customFormat="1" ht="18" customHeight="1" x14ac:dyDescent="0.25">
      <c r="A465" s="125">
        <v>464</v>
      </c>
      <c r="B465" s="126" t="s">
        <v>186</v>
      </c>
      <c r="C465" s="126" t="s">
        <v>3042</v>
      </c>
      <c r="D465" s="126" t="s">
        <v>3021</v>
      </c>
      <c r="E465" s="127" t="s">
        <v>2512</v>
      </c>
      <c r="F465" s="128" t="s">
        <v>2410</v>
      </c>
      <c r="G465" s="128" t="s">
        <v>3294</v>
      </c>
      <c r="H465" s="125"/>
      <c r="I465" s="125"/>
      <c r="J465" s="132" t="s">
        <v>2520</v>
      </c>
      <c r="K465" s="130" t="s">
        <v>182</v>
      </c>
      <c r="L465" s="129"/>
      <c r="M465" s="127" t="s">
        <v>772</v>
      </c>
      <c r="N465" s="127" t="s">
        <v>2520</v>
      </c>
      <c r="O465" s="127" t="s">
        <v>1427</v>
      </c>
      <c r="P465" s="127">
        <v>0</v>
      </c>
      <c r="Q465" s="127">
        <v>0</v>
      </c>
      <c r="R465" s="127">
        <v>0</v>
      </c>
      <c r="S465" s="127">
        <v>0</v>
      </c>
      <c r="T465" s="127">
        <v>2</v>
      </c>
      <c r="U465" s="127" t="s">
        <v>810</v>
      </c>
      <c r="V465" s="127" t="s">
        <v>186</v>
      </c>
      <c r="W465" s="127" t="s">
        <v>1522</v>
      </c>
      <c r="X465" s="127" t="s">
        <v>186</v>
      </c>
      <c r="Y465" s="127" t="s">
        <v>1461</v>
      </c>
      <c r="Z465" s="127">
        <v>0</v>
      </c>
      <c r="AA465" s="127" t="s">
        <v>2511</v>
      </c>
      <c r="AB465" s="131" t="s">
        <v>1297</v>
      </c>
      <c r="AC465" s="127" t="s">
        <v>2098</v>
      </c>
      <c r="AD465" s="131" t="s">
        <v>2512</v>
      </c>
      <c r="AE465" s="131" t="e">
        <v>#N/A</v>
      </c>
      <c r="AF465" s="131" t="e">
        <v>#N/A</v>
      </c>
      <c r="AG465" s="131" t="e">
        <v>#REF!</v>
      </c>
    </row>
    <row r="466" spans="1:33" s="131" customFormat="1" ht="18" customHeight="1" x14ac:dyDescent="0.25">
      <c r="A466" s="125">
        <v>465</v>
      </c>
      <c r="B466" s="126" t="s">
        <v>163</v>
      </c>
      <c r="C466" s="126" t="s">
        <v>3043</v>
      </c>
      <c r="D466" s="126" t="s">
        <v>3021</v>
      </c>
      <c r="E466" s="127" t="s">
        <v>2512</v>
      </c>
      <c r="F466" s="128" t="s">
        <v>2410</v>
      </c>
      <c r="G466" s="128" t="s">
        <v>3294</v>
      </c>
      <c r="H466" s="125" t="s">
        <v>927</v>
      </c>
      <c r="I466" s="125"/>
      <c r="J466" s="129"/>
      <c r="K466" s="130" t="s">
        <v>182</v>
      </c>
      <c r="L466" s="129"/>
      <c r="M466" s="127" t="s">
        <v>761</v>
      </c>
      <c r="N466" s="127" t="s">
        <v>1639</v>
      </c>
      <c r="O466" s="127" t="s">
        <v>1427</v>
      </c>
      <c r="P466" s="127">
        <v>0</v>
      </c>
      <c r="Q466" s="127">
        <v>0</v>
      </c>
      <c r="R466" s="127">
        <v>0</v>
      </c>
      <c r="S466" s="127">
        <v>0</v>
      </c>
      <c r="T466" s="127">
        <v>2</v>
      </c>
      <c r="U466" s="127" t="s">
        <v>810</v>
      </c>
      <c r="V466" s="127" t="s">
        <v>163</v>
      </c>
      <c r="W466" s="127" t="s">
        <v>810</v>
      </c>
      <c r="X466" s="127" t="s">
        <v>163</v>
      </c>
      <c r="Y466" s="127" t="s">
        <v>1436</v>
      </c>
      <c r="Z466" s="127">
        <v>0</v>
      </c>
      <c r="AA466" s="127" t="s">
        <v>2511</v>
      </c>
      <c r="AB466" s="131" t="s">
        <v>1298</v>
      </c>
      <c r="AC466" s="127" t="s">
        <v>2099</v>
      </c>
      <c r="AD466" s="131" t="s">
        <v>2512</v>
      </c>
      <c r="AE466" s="131" t="e">
        <v>#N/A</v>
      </c>
      <c r="AF466" s="131" t="e">
        <v>#N/A</v>
      </c>
      <c r="AG466" s="131" t="e">
        <v>#REF!</v>
      </c>
    </row>
    <row r="467" spans="1:33" s="131" customFormat="1" ht="18" customHeight="1" x14ac:dyDescent="0.25">
      <c r="A467" s="125">
        <v>466</v>
      </c>
      <c r="B467" s="126" t="s">
        <v>164</v>
      </c>
      <c r="C467" s="126" t="s">
        <v>3044</v>
      </c>
      <c r="D467" s="126" t="s">
        <v>3019</v>
      </c>
      <c r="E467" s="127" t="s">
        <v>2512</v>
      </c>
      <c r="F467" s="128"/>
      <c r="G467" s="128" t="s">
        <v>3290</v>
      </c>
      <c r="H467" s="125"/>
      <c r="I467" s="125" t="s">
        <v>2453</v>
      </c>
      <c r="J467" s="132"/>
      <c r="K467" s="130"/>
      <c r="L467" s="129"/>
      <c r="M467" s="127" t="s">
        <v>759</v>
      </c>
      <c r="N467" s="127" t="s">
        <v>770</v>
      </c>
      <c r="O467" s="127" t="s">
        <v>1427</v>
      </c>
      <c r="P467" s="127">
        <v>0</v>
      </c>
      <c r="Q467" s="127">
        <v>0</v>
      </c>
      <c r="R467" s="127">
        <v>0</v>
      </c>
      <c r="S467" s="127">
        <v>0</v>
      </c>
      <c r="T467" s="127">
        <v>2</v>
      </c>
      <c r="U467" s="127" t="s">
        <v>1592</v>
      </c>
      <c r="V467" s="127" t="s">
        <v>164</v>
      </c>
      <c r="W467" s="127" t="s">
        <v>808</v>
      </c>
      <c r="X467" s="127" t="s">
        <v>164</v>
      </c>
      <c r="Y467" s="127" t="s">
        <v>1436</v>
      </c>
      <c r="Z467" s="127" t="s">
        <v>1568</v>
      </c>
      <c r="AA467" s="127" t="s">
        <v>2510</v>
      </c>
      <c r="AB467" s="131" t="s">
        <v>1299</v>
      </c>
      <c r="AC467" s="127" t="s">
        <v>2100</v>
      </c>
      <c r="AD467" s="131" t="s">
        <v>2512</v>
      </c>
      <c r="AE467" s="131" t="e">
        <v>#N/A</v>
      </c>
      <c r="AF467" s="131" t="e">
        <v>#N/A</v>
      </c>
      <c r="AG467" s="131" t="e">
        <v>#REF!</v>
      </c>
    </row>
    <row r="468" spans="1:33" s="131" customFormat="1" ht="15.75" x14ac:dyDescent="0.25">
      <c r="A468" s="125">
        <v>467</v>
      </c>
      <c r="B468" s="126" t="s">
        <v>418</v>
      </c>
      <c r="C468" s="126" t="s">
        <v>3045</v>
      </c>
      <c r="D468" s="126" t="s">
        <v>3019</v>
      </c>
      <c r="E468" s="127" t="s">
        <v>2512</v>
      </c>
      <c r="F468" s="128" t="s">
        <v>2411</v>
      </c>
      <c r="G468" s="128" t="s">
        <v>3290</v>
      </c>
      <c r="H468" s="125"/>
      <c r="I468" s="125" t="s">
        <v>934</v>
      </c>
      <c r="J468" s="132"/>
      <c r="K468" s="130"/>
      <c r="L468" s="129"/>
      <c r="M468" s="127" t="s">
        <v>759</v>
      </c>
      <c r="N468" s="127" t="s">
        <v>770</v>
      </c>
      <c r="O468" s="127" t="s">
        <v>1427</v>
      </c>
      <c r="P468" s="127" t="s">
        <v>1554</v>
      </c>
      <c r="Q468" s="127">
        <v>0</v>
      </c>
      <c r="R468" s="127">
        <v>0</v>
      </c>
      <c r="S468" s="127">
        <v>0</v>
      </c>
      <c r="T468" s="127">
        <v>4</v>
      </c>
      <c r="U468" s="127" t="s">
        <v>1476</v>
      </c>
      <c r="V468" s="127" t="s">
        <v>418</v>
      </c>
      <c r="W468" s="127">
        <v>0</v>
      </c>
      <c r="X468" s="127">
        <v>0</v>
      </c>
      <c r="Y468" s="127">
        <v>0</v>
      </c>
      <c r="Z468" s="127" t="s">
        <v>1568</v>
      </c>
      <c r="AA468" s="127" t="s">
        <v>2511</v>
      </c>
      <c r="AB468" s="131" t="s">
        <v>1300</v>
      </c>
      <c r="AC468" s="127" t="s">
        <v>2101</v>
      </c>
      <c r="AD468" s="131" t="s">
        <v>2512</v>
      </c>
      <c r="AE468" s="131" t="e">
        <v>#N/A</v>
      </c>
      <c r="AF468" s="131" t="e">
        <v>#N/A</v>
      </c>
      <c r="AG468" s="131" t="e">
        <v>#REF!</v>
      </c>
    </row>
    <row r="469" spans="1:33" s="131" customFormat="1" ht="18" customHeight="1" x14ac:dyDescent="0.25">
      <c r="A469" s="125">
        <v>468</v>
      </c>
      <c r="B469" s="126" t="s">
        <v>486</v>
      </c>
      <c r="C469" s="126" t="s">
        <v>3046</v>
      </c>
      <c r="D469" s="126" t="s">
        <v>3013</v>
      </c>
      <c r="E469" s="127" t="s">
        <v>2512</v>
      </c>
      <c r="F469" s="128" t="s">
        <v>2410</v>
      </c>
      <c r="G469" s="128" t="s">
        <v>3294</v>
      </c>
      <c r="H469" s="125"/>
      <c r="I469" s="125"/>
      <c r="J469" s="132" t="s">
        <v>1641</v>
      </c>
      <c r="K469" s="130" t="s">
        <v>169</v>
      </c>
      <c r="L469" s="129"/>
      <c r="M469" s="127" t="s">
        <v>757</v>
      </c>
      <c r="N469" s="127" t="s">
        <v>1641</v>
      </c>
      <c r="O469" s="127" t="s">
        <v>1553</v>
      </c>
      <c r="P469" s="127">
        <v>0</v>
      </c>
      <c r="Q469" s="127">
        <v>2</v>
      </c>
      <c r="R469" s="127" t="s">
        <v>809</v>
      </c>
      <c r="S469" s="127" t="s">
        <v>486</v>
      </c>
      <c r="T469" s="127">
        <v>0</v>
      </c>
      <c r="U469" s="127">
        <v>0</v>
      </c>
      <c r="V469" s="127">
        <v>0</v>
      </c>
      <c r="W469" s="127">
        <v>0</v>
      </c>
      <c r="X469" s="127">
        <v>0</v>
      </c>
      <c r="Y469" s="127">
        <v>0</v>
      </c>
      <c r="Z469" s="127">
        <v>0</v>
      </c>
      <c r="AA469" s="127" t="s">
        <v>2511</v>
      </c>
      <c r="AB469" s="131" t="s">
        <v>688</v>
      </c>
      <c r="AC469" s="127" t="s">
        <v>2102</v>
      </c>
      <c r="AD469" s="131" t="s">
        <v>2512</v>
      </c>
      <c r="AE469" s="131" t="s">
        <v>169</v>
      </c>
      <c r="AF469" s="131" t="b">
        <v>1</v>
      </c>
      <c r="AG469" s="131" t="e">
        <v>#REF!</v>
      </c>
    </row>
    <row r="470" spans="1:33" s="131" customFormat="1" ht="18" customHeight="1" x14ac:dyDescent="0.25">
      <c r="A470" s="125">
        <v>469</v>
      </c>
      <c r="B470" s="126" t="s">
        <v>480</v>
      </c>
      <c r="C470" s="126" t="s">
        <v>3047</v>
      </c>
      <c r="D470" s="126" t="s">
        <v>3021</v>
      </c>
      <c r="E470" s="127" t="s">
        <v>2512</v>
      </c>
      <c r="F470" s="128" t="s">
        <v>2410</v>
      </c>
      <c r="G470" s="128" t="s">
        <v>3294</v>
      </c>
      <c r="H470" s="125"/>
      <c r="I470" s="125"/>
      <c r="J470" s="129" t="s">
        <v>1641</v>
      </c>
      <c r="K470" s="130" t="s">
        <v>182</v>
      </c>
      <c r="L470" s="129"/>
      <c r="M470" s="127" t="s">
        <v>757</v>
      </c>
      <c r="N470" s="127" t="s">
        <v>1641</v>
      </c>
      <c r="O470" s="127" t="s">
        <v>1553</v>
      </c>
      <c r="P470" s="127">
        <v>0</v>
      </c>
      <c r="Q470" s="127">
        <v>2</v>
      </c>
      <c r="R470" s="127" t="s">
        <v>810</v>
      </c>
      <c r="S470" s="127" t="s">
        <v>480</v>
      </c>
      <c r="T470" s="127">
        <v>0</v>
      </c>
      <c r="U470" s="127">
        <v>0</v>
      </c>
      <c r="V470" s="127">
        <v>0</v>
      </c>
      <c r="W470" s="127">
        <v>0</v>
      </c>
      <c r="X470" s="127">
        <v>0</v>
      </c>
      <c r="Y470" s="127">
        <v>0</v>
      </c>
      <c r="Z470" s="127">
        <v>0</v>
      </c>
      <c r="AA470" s="127" t="s">
        <v>2511</v>
      </c>
      <c r="AB470" s="131" t="s">
        <v>689</v>
      </c>
      <c r="AC470" s="127" t="s">
        <v>2103</v>
      </c>
      <c r="AD470" s="131" t="s">
        <v>2512</v>
      </c>
      <c r="AE470" s="131" t="s">
        <v>167</v>
      </c>
      <c r="AF470" s="131" t="b">
        <v>0</v>
      </c>
      <c r="AG470" s="131" t="e">
        <v>#REF!</v>
      </c>
    </row>
    <row r="471" spans="1:33" s="131" customFormat="1" ht="18" customHeight="1" x14ac:dyDescent="0.25">
      <c r="A471" s="125">
        <v>470</v>
      </c>
      <c r="B471" s="126" t="s">
        <v>500</v>
      </c>
      <c r="C471" s="126" t="s">
        <v>3048</v>
      </c>
      <c r="D471" s="126" t="s">
        <v>3013</v>
      </c>
      <c r="E471" s="127" t="s">
        <v>2512</v>
      </c>
      <c r="F471" s="128" t="s">
        <v>2411</v>
      </c>
      <c r="G471" s="128" t="s">
        <v>3289</v>
      </c>
      <c r="H471" s="125" t="s">
        <v>1223</v>
      </c>
      <c r="I471" s="125"/>
      <c r="J471" s="129"/>
      <c r="K471" s="130"/>
      <c r="L471" s="129"/>
      <c r="M471" s="127" t="s">
        <v>757</v>
      </c>
      <c r="N471" s="127" t="s">
        <v>1639</v>
      </c>
      <c r="O471" s="127" t="s">
        <v>1522</v>
      </c>
      <c r="P471" s="127" t="s">
        <v>812</v>
      </c>
      <c r="Q471" s="127">
        <v>0</v>
      </c>
      <c r="R471" s="127">
        <v>0</v>
      </c>
      <c r="S471" s="127">
        <v>0</v>
      </c>
      <c r="T471" s="127">
        <v>0</v>
      </c>
      <c r="U471" s="127">
        <v>0</v>
      </c>
      <c r="V471" s="127">
        <v>0</v>
      </c>
      <c r="W471" s="127">
        <v>0</v>
      </c>
      <c r="X471" s="127">
        <v>0</v>
      </c>
      <c r="Y471" s="127">
        <v>0</v>
      </c>
      <c r="Z471" s="127">
        <v>0</v>
      </c>
      <c r="AA471" s="127" t="s">
        <v>2511</v>
      </c>
      <c r="AB471" s="131" t="s">
        <v>690</v>
      </c>
      <c r="AC471" s="127" t="s">
        <v>2104</v>
      </c>
      <c r="AD471" s="131" t="s">
        <v>2512</v>
      </c>
      <c r="AE471" s="131" t="e">
        <v>#N/A</v>
      </c>
      <c r="AF471" s="131" t="e">
        <v>#N/A</v>
      </c>
      <c r="AG471" s="131" t="e">
        <v>#REF!</v>
      </c>
    </row>
    <row r="472" spans="1:33" s="131" customFormat="1" ht="15.75" x14ac:dyDescent="0.25">
      <c r="A472" s="125">
        <v>471</v>
      </c>
      <c r="B472" s="126" t="s">
        <v>479</v>
      </c>
      <c r="C472" s="126" t="s">
        <v>3049</v>
      </c>
      <c r="D472" s="126" t="s">
        <v>3019</v>
      </c>
      <c r="E472" s="127" t="s">
        <v>2512</v>
      </c>
      <c r="F472" s="128"/>
      <c r="G472" s="128" t="s">
        <v>3290</v>
      </c>
      <c r="H472" s="125" t="s">
        <v>2394</v>
      </c>
      <c r="I472" s="125"/>
      <c r="J472" s="132"/>
      <c r="K472" s="130"/>
      <c r="L472" s="129"/>
      <c r="M472" s="127" t="s">
        <v>759</v>
      </c>
      <c r="N472" s="127" t="s">
        <v>1639</v>
      </c>
      <c r="O472" s="127" t="s">
        <v>1553</v>
      </c>
      <c r="P472" s="127">
        <v>0</v>
      </c>
      <c r="Q472" s="127">
        <v>2</v>
      </c>
      <c r="R472" s="127" t="s">
        <v>810</v>
      </c>
      <c r="S472" s="127" t="s">
        <v>479</v>
      </c>
      <c r="T472" s="127">
        <v>0</v>
      </c>
      <c r="U472" s="127">
        <v>0</v>
      </c>
      <c r="V472" s="127">
        <v>0</v>
      </c>
      <c r="W472" s="127">
        <v>0</v>
      </c>
      <c r="X472" s="127">
        <v>0</v>
      </c>
      <c r="Y472" s="127">
        <v>0</v>
      </c>
      <c r="Z472" s="127">
        <v>0</v>
      </c>
      <c r="AA472" s="127" t="s">
        <v>2511</v>
      </c>
      <c r="AB472" s="131" t="s">
        <v>691</v>
      </c>
      <c r="AC472" s="127" t="s">
        <v>2105</v>
      </c>
      <c r="AD472" s="131" t="s">
        <v>2512</v>
      </c>
      <c r="AE472" s="131" t="e">
        <v>#N/A</v>
      </c>
      <c r="AF472" s="131" t="e">
        <v>#N/A</v>
      </c>
      <c r="AG472" s="131" t="e">
        <v>#REF!</v>
      </c>
    </row>
    <row r="473" spans="1:33" s="131" customFormat="1" ht="18" customHeight="1" x14ac:dyDescent="0.25">
      <c r="A473" s="125">
        <v>472</v>
      </c>
      <c r="B473" s="126" t="s">
        <v>487</v>
      </c>
      <c r="C473" s="126" t="s">
        <v>3050</v>
      </c>
      <c r="D473" s="126" t="s">
        <v>3021</v>
      </c>
      <c r="E473" s="127" t="s">
        <v>2512</v>
      </c>
      <c r="F473" s="128" t="s">
        <v>2411</v>
      </c>
      <c r="G473" s="128" t="s">
        <v>3289</v>
      </c>
      <c r="H473" s="125" t="s">
        <v>931</v>
      </c>
      <c r="I473" s="125"/>
      <c r="J473" s="129"/>
      <c r="K473" s="130"/>
      <c r="L473" s="129"/>
      <c r="M473" s="127" t="s">
        <v>759</v>
      </c>
      <c r="N473" s="127" t="s">
        <v>1639</v>
      </c>
      <c r="O473" s="127" t="s">
        <v>1550</v>
      </c>
      <c r="P473" s="127" t="s">
        <v>812</v>
      </c>
      <c r="Q473" s="127">
        <v>0</v>
      </c>
      <c r="R473" s="127">
        <v>0</v>
      </c>
      <c r="S473" s="127">
        <v>0</v>
      </c>
      <c r="T473" s="127">
        <v>0</v>
      </c>
      <c r="U473" s="127">
        <v>0</v>
      </c>
      <c r="V473" s="127">
        <v>0</v>
      </c>
      <c r="W473" s="127">
        <v>0</v>
      </c>
      <c r="X473" s="127">
        <v>0</v>
      </c>
      <c r="Y473" s="127">
        <v>0</v>
      </c>
      <c r="Z473" s="127">
        <v>0</v>
      </c>
      <c r="AA473" s="127" t="s">
        <v>2511</v>
      </c>
      <c r="AB473" s="131" t="s">
        <v>692</v>
      </c>
      <c r="AC473" s="127" t="s">
        <v>2106</v>
      </c>
      <c r="AD473" s="131" t="s">
        <v>2512</v>
      </c>
      <c r="AE473" s="131" t="e">
        <v>#N/A</v>
      </c>
      <c r="AF473" s="131" t="e">
        <v>#N/A</v>
      </c>
      <c r="AG473" s="131" t="e">
        <v>#REF!</v>
      </c>
    </row>
    <row r="474" spans="1:33" s="131" customFormat="1" ht="15.75" x14ac:dyDescent="0.25">
      <c r="A474" s="125">
        <v>473</v>
      </c>
      <c r="B474" s="126" t="s">
        <v>488</v>
      </c>
      <c r="C474" s="126" t="s">
        <v>3051</v>
      </c>
      <c r="D474" s="126" t="s">
        <v>3013</v>
      </c>
      <c r="E474" s="127" t="s">
        <v>2512</v>
      </c>
      <c r="F474" s="128"/>
      <c r="G474" s="128" t="s">
        <v>3290</v>
      </c>
      <c r="H474" s="125"/>
      <c r="I474" s="125"/>
      <c r="J474" s="129" t="s">
        <v>1641</v>
      </c>
      <c r="K474" s="130"/>
      <c r="L474" s="129"/>
      <c r="M474" s="127" t="s">
        <v>759</v>
      </c>
      <c r="N474" s="127" t="s">
        <v>1641</v>
      </c>
      <c r="O474" s="127" t="s">
        <v>1553</v>
      </c>
      <c r="P474" s="127">
        <v>0</v>
      </c>
      <c r="Q474" s="127">
        <v>2</v>
      </c>
      <c r="R474" s="127" t="s">
        <v>1519</v>
      </c>
      <c r="S474" s="127" t="s">
        <v>488</v>
      </c>
      <c r="T474" s="127">
        <v>0</v>
      </c>
      <c r="U474" s="127">
        <v>0</v>
      </c>
      <c r="V474" s="127">
        <v>0</v>
      </c>
      <c r="W474" s="127">
        <v>0</v>
      </c>
      <c r="X474" s="127">
        <v>0</v>
      </c>
      <c r="Y474" s="127">
        <v>0</v>
      </c>
      <c r="Z474" s="127">
        <v>0</v>
      </c>
      <c r="AA474" s="127" t="s">
        <v>2511</v>
      </c>
      <c r="AB474" s="131" t="s">
        <v>693</v>
      </c>
      <c r="AC474" s="127" t="s">
        <v>2107</v>
      </c>
      <c r="AD474" s="131" t="s">
        <v>2512</v>
      </c>
      <c r="AE474" s="131" t="e">
        <v>#N/A</v>
      </c>
      <c r="AF474" s="131" t="e">
        <v>#N/A</v>
      </c>
      <c r="AG474" s="131" t="e">
        <v>#REF!</v>
      </c>
    </row>
    <row r="475" spans="1:33" s="131" customFormat="1" ht="18" customHeight="1" x14ac:dyDescent="0.25">
      <c r="A475" s="125">
        <v>474</v>
      </c>
      <c r="B475" s="126" t="s">
        <v>499</v>
      </c>
      <c r="C475" s="126" t="s">
        <v>3052</v>
      </c>
      <c r="D475" s="126" t="s">
        <v>3013</v>
      </c>
      <c r="E475" s="127" t="s">
        <v>2512</v>
      </c>
      <c r="F475" s="128" t="s">
        <v>2410</v>
      </c>
      <c r="G475" s="128" t="s">
        <v>3294</v>
      </c>
      <c r="H475" s="125" t="s">
        <v>1325</v>
      </c>
      <c r="I475" s="125"/>
      <c r="J475" s="129"/>
      <c r="K475" s="130" t="s">
        <v>148</v>
      </c>
      <c r="L475" s="129"/>
      <c r="M475" s="127" t="s">
        <v>759</v>
      </c>
      <c r="N475" s="127" t="s">
        <v>1639</v>
      </c>
      <c r="O475" s="127" t="s">
        <v>1553</v>
      </c>
      <c r="P475" s="127">
        <v>0</v>
      </c>
      <c r="Q475" s="127">
        <v>2</v>
      </c>
      <c r="R475" s="127" t="s">
        <v>1463</v>
      </c>
      <c r="S475" s="127" t="s">
        <v>499</v>
      </c>
      <c r="T475" s="127">
        <v>0</v>
      </c>
      <c r="U475" s="127">
        <v>0</v>
      </c>
      <c r="V475" s="127">
        <v>0</v>
      </c>
      <c r="W475" s="127">
        <v>0</v>
      </c>
      <c r="X475" s="127">
        <v>0</v>
      </c>
      <c r="Y475" s="127">
        <v>0</v>
      </c>
      <c r="Z475" s="127">
        <v>0</v>
      </c>
      <c r="AA475" s="127" t="s">
        <v>2511</v>
      </c>
      <c r="AB475" s="131" t="s">
        <v>694</v>
      </c>
      <c r="AC475" s="127" t="s">
        <v>2108</v>
      </c>
      <c r="AD475" s="131" t="s">
        <v>2512</v>
      </c>
      <c r="AE475" s="131" t="s">
        <v>148</v>
      </c>
      <c r="AF475" s="131" t="b">
        <v>1</v>
      </c>
      <c r="AG475" s="131" t="e">
        <v>#REF!</v>
      </c>
    </row>
    <row r="476" spans="1:33" s="131" customFormat="1" ht="18" customHeight="1" x14ac:dyDescent="0.25">
      <c r="A476" s="125">
        <v>475</v>
      </c>
      <c r="B476" s="126" t="s">
        <v>544</v>
      </c>
      <c r="C476" s="126" t="s">
        <v>3053</v>
      </c>
      <c r="D476" s="126" t="s">
        <v>3013</v>
      </c>
      <c r="E476" s="127" t="s">
        <v>2512</v>
      </c>
      <c r="F476" s="128" t="s">
        <v>2410</v>
      </c>
      <c r="G476" s="128" t="s">
        <v>3294</v>
      </c>
      <c r="H476" s="125"/>
      <c r="I476" s="125"/>
      <c r="J476" s="132" t="s">
        <v>1641</v>
      </c>
      <c r="K476" s="130" t="s">
        <v>169</v>
      </c>
      <c r="L476" s="129"/>
      <c r="M476" s="127" t="s">
        <v>757</v>
      </c>
      <c r="N476" s="127" t="s">
        <v>1641</v>
      </c>
      <c r="O476" s="127" t="s">
        <v>1553</v>
      </c>
      <c r="P476" s="127">
        <v>0</v>
      </c>
      <c r="Q476" s="127">
        <v>2</v>
      </c>
      <c r="R476" s="127" t="s">
        <v>809</v>
      </c>
      <c r="S476" s="127" t="s">
        <v>544</v>
      </c>
      <c r="T476" s="127">
        <v>0</v>
      </c>
      <c r="U476" s="127">
        <v>0</v>
      </c>
      <c r="V476" s="127">
        <v>0</v>
      </c>
      <c r="W476" s="127">
        <v>0</v>
      </c>
      <c r="X476" s="127">
        <v>0</v>
      </c>
      <c r="Y476" s="127">
        <v>0</v>
      </c>
      <c r="Z476" s="127">
        <v>0</v>
      </c>
      <c r="AA476" s="127" t="s">
        <v>2511</v>
      </c>
      <c r="AB476" s="131" t="s">
        <v>695</v>
      </c>
      <c r="AC476" s="127" t="s">
        <v>2109</v>
      </c>
      <c r="AD476" s="131" t="s">
        <v>2512</v>
      </c>
      <c r="AE476" s="131" t="s">
        <v>169</v>
      </c>
      <c r="AF476" s="131" t="b">
        <v>1</v>
      </c>
      <c r="AG476" s="131" t="e">
        <v>#REF!</v>
      </c>
    </row>
    <row r="477" spans="1:33" s="131" customFormat="1" ht="18" customHeight="1" x14ac:dyDescent="0.25">
      <c r="A477" s="125">
        <v>476</v>
      </c>
      <c r="B477" s="126" t="s">
        <v>489</v>
      </c>
      <c r="C477" s="126" t="s">
        <v>3054</v>
      </c>
      <c r="D477" s="126" t="s">
        <v>3021</v>
      </c>
      <c r="E477" s="127" t="s">
        <v>2512</v>
      </c>
      <c r="F477" s="128"/>
      <c r="G477" s="128" t="s">
        <v>3290</v>
      </c>
      <c r="H477" s="125" t="s">
        <v>1732</v>
      </c>
      <c r="I477" s="125"/>
      <c r="J477" s="129"/>
      <c r="K477" s="130"/>
      <c r="L477" s="129"/>
      <c r="M477" s="127" t="s">
        <v>759</v>
      </c>
      <c r="N477" s="127" t="s">
        <v>1639</v>
      </c>
      <c r="O477" s="127" t="s">
        <v>1553</v>
      </c>
      <c r="P477" s="127">
        <v>0</v>
      </c>
      <c r="Q477" s="127">
        <v>2</v>
      </c>
      <c r="R477" s="127" t="s">
        <v>1522</v>
      </c>
      <c r="S477" s="127" t="s">
        <v>489</v>
      </c>
      <c r="T477" s="127">
        <v>0</v>
      </c>
      <c r="U477" s="127">
        <v>0</v>
      </c>
      <c r="V477" s="127">
        <v>0</v>
      </c>
      <c r="W477" s="127">
        <v>0</v>
      </c>
      <c r="X477" s="127">
        <v>0</v>
      </c>
      <c r="Y477" s="127">
        <v>0</v>
      </c>
      <c r="Z477" s="127">
        <v>0</v>
      </c>
      <c r="AA477" s="127" t="s">
        <v>2511</v>
      </c>
      <c r="AB477" s="131" t="s">
        <v>696</v>
      </c>
      <c r="AC477" s="127" t="s">
        <v>2110</v>
      </c>
      <c r="AD477" s="131" t="s">
        <v>2512</v>
      </c>
      <c r="AE477" s="131" t="e">
        <v>#N/A</v>
      </c>
      <c r="AF477" s="131" t="e">
        <v>#N/A</v>
      </c>
      <c r="AG477" s="131" t="e">
        <v>#REF!</v>
      </c>
    </row>
    <row r="478" spans="1:33" s="131" customFormat="1" ht="18" customHeight="1" x14ac:dyDescent="0.25">
      <c r="A478" s="125">
        <v>477</v>
      </c>
      <c r="B478" s="126" t="s">
        <v>529</v>
      </c>
      <c r="C478" s="126" t="s">
        <v>3055</v>
      </c>
      <c r="D478" s="126" t="s">
        <v>3013</v>
      </c>
      <c r="E478" s="127" t="s">
        <v>2512</v>
      </c>
      <c r="F478" s="128" t="s">
        <v>2410</v>
      </c>
      <c r="G478" s="128" t="s">
        <v>3294</v>
      </c>
      <c r="H478" s="125" t="s">
        <v>2394</v>
      </c>
      <c r="I478" s="125"/>
      <c r="J478" s="132"/>
      <c r="K478" s="130" t="s">
        <v>165</v>
      </c>
      <c r="L478" s="129"/>
      <c r="M478" s="127" t="s">
        <v>759</v>
      </c>
      <c r="N478" s="127" t="s">
        <v>1639</v>
      </c>
      <c r="O478" s="127" t="s">
        <v>1553</v>
      </c>
      <c r="P478" s="127">
        <v>0</v>
      </c>
      <c r="Q478" s="127">
        <v>2</v>
      </c>
      <c r="R478" s="127" t="s">
        <v>808</v>
      </c>
      <c r="S478" s="127" t="s">
        <v>529</v>
      </c>
      <c r="T478" s="127">
        <v>0</v>
      </c>
      <c r="U478" s="127">
        <v>0</v>
      </c>
      <c r="V478" s="127">
        <v>0</v>
      </c>
      <c r="W478" s="127">
        <v>0</v>
      </c>
      <c r="X478" s="127">
        <v>0</v>
      </c>
      <c r="Y478" s="127">
        <v>0</v>
      </c>
      <c r="Z478" s="127">
        <v>0</v>
      </c>
      <c r="AA478" s="127" t="s">
        <v>2511</v>
      </c>
      <c r="AB478" s="131" t="s">
        <v>697</v>
      </c>
      <c r="AC478" s="127" t="s">
        <v>2111</v>
      </c>
      <c r="AD478" s="131" t="s">
        <v>2512</v>
      </c>
      <c r="AE478" s="131" t="s">
        <v>165</v>
      </c>
      <c r="AF478" s="131" t="b">
        <v>1</v>
      </c>
      <c r="AG478" s="131" t="e">
        <v>#REF!</v>
      </c>
    </row>
    <row r="479" spans="1:33" s="131" customFormat="1" ht="18" customHeight="1" x14ac:dyDescent="0.25">
      <c r="A479" s="125">
        <v>478</v>
      </c>
      <c r="B479" s="126" t="s">
        <v>528</v>
      </c>
      <c r="C479" s="126" t="s">
        <v>3056</v>
      </c>
      <c r="D479" s="126" t="s">
        <v>3019</v>
      </c>
      <c r="E479" s="127" t="s">
        <v>2512</v>
      </c>
      <c r="F479" s="128"/>
      <c r="G479" s="128" t="s">
        <v>3290</v>
      </c>
      <c r="H479" s="125" t="s">
        <v>1732</v>
      </c>
      <c r="I479" s="125"/>
      <c r="J479" s="129"/>
      <c r="K479" s="130"/>
      <c r="L479" s="129"/>
      <c r="M479" s="127" t="s">
        <v>759</v>
      </c>
      <c r="N479" s="127" t="s">
        <v>1639</v>
      </c>
      <c r="O479" s="127" t="s">
        <v>1553</v>
      </c>
      <c r="P479" s="127">
        <v>0</v>
      </c>
      <c r="Q479" s="127">
        <v>2</v>
      </c>
      <c r="R479" s="127" t="s">
        <v>810</v>
      </c>
      <c r="S479" s="127" t="s">
        <v>528</v>
      </c>
      <c r="T479" s="127">
        <v>0</v>
      </c>
      <c r="U479" s="127">
        <v>0</v>
      </c>
      <c r="V479" s="127">
        <v>0</v>
      </c>
      <c r="W479" s="127">
        <v>0</v>
      </c>
      <c r="X479" s="127">
        <v>0</v>
      </c>
      <c r="Y479" s="127">
        <v>0</v>
      </c>
      <c r="Z479" s="127">
        <v>0</v>
      </c>
      <c r="AA479" s="127" t="s">
        <v>2511</v>
      </c>
      <c r="AB479" s="131" t="s">
        <v>698</v>
      </c>
      <c r="AC479" s="127" t="s">
        <v>2112</v>
      </c>
      <c r="AD479" s="131" t="s">
        <v>2512</v>
      </c>
      <c r="AE479" s="131" t="e">
        <v>#N/A</v>
      </c>
      <c r="AF479" s="131" t="e">
        <v>#N/A</v>
      </c>
      <c r="AG479" s="131" t="e">
        <v>#REF!</v>
      </c>
    </row>
    <row r="480" spans="1:33" s="131" customFormat="1" ht="18" customHeight="1" x14ac:dyDescent="0.25">
      <c r="A480" s="125">
        <v>479</v>
      </c>
      <c r="B480" s="133" t="s">
        <v>600</v>
      </c>
      <c r="C480" s="126" t="s">
        <v>3057</v>
      </c>
      <c r="D480" s="126" t="s">
        <v>2821</v>
      </c>
      <c r="E480" s="127" t="s">
        <v>2512</v>
      </c>
      <c r="F480" s="128" t="s">
        <v>2410</v>
      </c>
      <c r="G480" s="128" t="s">
        <v>3294</v>
      </c>
      <c r="H480" s="125" t="s">
        <v>925</v>
      </c>
      <c r="I480" s="125"/>
      <c r="J480" s="129"/>
      <c r="K480" s="130" t="s">
        <v>175</v>
      </c>
      <c r="L480" s="129"/>
      <c r="M480" s="127" t="s">
        <v>759</v>
      </c>
      <c r="N480" s="127" t="s">
        <v>1639</v>
      </c>
      <c r="O480" s="127" t="s">
        <v>1427</v>
      </c>
      <c r="P480" s="127">
        <v>0</v>
      </c>
      <c r="Q480" s="127">
        <v>0</v>
      </c>
      <c r="R480" s="127">
        <v>0</v>
      </c>
      <c r="S480" s="127">
        <v>0</v>
      </c>
      <c r="T480" s="127">
        <v>2</v>
      </c>
      <c r="U480" s="127" t="s">
        <v>1480</v>
      </c>
      <c r="V480" s="127" t="s">
        <v>600</v>
      </c>
      <c r="W480" s="127">
        <v>0</v>
      </c>
      <c r="X480" s="127">
        <v>0</v>
      </c>
      <c r="Y480" s="127">
        <v>0</v>
      </c>
      <c r="Z480" s="127">
        <v>0</v>
      </c>
      <c r="AA480" s="127" t="s">
        <v>2511</v>
      </c>
      <c r="AB480" s="131" t="s">
        <v>742</v>
      </c>
      <c r="AC480" s="127" t="s">
        <v>2113</v>
      </c>
      <c r="AD480" s="131" t="s">
        <v>2512</v>
      </c>
      <c r="AE480" s="131" t="s">
        <v>175</v>
      </c>
      <c r="AF480" s="131" t="b">
        <v>1</v>
      </c>
      <c r="AG480" s="131" t="e">
        <v>#REF!</v>
      </c>
    </row>
    <row r="481" spans="1:33" s="131" customFormat="1" ht="15.75" x14ac:dyDescent="0.25">
      <c r="A481" s="125">
        <v>480</v>
      </c>
      <c r="B481" s="133" t="s">
        <v>598</v>
      </c>
      <c r="C481" s="126" t="s">
        <v>3058</v>
      </c>
      <c r="D481" s="126" t="s">
        <v>3019</v>
      </c>
      <c r="E481" s="127" t="s">
        <v>2512</v>
      </c>
      <c r="F481" s="128" t="s">
        <v>2410</v>
      </c>
      <c r="G481" s="128" t="s">
        <v>3294</v>
      </c>
      <c r="H481" s="125" t="s">
        <v>927</v>
      </c>
      <c r="I481" s="125"/>
      <c r="J481" s="129"/>
      <c r="K481" s="130" t="s">
        <v>194</v>
      </c>
      <c r="L481" s="129"/>
      <c r="M481" s="127" t="s">
        <v>759</v>
      </c>
      <c r="N481" s="127" t="s">
        <v>1639</v>
      </c>
      <c r="O481" s="127" t="s">
        <v>1427</v>
      </c>
      <c r="P481" s="127">
        <v>0</v>
      </c>
      <c r="Q481" s="127">
        <v>0</v>
      </c>
      <c r="R481" s="127">
        <v>0</v>
      </c>
      <c r="S481" s="127">
        <v>0</v>
      </c>
      <c r="T481" s="127">
        <v>2</v>
      </c>
      <c r="U481" s="127" t="s">
        <v>1476</v>
      </c>
      <c r="V481" s="127" t="s">
        <v>598</v>
      </c>
      <c r="W481" s="127">
        <v>0</v>
      </c>
      <c r="X481" s="127">
        <v>0</v>
      </c>
      <c r="Y481" s="127">
        <v>0</v>
      </c>
      <c r="Z481" s="127">
        <v>0</v>
      </c>
      <c r="AA481" s="127" t="s">
        <v>2511</v>
      </c>
      <c r="AB481" s="131" t="s">
        <v>740</v>
      </c>
      <c r="AC481" s="127" t="s">
        <v>2114</v>
      </c>
      <c r="AD481" s="131" t="s">
        <v>2512</v>
      </c>
      <c r="AE481" s="131" t="s">
        <v>194</v>
      </c>
      <c r="AF481" s="131" t="b">
        <v>1</v>
      </c>
      <c r="AG481" s="131" t="e">
        <v>#REF!</v>
      </c>
    </row>
    <row r="482" spans="1:33" s="131" customFormat="1" ht="18" customHeight="1" x14ac:dyDescent="0.25">
      <c r="A482" s="125">
        <v>481</v>
      </c>
      <c r="B482" s="126" t="s">
        <v>850</v>
      </c>
      <c r="C482" s="126" t="s">
        <v>3059</v>
      </c>
      <c r="D482" s="126" t="s">
        <v>3021</v>
      </c>
      <c r="E482" s="127" t="s">
        <v>2512</v>
      </c>
      <c r="F482" s="128"/>
      <c r="G482" s="128" t="s">
        <v>3290</v>
      </c>
      <c r="H482" s="125" t="s">
        <v>2394</v>
      </c>
      <c r="I482" s="125"/>
      <c r="J482" s="132"/>
      <c r="K482" s="130"/>
      <c r="L482" s="129"/>
      <c r="M482" s="127" t="s">
        <v>759</v>
      </c>
      <c r="N482" s="127" t="s">
        <v>1639</v>
      </c>
      <c r="O482" s="127" t="s">
        <v>1427</v>
      </c>
      <c r="P482" s="127">
        <v>0</v>
      </c>
      <c r="Q482" s="127">
        <v>0</v>
      </c>
      <c r="R482" s="127">
        <v>0</v>
      </c>
      <c r="S482" s="127">
        <v>0</v>
      </c>
      <c r="T482" s="127">
        <v>2</v>
      </c>
      <c r="U482" s="127" t="s">
        <v>1550</v>
      </c>
      <c r="V482" s="127" t="s">
        <v>850</v>
      </c>
      <c r="W482" s="127">
        <v>0</v>
      </c>
      <c r="X482" s="127">
        <v>0</v>
      </c>
      <c r="Y482" s="127">
        <v>0</v>
      </c>
      <c r="Z482" s="127">
        <v>0</v>
      </c>
      <c r="AA482" s="127" t="s">
        <v>2511</v>
      </c>
      <c r="AB482" s="131" t="s">
        <v>818</v>
      </c>
      <c r="AC482" s="127" t="s">
        <v>2115</v>
      </c>
      <c r="AD482" s="131" t="s">
        <v>2512</v>
      </c>
      <c r="AE482" s="131" t="e">
        <v>#N/A</v>
      </c>
      <c r="AF482" s="131" t="e">
        <v>#N/A</v>
      </c>
      <c r="AG482" s="131" t="e">
        <v>#REF!</v>
      </c>
    </row>
    <row r="483" spans="1:33" s="131" customFormat="1" ht="18" customHeight="1" x14ac:dyDescent="0.25">
      <c r="A483" s="125">
        <v>482</v>
      </c>
      <c r="B483" s="126" t="s">
        <v>849</v>
      </c>
      <c r="C483" s="126" t="s">
        <v>3060</v>
      </c>
      <c r="D483" s="126" t="s">
        <v>3019</v>
      </c>
      <c r="E483" s="127" t="s">
        <v>2512</v>
      </c>
      <c r="F483" s="128" t="s">
        <v>2410</v>
      </c>
      <c r="G483" s="128" t="s">
        <v>3294</v>
      </c>
      <c r="H483" s="125"/>
      <c r="I483" s="125"/>
      <c r="J483" s="132" t="s">
        <v>1641</v>
      </c>
      <c r="K483" s="130" t="s">
        <v>167</v>
      </c>
      <c r="L483" s="129"/>
      <c r="M483" s="127" t="s">
        <v>759</v>
      </c>
      <c r="N483" s="127" t="s">
        <v>1641</v>
      </c>
      <c r="O483" s="127" t="s">
        <v>1427</v>
      </c>
      <c r="P483" s="127">
        <v>0</v>
      </c>
      <c r="Q483" s="127">
        <v>0</v>
      </c>
      <c r="R483" s="127">
        <v>0</v>
      </c>
      <c r="S483" s="127">
        <v>0</v>
      </c>
      <c r="T483" s="127">
        <v>2</v>
      </c>
      <c r="U483" s="127" t="s">
        <v>1592</v>
      </c>
      <c r="V483" s="127" t="s">
        <v>849</v>
      </c>
      <c r="W483" s="127" t="s">
        <v>808</v>
      </c>
      <c r="X483" s="127" t="s">
        <v>849</v>
      </c>
      <c r="Y483" s="127" t="s">
        <v>1573</v>
      </c>
      <c r="Z483" s="127">
        <v>0</v>
      </c>
      <c r="AA483" s="127" t="s">
        <v>2511</v>
      </c>
      <c r="AB483" s="131" t="s">
        <v>827</v>
      </c>
      <c r="AC483" s="127" t="s">
        <v>2291</v>
      </c>
      <c r="AD483" s="131" t="s">
        <v>2512</v>
      </c>
      <c r="AE483" s="131" t="s">
        <v>167</v>
      </c>
      <c r="AF483" s="131" t="b">
        <v>1</v>
      </c>
      <c r="AG483" s="131" t="e">
        <v>#REF!</v>
      </c>
    </row>
    <row r="484" spans="1:33" s="131" customFormat="1" ht="18" customHeight="1" x14ac:dyDescent="0.25">
      <c r="A484" s="125">
        <v>483</v>
      </c>
      <c r="B484" s="126" t="s">
        <v>864</v>
      </c>
      <c r="C484" s="126" t="s">
        <v>3061</v>
      </c>
      <c r="D484" s="126" t="s">
        <v>3013</v>
      </c>
      <c r="E484" s="127" t="s">
        <v>2512</v>
      </c>
      <c r="F484" s="128" t="s">
        <v>2410</v>
      </c>
      <c r="G484" s="128" t="s">
        <v>3294</v>
      </c>
      <c r="H484" s="125"/>
      <c r="I484" s="125"/>
      <c r="J484" s="129" t="s">
        <v>1641</v>
      </c>
      <c r="K484" s="130" t="s">
        <v>150</v>
      </c>
      <c r="L484" s="129"/>
      <c r="M484" s="127" t="s">
        <v>759</v>
      </c>
      <c r="N484" s="127" t="s">
        <v>1641</v>
      </c>
      <c r="O484" s="127" t="s">
        <v>1427</v>
      </c>
      <c r="P484" s="127">
        <v>0</v>
      </c>
      <c r="Q484" s="127">
        <v>0</v>
      </c>
      <c r="R484" s="127">
        <v>0</v>
      </c>
      <c r="S484" s="127">
        <v>0</v>
      </c>
      <c r="T484" s="127">
        <v>2</v>
      </c>
      <c r="U484" s="127" t="s">
        <v>1519</v>
      </c>
      <c r="V484" s="127" t="s">
        <v>864</v>
      </c>
      <c r="W484" s="127">
        <v>0</v>
      </c>
      <c r="X484" s="127">
        <v>0</v>
      </c>
      <c r="Y484" s="127">
        <v>0</v>
      </c>
      <c r="Z484" s="127">
        <v>0</v>
      </c>
      <c r="AA484" s="127" t="s">
        <v>2511</v>
      </c>
      <c r="AB484" s="131" t="s">
        <v>1665</v>
      </c>
      <c r="AC484" s="127" t="s">
        <v>2116</v>
      </c>
      <c r="AD484" s="131" t="s">
        <v>2512</v>
      </c>
      <c r="AE484" s="131" t="s">
        <v>864</v>
      </c>
      <c r="AF484" s="131" t="b">
        <v>0</v>
      </c>
      <c r="AG484" s="131" t="e">
        <v>#REF!</v>
      </c>
    </row>
    <row r="485" spans="1:33" s="131" customFormat="1" ht="18" customHeight="1" x14ac:dyDescent="0.25">
      <c r="A485" s="125">
        <v>484</v>
      </c>
      <c r="B485" s="136" t="s">
        <v>1715</v>
      </c>
      <c r="C485" s="126" t="s">
        <v>3062</v>
      </c>
      <c r="D485" s="126" t="s">
        <v>3019</v>
      </c>
      <c r="E485" s="127" t="s">
        <v>2512</v>
      </c>
      <c r="F485" s="134" t="s">
        <v>2410</v>
      </c>
      <c r="G485" s="128" t="s">
        <v>3294</v>
      </c>
      <c r="H485" s="125"/>
      <c r="I485" s="125"/>
      <c r="J485" s="132" t="s">
        <v>1641</v>
      </c>
      <c r="K485" s="130" t="s">
        <v>167</v>
      </c>
      <c r="L485" s="129"/>
      <c r="M485" s="127" t="s">
        <v>759</v>
      </c>
      <c r="N485" s="127" t="s">
        <v>1641</v>
      </c>
      <c r="O485" s="127" t="s">
        <v>1427</v>
      </c>
      <c r="P485" s="127">
        <v>0</v>
      </c>
      <c r="Q485" s="127">
        <v>0</v>
      </c>
      <c r="R485" s="127">
        <v>0</v>
      </c>
      <c r="S485" s="127">
        <v>0</v>
      </c>
      <c r="T485" s="127">
        <v>2</v>
      </c>
      <c r="U485" s="127" t="s">
        <v>167</v>
      </c>
      <c r="V485" s="127" t="s">
        <v>1715</v>
      </c>
      <c r="W485" s="127">
        <v>0</v>
      </c>
      <c r="X485" s="127">
        <v>0</v>
      </c>
      <c r="Y485" s="127">
        <v>0</v>
      </c>
      <c r="Z485" s="127">
        <v>0</v>
      </c>
      <c r="AA485" s="127" t="s">
        <v>2511</v>
      </c>
      <c r="AB485" s="131" t="s">
        <v>1721</v>
      </c>
      <c r="AC485" s="127" t="e">
        <v>#N/A</v>
      </c>
      <c r="AD485" s="131" t="s">
        <v>2512</v>
      </c>
      <c r="AE485" s="131" t="s">
        <v>261</v>
      </c>
      <c r="AF485" s="131" t="b">
        <v>0</v>
      </c>
      <c r="AG485" s="131" t="e">
        <v>#REF!</v>
      </c>
    </row>
    <row r="486" spans="1:33" s="131" customFormat="1" ht="18" customHeight="1" x14ac:dyDescent="0.25">
      <c r="A486" s="125">
        <v>485</v>
      </c>
      <c r="B486" s="126" t="s">
        <v>2330</v>
      </c>
      <c r="C486" s="126" t="s">
        <v>3063</v>
      </c>
      <c r="D486" s="126" t="s">
        <v>2821</v>
      </c>
      <c r="E486" s="127" t="s">
        <v>2512</v>
      </c>
      <c r="F486" s="134" t="s">
        <v>2410</v>
      </c>
      <c r="G486" s="128" t="s">
        <v>3294</v>
      </c>
      <c r="H486" s="125"/>
      <c r="I486" s="125"/>
      <c r="J486" s="132" t="s">
        <v>1641</v>
      </c>
      <c r="K486" s="130" t="s">
        <v>172</v>
      </c>
      <c r="L486" s="129"/>
      <c r="M486" s="127"/>
      <c r="N486" s="127" t="s">
        <v>1641</v>
      </c>
      <c r="O486" s="127" t="s">
        <v>1427</v>
      </c>
      <c r="P486" s="127">
        <v>0</v>
      </c>
      <c r="Q486" s="127">
        <v>0</v>
      </c>
      <c r="R486" s="127">
        <v>0</v>
      </c>
      <c r="S486" s="127">
        <v>0</v>
      </c>
      <c r="T486" s="127">
        <v>2</v>
      </c>
      <c r="U486" s="127" t="s">
        <v>172</v>
      </c>
      <c r="V486" s="127" t="s">
        <v>2330</v>
      </c>
      <c r="W486" s="127">
        <v>0</v>
      </c>
      <c r="X486" s="127">
        <v>0</v>
      </c>
      <c r="Y486" s="127">
        <v>0</v>
      </c>
      <c r="Z486" s="127">
        <v>0</v>
      </c>
      <c r="AA486" s="127" t="s">
        <v>2511</v>
      </c>
      <c r="AB486" s="131" t="s">
        <v>2343</v>
      </c>
      <c r="AC486" s="127"/>
      <c r="AD486" s="131" t="s">
        <v>2512</v>
      </c>
      <c r="AE486" s="131" t="e">
        <v>#N/A</v>
      </c>
      <c r="AF486" s="131" t="e">
        <v>#N/A</v>
      </c>
      <c r="AG486" s="131" t="e">
        <v>#REF!</v>
      </c>
    </row>
    <row r="487" spans="1:33" s="131" customFormat="1" ht="18" customHeight="1" x14ac:dyDescent="0.25">
      <c r="A487" s="125">
        <v>486</v>
      </c>
      <c r="B487" s="126" t="s">
        <v>2331</v>
      </c>
      <c r="C487" s="126" t="s">
        <v>3064</v>
      </c>
      <c r="D487" s="126" t="s">
        <v>3065</v>
      </c>
      <c r="E487" s="127" t="s">
        <v>2512</v>
      </c>
      <c r="F487" s="134" t="s">
        <v>2410</v>
      </c>
      <c r="G487" s="128" t="s">
        <v>3294</v>
      </c>
      <c r="H487" s="125"/>
      <c r="I487" s="125"/>
      <c r="J487" s="132" t="s">
        <v>1641</v>
      </c>
      <c r="K487" s="130" t="s">
        <v>479</v>
      </c>
      <c r="L487" s="129"/>
      <c r="M487" s="127"/>
      <c r="N487" s="127" t="s">
        <v>1641</v>
      </c>
      <c r="O487" s="127" t="s">
        <v>1427</v>
      </c>
      <c r="P487" s="127">
        <v>0</v>
      </c>
      <c r="Q487" s="127">
        <v>0</v>
      </c>
      <c r="R487" s="127">
        <v>0</v>
      </c>
      <c r="S487" s="127">
        <v>0</v>
      </c>
      <c r="T487" s="127">
        <v>2</v>
      </c>
      <c r="U487" s="127" t="s">
        <v>479</v>
      </c>
      <c r="V487" s="127" t="s">
        <v>2331</v>
      </c>
      <c r="W487" s="127">
        <v>0</v>
      </c>
      <c r="X487" s="127">
        <v>0</v>
      </c>
      <c r="Y487" s="127">
        <v>0</v>
      </c>
      <c r="Z487" s="127">
        <v>0</v>
      </c>
      <c r="AA487" s="127" t="s">
        <v>2511</v>
      </c>
      <c r="AB487" s="131" t="s">
        <v>2344</v>
      </c>
      <c r="AC487" s="127"/>
      <c r="AD487" s="131" t="s">
        <v>2512</v>
      </c>
      <c r="AE487" s="131" t="e">
        <v>#N/A</v>
      </c>
      <c r="AF487" s="131" t="e">
        <v>#N/A</v>
      </c>
      <c r="AG487" s="131" t="e">
        <v>#REF!</v>
      </c>
    </row>
    <row r="488" spans="1:33" s="131" customFormat="1" ht="18" customHeight="1" x14ac:dyDescent="0.25">
      <c r="A488" s="125">
        <v>487</v>
      </c>
      <c r="B488" s="136" t="s">
        <v>1631</v>
      </c>
      <c r="C488" s="126" t="s">
        <v>3066</v>
      </c>
      <c r="D488" s="126" t="s">
        <v>3021</v>
      </c>
      <c r="E488" s="127" t="s">
        <v>2512</v>
      </c>
      <c r="F488" s="134" t="s">
        <v>2410</v>
      </c>
      <c r="G488" s="128" t="s">
        <v>3294</v>
      </c>
      <c r="H488" s="125"/>
      <c r="I488" s="125"/>
      <c r="J488" s="132" t="s">
        <v>1641</v>
      </c>
      <c r="K488" s="130" t="s">
        <v>168</v>
      </c>
      <c r="L488" s="129"/>
      <c r="M488" s="127" t="s">
        <v>759</v>
      </c>
      <c r="N488" s="127" t="s">
        <v>1641</v>
      </c>
      <c r="O488" s="127" t="s">
        <v>1427</v>
      </c>
      <c r="P488" s="127">
        <v>0</v>
      </c>
      <c r="Q488" s="127">
        <v>0</v>
      </c>
      <c r="R488" s="127">
        <v>0</v>
      </c>
      <c r="S488" s="127">
        <v>0</v>
      </c>
      <c r="T488" s="127">
        <v>2</v>
      </c>
      <c r="U488" s="127" t="s">
        <v>168</v>
      </c>
      <c r="V488" s="127" t="s">
        <v>1631</v>
      </c>
      <c r="W488" s="127">
        <v>0</v>
      </c>
      <c r="X488" s="127">
        <v>0</v>
      </c>
      <c r="Y488" s="127">
        <v>0</v>
      </c>
      <c r="Z488" s="127">
        <v>0</v>
      </c>
      <c r="AA488" s="127" t="s">
        <v>2511</v>
      </c>
      <c r="AB488" s="131" t="s">
        <v>1707</v>
      </c>
      <c r="AC488" s="127" t="e">
        <v>#N/A</v>
      </c>
      <c r="AD488" s="131" t="s">
        <v>2512</v>
      </c>
      <c r="AE488" s="131" t="s">
        <v>3297</v>
      </c>
      <c r="AF488" s="131" t="b">
        <v>0</v>
      </c>
      <c r="AG488" s="131" t="e">
        <v>#REF!</v>
      </c>
    </row>
    <row r="489" spans="1:33" s="131" customFormat="1" ht="18" customHeight="1" x14ac:dyDescent="0.25">
      <c r="A489" s="125">
        <v>488</v>
      </c>
      <c r="B489" s="136" t="s">
        <v>1624</v>
      </c>
      <c r="C489" s="126" t="s">
        <v>3067</v>
      </c>
      <c r="D489" s="126" t="s">
        <v>3013</v>
      </c>
      <c r="E489" s="127" t="s">
        <v>2512</v>
      </c>
      <c r="F489" s="134" t="s">
        <v>2410</v>
      </c>
      <c r="G489" s="128" t="s">
        <v>3294</v>
      </c>
      <c r="H489" s="125"/>
      <c r="I489" s="125"/>
      <c r="J489" s="132" t="s">
        <v>1641</v>
      </c>
      <c r="K489" s="130" t="s">
        <v>148</v>
      </c>
      <c r="L489" s="129"/>
      <c r="M489" s="127" t="s">
        <v>759</v>
      </c>
      <c r="N489" s="127" t="s">
        <v>1641</v>
      </c>
      <c r="O489" s="127" t="s">
        <v>1427</v>
      </c>
      <c r="P489" s="127">
        <v>0</v>
      </c>
      <c r="Q489" s="127">
        <v>0</v>
      </c>
      <c r="R489" s="127">
        <v>0</v>
      </c>
      <c r="S489" s="127">
        <v>0</v>
      </c>
      <c r="T489" s="127">
        <v>2</v>
      </c>
      <c r="U489" s="127" t="s">
        <v>148</v>
      </c>
      <c r="V489" s="127" t="s">
        <v>1624</v>
      </c>
      <c r="W489" s="127">
        <v>0</v>
      </c>
      <c r="X489" s="127">
        <v>0</v>
      </c>
      <c r="Y489" s="127">
        <v>0</v>
      </c>
      <c r="Z489" s="127">
        <v>0</v>
      </c>
      <c r="AA489" s="127" t="s">
        <v>2511</v>
      </c>
      <c r="AB489" s="131" t="s">
        <v>1695</v>
      </c>
      <c r="AC489" s="127" t="s">
        <v>2313</v>
      </c>
      <c r="AD489" s="131" t="s">
        <v>2512</v>
      </c>
      <c r="AE489" s="131" t="s">
        <v>3297</v>
      </c>
      <c r="AF489" s="131" t="b">
        <v>0</v>
      </c>
      <c r="AG489" s="131" t="e">
        <v>#REF!</v>
      </c>
    </row>
    <row r="490" spans="1:33" s="131" customFormat="1" ht="18" customHeight="1" x14ac:dyDescent="0.25">
      <c r="A490" s="125">
        <v>489</v>
      </c>
      <c r="B490" s="137" t="s">
        <v>239</v>
      </c>
      <c r="C490" s="126" t="s">
        <v>3068</v>
      </c>
      <c r="D490" s="126" t="s">
        <v>3069</v>
      </c>
      <c r="E490" s="127" t="s">
        <v>340</v>
      </c>
      <c r="F490" s="128" t="s">
        <v>2411</v>
      </c>
      <c r="G490" s="128" t="s">
        <v>3289</v>
      </c>
      <c r="H490" s="125" t="s">
        <v>1002</v>
      </c>
      <c r="I490" s="125"/>
      <c r="J490" s="129"/>
      <c r="K490" s="130"/>
      <c r="L490" s="129"/>
      <c r="M490" s="127" t="s">
        <v>761</v>
      </c>
      <c r="N490" s="127" t="s">
        <v>1639</v>
      </c>
      <c r="O490" s="127" t="s">
        <v>1472</v>
      </c>
      <c r="P490" s="127" t="s">
        <v>812</v>
      </c>
      <c r="Q490" s="127">
        <v>0</v>
      </c>
      <c r="R490" s="127">
        <v>0</v>
      </c>
      <c r="S490" s="127">
        <v>0</v>
      </c>
      <c r="T490" s="127">
        <v>0</v>
      </c>
      <c r="U490" s="127">
        <v>0</v>
      </c>
      <c r="V490" s="127">
        <v>0</v>
      </c>
      <c r="W490" s="127">
        <v>0</v>
      </c>
      <c r="X490" s="127">
        <v>0</v>
      </c>
      <c r="Y490" s="127">
        <v>0</v>
      </c>
      <c r="Z490" s="127">
        <v>0</v>
      </c>
      <c r="AA490" s="127" t="s">
        <v>2510</v>
      </c>
      <c r="AB490" s="131" t="s">
        <v>1302</v>
      </c>
      <c r="AC490" s="127" t="s">
        <v>2117</v>
      </c>
      <c r="AD490" s="131" t="s">
        <v>340</v>
      </c>
      <c r="AE490" s="131" t="e">
        <v>#N/A</v>
      </c>
      <c r="AF490" s="131" t="e">
        <v>#N/A</v>
      </c>
      <c r="AG490" s="131" t="e">
        <v>#REF!</v>
      </c>
    </row>
    <row r="491" spans="1:33" s="131" customFormat="1" ht="18" customHeight="1" x14ac:dyDescent="0.25">
      <c r="A491" s="125">
        <v>490</v>
      </c>
      <c r="B491" s="126" t="s">
        <v>240</v>
      </c>
      <c r="C491" s="126" t="s">
        <v>3070</v>
      </c>
      <c r="D491" s="126" t="s">
        <v>3071</v>
      </c>
      <c r="E491" s="127" t="s">
        <v>813</v>
      </c>
      <c r="F491" s="128"/>
      <c r="G491" s="128" t="s">
        <v>3290</v>
      </c>
      <c r="H491" s="125" t="s">
        <v>986</v>
      </c>
      <c r="I491" s="125"/>
      <c r="J491" s="129"/>
      <c r="K491" s="130"/>
      <c r="L491" s="129"/>
      <c r="M491" s="127" t="s">
        <v>761</v>
      </c>
      <c r="N491" s="127" t="s">
        <v>1639</v>
      </c>
      <c r="O491" s="127" t="s">
        <v>1427</v>
      </c>
      <c r="P491" s="127">
        <v>0</v>
      </c>
      <c r="Q491" s="127">
        <v>0</v>
      </c>
      <c r="R491" s="127">
        <v>0</v>
      </c>
      <c r="S491" s="127">
        <v>0</v>
      </c>
      <c r="T491" s="127">
        <v>2</v>
      </c>
      <c r="U491" s="127" t="s">
        <v>2361</v>
      </c>
      <c r="V491" s="127" t="s">
        <v>240</v>
      </c>
      <c r="W491" s="127" t="s">
        <v>1524</v>
      </c>
      <c r="X491" s="127" t="s">
        <v>240</v>
      </c>
      <c r="Y491" s="127" t="s">
        <v>1461</v>
      </c>
      <c r="Z491" s="127" t="s">
        <v>1568</v>
      </c>
      <c r="AA491" s="127" t="s">
        <v>2511</v>
      </c>
      <c r="AB491" s="131" t="s">
        <v>1303</v>
      </c>
      <c r="AC491" s="127" t="s">
        <v>2118</v>
      </c>
      <c r="AD491" s="131" t="s">
        <v>813</v>
      </c>
      <c r="AE491" s="131" t="e">
        <v>#N/A</v>
      </c>
      <c r="AF491" s="131" t="e">
        <v>#N/A</v>
      </c>
      <c r="AG491" s="131" t="e">
        <v>#REF!</v>
      </c>
    </row>
    <row r="492" spans="1:33" s="131" customFormat="1" ht="18" customHeight="1" x14ac:dyDescent="0.25">
      <c r="A492" s="125">
        <v>491</v>
      </c>
      <c r="B492" s="137" t="s">
        <v>241</v>
      </c>
      <c r="C492" s="126" t="s">
        <v>3072</v>
      </c>
      <c r="D492" s="126" t="s">
        <v>3071</v>
      </c>
      <c r="E492" s="127" t="s">
        <v>813</v>
      </c>
      <c r="F492" s="128" t="s">
        <v>2411</v>
      </c>
      <c r="G492" s="128" t="s">
        <v>3289</v>
      </c>
      <c r="H492" s="125"/>
      <c r="I492" s="125"/>
      <c r="J492" s="132"/>
      <c r="K492" s="130"/>
      <c r="L492" s="129"/>
      <c r="M492" s="127" t="s">
        <v>758</v>
      </c>
      <c r="N492" s="127" t="s">
        <v>765</v>
      </c>
      <c r="O492" s="127" t="s">
        <v>1526</v>
      </c>
      <c r="P492" s="127" t="s">
        <v>812</v>
      </c>
      <c r="Q492" s="127">
        <v>0</v>
      </c>
      <c r="R492" s="127">
        <v>0</v>
      </c>
      <c r="S492" s="127">
        <v>0</v>
      </c>
      <c r="T492" s="127">
        <v>0</v>
      </c>
      <c r="U492" s="127">
        <v>0</v>
      </c>
      <c r="V492" s="127">
        <v>0</v>
      </c>
      <c r="W492" s="127">
        <v>0</v>
      </c>
      <c r="X492" s="127">
        <v>0</v>
      </c>
      <c r="Y492" s="127">
        <v>0</v>
      </c>
      <c r="Z492" s="127">
        <v>0</v>
      </c>
      <c r="AA492" s="127" t="s">
        <v>2510</v>
      </c>
      <c r="AB492" s="131" t="s">
        <v>1304</v>
      </c>
      <c r="AC492" s="127" t="s">
        <v>2119</v>
      </c>
      <c r="AD492" s="131" t="s">
        <v>813</v>
      </c>
      <c r="AE492" s="131" t="e">
        <v>#N/A</v>
      </c>
      <c r="AF492" s="131" t="e">
        <v>#N/A</v>
      </c>
      <c r="AG492" s="131" t="e">
        <v>#REF!</v>
      </c>
    </row>
    <row r="493" spans="1:33" s="131" customFormat="1" ht="18" customHeight="1" x14ac:dyDescent="0.25">
      <c r="A493" s="125">
        <v>492</v>
      </c>
      <c r="B493" s="137" t="s">
        <v>242</v>
      </c>
      <c r="C493" s="126" t="s">
        <v>3073</v>
      </c>
      <c r="D493" s="126" t="s">
        <v>3074</v>
      </c>
      <c r="E493" s="127" t="s">
        <v>340</v>
      </c>
      <c r="F493" s="128" t="s">
        <v>2521</v>
      </c>
      <c r="G493" s="128" t="s">
        <v>3290</v>
      </c>
      <c r="H493" s="125"/>
      <c r="I493" s="125"/>
      <c r="J493" s="132" t="s">
        <v>2520</v>
      </c>
      <c r="K493" s="130"/>
      <c r="L493" s="129"/>
      <c r="M493" s="127" t="s">
        <v>772</v>
      </c>
      <c r="N493" s="127" t="s">
        <v>2520</v>
      </c>
      <c r="O493" s="127" t="s">
        <v>1427</v>
      </c>
      <c r="P493" s="127" t="s">
        <v>1554</v>
      </c>
      <c r="Q493" s="127">
        <v>0</v>
      </c>
      <c r="R493" s="127">
        <v>0</v>
      </c>
      <c r="S493" s="127">
        <v>0</v>
      </c>
      <c r="T493" s="127">
        <v>2</v>
      </c>
      <c r="U493" s="127" t="s">
        <v>1525</v>
      </c>
      <c r="V493" s="127" t="s">
        <v>242</v>
      </c>
      <c r="W493" s="127">
        <v>0</v>
      </c>
      <c r="X493" s="127">
        <v>0</v>
      </c>
      <c r="Y493" s="127">
        <v>0</v>
      </c>
      <c r="Z493" s="127" t="s">
        <v>1568</v>
      </c>
      <c r="AA493" s="127" t="s">
        <v>2510</v>
      </c>
      <c r="AB493" s="131" t="s">
        <v>1305</v>
      </c>
      <c r="AC493" s="127" t="s">
        <v>2120</v>
      </c>
      <c r="AD493" s="131" t="s">
        <v>340</v>
      </c>
      <c r="AE493" s="131" t="e">
        <v>#N/A</v>
      </c>
      <c r="AF493" s="131" t="e">
        <v>#N/A</v>
      </c>
      <c r="AG493" s="131" t="e">
        <v>#REF!</v>
      </c>
    </row>
    <row r="494" spans="1:33" s="131" customFormat="1" ht="18" customHeight="1" x14ac:dyDescent="0.25">
      <c r="A494" s="125">
        <v>493</v>
      </c>
      <c r="B494" s="137" t="s">
        <v>243</v>
      </c>
      <c r="C494" s="126" t="s">
        <v>3075</v>
      </c>
      <c r="D494" s="126" t="s">
        <v>3069</v>
      </c>
      <c r="E494" s="127" t="s">
        <v>813</v>
      </c>
      <c r="F494" s="128" t="s">
        <v>2521</v>
      </c>
      <c r="G494" s="128" t="s">
        <v>3290</v>
      </c>
      <c r="H494" s="125"/>
      <c r="I494" s="125"/>
      <c r="J494" s="132" t="s">
        <v>2520</v>
      </c>
      <c r="K494" s="130"/>
      <c r="L494" s="129"/>
      <c r="M494" s="127" t="s">
        <v>772</v>
      </c>
      <c r="N494" s="127" t="s">
        <v>2520</v>
      </c>
      <c r="O494" s="127" t="s">
        <v>1427</v>
      </c>
      <c r="P494" s="127" t="s">
        <v>1554</v>
      </c>
      <c r="Q494" s="127">
        <v>0</v>
      </c>
      <c r="R494" s="127">
        <v>0</v>
      </c>
      <c r="S494" s="127">
        <v>0</v>
      </c>
      <c r="T494" s="127">
        <v>4</v>
      </c>
      <c r="U494" s="127" t="s">
        <v>1526</v>
      </c>
      <c r="V494" s="127" t="s">
        <v>243</v>
      </c>
      <c r="W494" s="127">
        <v>0</v>
      </c>
      <c r="X494" s="127">
        <v>0</v>
      </c>
      <c r="Y494" s="127">
        <v>0</v>
      </c>
      <c r="Z494" s="127" t="s">
        <v>1568</v>
      </c>
      <c r="AA494" s="127" t="s">
        <v>2510</v>
      </c>
      <c r="AB494" s="131" t="s">
        <v>1306</v>
      </c>
      <c r="AC494" s="127" t="s">
        <v>2121</v>
      </c>
      <c r="AD494" s="131" t="s">
        <v>813</v>
      </c>
      <c r="AE494" s="131" t="e">
        <v>#N/A</v>
      </c>
      <c r="AF494" s="131" t="e">
        <v>#N/A</v>
      </c>
      <c r="AG494" s="131" t="e">
        <v>#REF!</v>
      </c>
    </row>
    <row r="495" spans="1:33" s="131" customFormat="1" ht="18" customHeight="1" x14ac:dyDescent="0.25">
      <c r="A495" s="125">
        <v>494</v>
      </c>
      <c r="B495" s="137" t="s">
        <v>244</v>
      </c>
      <c r="C495" s="126" t="s">
        <v>3076</v>
      </c>
      <c r="D495" s="126" t="s">
        <v>2665</v>
      </c>
      <c r="E495" s="127" t="s">
        <v>340</v>
      </c>
      <c r="F495" s="128"/>
      <c r="G495" s="128" t="s">
        <v>3290</v>
      </c>
      <c r="H495" s="125"/>
      <c r="I495" s="125"/>
      <c r="J495" s="132" t="s">
        <v>2520</v>
      </c>
      <c r="K495" s="130"/>
      <c r="L495" s="129"/>
      <c r="M495" s="127" t="s">
        <v>772</v>
      </c>
      <c r="N495" s="127" t="s">
        <v>2520</v>
      </c>
      <c r="O495" s="127" t="s">
        <v>1553</v>
      </c>
      <c r="P495" s="127">
        <v>0</v>
      </c>
      <c r="Q495" s="127">
        <v>2</v>
      </c>
      <c r="R495" s="127" t="s">
        <v>1472</v>
      </c>
      <c r="S495" s="127" t="s">
        <v>244</v>
      </c>
      <c r="T495" s="127">
        <v>0</v>
      </c>
      <c r="U495" s="127">
        <v>0</v>
      </c>
      <c r="V495" s="127">
        <v>0</v>
      </c>
      <c r="W495" s="127" t="s">
        <v>1472</v>
      </c>
      <c r="X495" s="127" t="s">
        <v>244</v>
      </c>
      <c r="Y495" s="127" t="s">
        <v>1436</v>
      </c>
      <c r="Z495" s="127" t="s">
        <v>1568</v>
      </c>
      <c r="AA495" s="127" t="s">
        <v>2510</v>
      </c>
      <c r="AB495" s="131" t="s">
        <v>1307</v>
      </c>
      <c r="AC495" s="127" t="s">
        <v>2122</v>
      </c>
      <c r="AD495" s="131" t="s">
        <v>340</v>
      </c>
      <c r="AE495" s="131" t="e">
        <v>#N/A</v>
      </c>
      <c r="AF495" s="131" t="e">
        <v>#N/A</v>
      </c>
      <c r="AG495" s="131" t="e">
        <v>#REF!</v>
      </c>
    </row>
    <row r="496" spans="1:33" s="131" customFormat="1" ht="18" customHeight="1" x14ac:dyDescent="0.25">
      <c r="A496" s="125">
        <v>495</v>
      </c>
      <c r="B496" s="137" t="s">
        <v>245</v>
      </c>
      <c r="C496" s="126" t="s">
        <v>3077</v>
      </c>
      <c r="D496" s="126" t="s">
        <v>2938</v>
      </c>
      <c r="E496" s="127" t="s">
        <v>340</v>
      </c>
      <c r="F496" s="128" t="s">
        <v>2411</v>
      </c>
      <c r="G496" s="128" t="s">
        <v>3289</v>
      </c>
      <c r="H496" s="125"/>
      <c r="I496" s="125"/>
      <c r="J496" s="132"/>
      <c r="K496" s="130"/>
      <c r="L496" s="129"/>
      <c r="M496" s="127" t="s">
        <v>758</v>
      </c>
      <c r="N496" s="127" t="s">
        <v>765</v>
      </c>
      <c r="O496" s="127" t="s">
        <v>1514</v>
      </c>
      <c r="P496" s="127" t="s">
        <v>812</v>
      </c>
      <c r="Q496" s="127">
        <v>0</v>
      </c>
      <c r="R496" s="127">
        <v>0</v>
      </c>
      <c r="S496" s="127">
        <v>0</v>
      </c>
      <c r="T496" s="127">
        <v>0</v>
      </c>
      <c r="U496" s="127">
        <v>0</v>
      </c>
      <c r="V496" s="127">
        <v>0</v>
      </c>
      <c r="W496" s="127">
        <v>0</v>
      </c>
      <c r="X496" s="127">
        <v>0</v>
      </c>
      <c r="Y496" s="127">
        <v>0</v>
      </c>
      <c r="Z496" s="127">
        <v>0</v>
      </c>
      <c r="AA496" s="127" t="s">
        <v>2510</v>
      </c>
      <c r="AB496" s="131" t="s">
        <v>1308</v>
      </c>
      <c r="AC496" s="127" t="s">
        <v>2123</v>
      </c>
      <c r="AD496" s="131" t="s">
        <v>340</v>
      </c>
      <c r="AE496" s="131" t="e">
        <v>#N/A</v>
      </c>
      <c r="AF496" s="131" t="e">
        <v>#N/A</v>
      </c>
      <c r="AG496" s="131" t="e">
        <v>#REF!</v>
      </c>
    </row>
    <row r="497" spans="1:33" s="131" customFormat="1" ht="18" customHeight="1" x14ac:dyDescent="0.25">
      <c r="A497" s="125">
        <v>496</v>
      </c>
      <c r="B497" s="137" t="s">
        <v>246</v>
      </c>
      <c r="C497" s="126" t="s">
        <v>3078</v>
      </c>
      <c r="D497" s="126" t="s">
        <v>3074</v>
      </c>
      <c r="E497" s="127" t="s">
        <v>340</v>
      </c>
      <c r="F497" s="128" t="s">
        <v>2411</v>
      </c>
      <c r="G497" s="128" t="s">
        <v>3289</v>
      </c>
      <c r="H497" s="125"/>
      <c r="I497" s="125"/>
      <c r="J497" s="132"/>
      <c r="K497" s="130"/>
      <c r="L497" s="129"/>
      <c r="M497" s="127" t="s">
        <v>772</v>
      </c>
      <c r="N497" s="127" t="s">
        <v>765</v>
      </c>
      <c r="O497" s="127" t="s">
        <v>1511</v>
      </c>
      <c r="P497" s="127" t="s">
        <v>812</v>
      </c>
      <c r="Q497" s="127">
        <v>0</v>
      </c>
      <c r="R497" s="127">
        <v>0</v>
      </c>
      <c r="S497" s="127">
        <v>0</v>
      </c>
      <c r="T497" s="127">
        <v>0</v>
      </c>
      <c r="U497" s="127">
        <v>0</v>
      </c>
      <c r="V497" s="127">
        <v>0</v>
      </c>
      <c r="W497" s="127">
        <v>0</v>
      </c>
      <c r="X497" s="127">
        <v>0</v>
      </c>
      <c r="Y497" s="127">
        <v>0</v>
      </c>
      <c r="Z497" s="127">
        <v>0</v>
      </c>
      <c r="AA497" s="127" t="s">
        <v>2510</v>
      </c>
      <c r="AB497" s="131" t="s">
        <v>1309</v>
      </c>
      <c r="AC497" s="127" t="s">
        <v>2124</v>
      </c>
      <c r="AD497" s="131" t="s">
        <v>340</v>
      </c>
      <c r="AE497" s="131" t="e">
        <v>#N/A</v>
      </c>
      <c r="AF497" s="131" t="e">
        <v>#N/A</v>
      </c>
      <c r="AG497" s="131" t="e">
        <v>#REF!</v>
      </c>
    </row>
    <row r="498" spans="1:33" s="131" customFormat="1" ht="18" customHeight="1" x14ac:dyDescent="0.25">
      <c r="A498" s="125">
        <v>497</v>
      </c>
      <c r="B498" s="137" t="s">
        <v>247</v>
      </c>
      <c r="C498" s="126" t="s">
        <v>3079</v>
      </c>
      <c r="D498" s="126" t="s">
        <v>3074</v>
      </c>
      <c r="E498" s="127" t="s">
        <v>340</v>
      </c>
      <c r="F498" s="128" t="s">
        <v>2411</v>
      </c>
      <c r="G498" s="128" t="s">
        <v>3290</v>
      </c>
      <c r="H498" s="125"/>
      <c r="I498" s="125" t="s">
        <v>934</v>
      </c>
      <c r="J498" s="132"/>
      <c r="K498" s="130"/>
      <c r="L498" s="129"/>
      <c r="M498" s="127" t="s">
        <v>759</v>
      </c>
      <c r="N498" s="127" t="s">
        <v>770</v>
      </c>
      <c r="O498" s="127" t="s">
        <v>1553</v>
      </c>
      <c r="P498" s="127" t="s">
        <v>1554</v>
      </c>
      <c r="Q498" s="127">
        <v>2</v>
      </c>
      <c r="R498" s="127" t="s">
        <v>1522</v>
      </c>
      <c r="S498" s="127" t="s">
        <v>247</v>
      </c>
      <c r="T498" s="127">
        <v>0</v>
      </c>
      <c r="U498" s="127">
        <v>0</v>
      </c>
      <c r="V498" s="127">
        <v>0</v>
      </c>
      <c r="W498" s="127">
        <v>0</v>
      </c>
      <c r="X498" s="127">
        <v>0</v>
      </c>
      <c r="Y498" s="127">
        <v>0</v>
      </c>
      <c r="Z498" s="127" t="s">
        <v>1568</v>
      </c>
      <c r="AA498" s="127" t="s">
        <v>2511</v>
      </c>
      <c r="AB498" s="131" t="s">
        <v>1310</v>
      </c>
      <c r="AC498" s="127" t="s">
        <v>2125</v>
      </c>
      <c r="AD498" s="131" t="s">
        <v>340</v>
      </c>
      <c r="AE498" s="131" t="e">
        <v>#N/A</v>
      </c>
      <c r="AF498" s="131" t="e">
        <v>#N/A</v>
      </c>
      <c r="AG498" s="131" t="e">
        <v>#REF!</v>
      </c>
    </row>
    <row r="499" spans="1:33" s="131" customFormat="1" ht="15.75" x14ac:dyDescent="0.25">
      <c r="A499" s="125">
        <v>498</v>
      </c>
      <c r="B499" s="137" t="s">
        <v>248</v>
      </c>
      <c r="C499" s="126" t="s">
        <v>3080</v>
      </c>
      <c r="D499" s="126" t="s">
        <v>3074</v>
      </c>
      <c r="E499" s="127" t="s">
        <v>340</v>
      </c>
      <c r="F499" s="128" t="s">
        <v>2521</v>
      </c>
      <c r="G499" s="128" t="s">
        <v>3290</v>
      </c>
      <c r="H499" s="125"/>
      <c r="I499" s="125"/>
      <c r="J499" s="132" t="s">
        <v>2520</v>
      </c>
      <c r="K499" s="130"/>
      <c r="L499" s="129"/>
      <c r="M499" s="127" t="s">
        <v>758</v>
      </c>
      <c r="N499" s="127" t="s">
        <v>2520</v>
      </c>
      <c r="O499" s="127" t="s">
        <v>1427</v>
      </c>
      <c r="P499" s="127" t="s">
        <v>1554</v>
      </c>
      <c r="Q499" s="127">
        <v>0</v>
      </c>
      <c r="R499" s="127">
        <v>0</v>
      </c>
      <c r="S499" s="127">
        <v>0</v>
      </c>
      <c r="T499" s="127">
        <v>2</v>
      </c>
      <c r="U499" s="127" t="s">
        <v>1525</v>
      </c>
      <c r="V499" s="127" t="s">
        <v>248</v>
      </c>
      <c r="W499" s="127">
        <v>0</v>
      </c>
      <c r="X499" s="127">
        <v>0</v>
      </c>
      <c r="Y499" s="127">
        <v>0</v>
      </c>
      <c r="Z499" s="127" t="s">
        <v>1568</v>
      </c>
      <c r="AA499" s="127" t="s">
        <v>2511</v>
      </c>
      <c r="AB499" s="131" t="s">
        <v>1311</v>
      </c>
      <c r="AC499" s="127" t="s">
        <v>2126</v>
      </c>
      <c r="AD499" s="131" t="s">
        <v>340</v>
      </c>
      <c r="AE499" s="131" t="e">
        <v>#N/A</v>
      </c>
      <c r="AF499" s="131" t="e">
        <v>#N/A</v>
      </c>
      <c r="AG499" s="131" t="e">
        <v>#REF!</v>
      </c>
    </row>
    <row r="500" spans="1:33" s="131" customFormat="1" ht="18" customHeight="1" x14ac:dyDescent="0.25">
      <c r="A500" s="125">
        <v>499</v>
      </c>
      <c r="B500" s="137" t="s">
        <v>249</v>
      </c>
      <c r="C500" s="126" t="s">
        <v>3081</v>
      </c>
      <c r="D500" s="126" t="s">
        <v>3082</v>
      </c>
      <c r="E500" s="127" t="s">
        <v>340</v>
      </c>
      <c r="F500" s="128" t="s">
        <v>2411</v>
      </c>
      <c r="G500" s="128" t="s">
        <v>3289</v>
      </c>
      <c r="H500" s="125"/>
      <c r="I500" s="125" t="s">
        <v>934</v>
      </c>
      <c r="J500" s="132"/>
      <c r="K500" s="130"/>
      <c r="L500" s="129"/>
      <c r="M500" s="127" t="s">
        <v>759</v>
      </c>
      <c r="N500" s="127" t="s">
        <v>770</v>
      </c>
      <c r="O500" s="127" t="s">
        <v>2368</v>
      </c>
      <c r="P500" s="127" t="s">
        <v>812</v>
      </c>
      <c r="Q500" s="127">
        <v>2</v>
      </c>
      <c r="R500" s="127" t="s">
        <v>1527</v>
      </c>
      <c r="S500" s="127" t="s">
        <v>249</v>
      </c>
      <c r="T500" s="127">
        <v>0</v>
      </c>
      <c r="U500" s="127">
        <v>0</v>
      </c>
      <c r="V500" s="127">
        <v>0</v>
      </c>
      <c r="W500" s="127" t="s">
        <v>1527</v>
      </c>
      <c r="X500" s="127" t="s">
        <v>249</v>
      </c>
      <c r="Y500" s="127" t="s">
        <v>1573</v>
      </c>
      <c r="Z500" s="127">
        <v>0</v>
      </c>
      <c r="AA500" s="127" t="s">
        <v>2511</v>
      </c>
      <c r="AB500" s="131" t="s">
        <v>1312</v>
      </c>
      <c r="AC500" s="127" t="s">
        <v>2127</v>
      </c>
      <c r="AD500" s="131" t="s">
        <v>340</v>
      </c>
      <c r="AE500" s="131" t="e">
        <v>#N/A</v>
      </c>
      <c r="AF500" s="131" t="e">
        <v>#N/A</v>
      </c>
      <c r="AG500" s="131" t="e">
        <v>#REF!</v>
      </c>
    </row>
    <row r="501" spans="1:33" s="131" customFormat="1" ht="18" customHeight="1" x14ac:dyDescent="0.25">
      <c r="A501" s="125">
        <v>500</v>
      </c>
      <c r="B501" s="137" t="s">
        <v>250</v>
      </c>
      <c r="C501" s="126" t="s">
        <v>3083</v>
      </c>
      <c r="D501" s="126" t="s">
        <v>3082</v>
      </c>
      <c r="E501" s="127" t="s">
        <v>340</v>
      </c>
      <c r="F501" s="128"/>
      <c r="G501" s="128" t="s">
        <v>3290</v>
      </c>
      <c r="H501" s="125"/>
      <c r="I501" s="125"/>
      <c r="J501" s="132" t="s">
        <v>2520</v>
      </c>
      <c r="K501" s="130"/>
      <c r="L501" s="129"/>
      <c r="M501" s="127" t="s">
        <v>758</v>
      </c>
      <c r="N501" s="127" t="s">
        <v>2520</v>
      </c>
      <c r="O501" s="127" t="s">
        <v>1427</v>
      </c>
      <c r="P501" s="127">
        <v>0</v>
      </c>
      <c r="Q501" s="127">
        <v>0</v>
      </c>
      <c r="R501" s="127">
        <v>0</v>
      </c>
      <c r="S501" s="127">
        <v>0</v>
      </c>
      <c r="T501" s="127">
        <v>2</v>
      </c>
      <c r="U501" s="127" t="s">
        <v>1593</v>
      </c>
      <c r="V501" s="127" t="s">
        <v>250</v>
      </c>
      <c r="W501" s="127" t="s">
        <v>1528</v>
      </c>
      <c r="X501" s="127" t="s">
        <v>250</v>
      </c>
      <c r="Y501" s="127" t="s">
        <v>1461</v>
      </c>
      <c r="Z501" s="127" t="s">
        <v>1568</v>
      </c>
      <c r="AA501" s="127" t="s">
        <v>2510</v>
      </c>
      <c r="AB501" s="131" t="s">
        <v>1313</v>
      </c>
      <c r="AC501" s="127" t="s">
        <v>2128</v>
      </c>
      <c r="AD501" s="131" t="s">
        <v>340</v>
      </c>
      <c r="AE501" s="131" t="e">
        <v>#N/A</v>
      </c>
      <c r="AF501" s="131" t="e">
        <v>#N/A</v>
      </c>
      <c r="AG501" s="131" t="e">
        <v>#REF!</v>
      </c>
    </row>
    <row r="502" spans="1:33" s="131" customFormat="1" ht="18" customHeight="1" x14ac:dyDescent="0.25">
      <c r="A502" s="125">
        <v>501</v>
      </c>
      <c r="B502" s="137" t="s">
        <v>251</v>
      </c>
      <c r="C502" s="126" t="s">
        <v>3084</v>
      </c>
      <c r="D502" s="126" t="s">
        <v>3082</v>
      </c>
      <c r="E502" s="127" t="s">
        <v>340</v>
      </c>
      <c r="F502" s="128" t="s">
        <v>2411</v>
      </c>
      <c r="G502" s="128" t="s">
        <v>3289</v>
      </c>
      <c r="H502" s="125"/>
      <c r="I502" s="125"/>
      <c r="J502" s="132"/>
      <c r="K502" s="130"/>
      <c r="L502" s="129"/>
      <c r="M502" s="127" t="s">
        <v>758</v>
      </c>
      <c r="N502" s="127" t="s">
        <v>765</v>
      </c>
      <c r="O502" s="127" t="s">
        <v>2369</v>
      </c>
      <c r="P502" s="127" t="s">
        <v>812</v>
      </c>
      <c r="Q502" s="127">
        <v>0</v>
      </c>
      <c r="R502" s="127">
        <v>0</v>
      </c>
      <c r="S502" s="127">
        <v>0</v>
      </c>
      <c r="T502" s="127">
        <v>0</v>
      </c>
      <c r="U502" s="127">
        <v>0</v>
      </c>
      <c r="V502" s="127">
        <v>0</v>
      </c>
      <c r="W502" s="127">
        <v>0</v>
      </c>
      <c r="X502" s="127">
        <v>0</v>
      </c>
      <c r="Y502" s="127">
        <v>0</v>
      </c>
      <c r="Z502" s="127" t="s">
        <v>1568</v>
      </c>
      <c r="AA502" s="127" t="s">
        <v>2511</v>
      </c>
      <c r="AB502" s="131" t="s">
        <v>1314</v>
      </c>
      <c r="AC502" s="127" t="s">
        <v>2129</v>
      </c>
      <c r="AD502" s="131" t="s">
        <v>340</v>
      </c>
      <c r="AE502" s="131" t="e">
        <v>#N/A</v>
      </c>
      <c r="AF502" s="131" t="e">
        <v>#N/A</v>
      </c>
      <c r="AG502" s="131" t="e">
        <v>#REF!</v>
      </c>
    </row>
    <row r="503" spans="1:33" s="131" customFormat="1" ht="18" customHeight="1" x14ac:dyDescent="0.25">
      <c r="A503" s="125">
        <v>502</v>
      </c>
      <c r="B503" s="137" t="s">
        <v>252</v>
      </c>
      <c r="C503" s="126" t="s">
        <v>3085</v>
      </c>
      <c r="D503" s="126" t="s">
        <v>3071</v>
      </c>
      <c r="E503" s="127" t="s">
        <v>813</v>
      </c>
      <c r="F503" s="128" t="s">
        <v>2521</v>
      </c>
      <c r="G503" s="128" t="s">
        <v>3289</v>
      </c>
      <c r="H503" s="125"/>
      <c r="I503" s="125"/>
      <c r="J503" s="132" t="s">
        <v>2520</v>
      </c>
      <c r="K503" s="130"/>
      <c r="L503" s="129"/>
      <c r="M503" s="127" t="s">
        <v>758</v>
      </c>
      <c r="N503" s="127" t="s">
        <v>2520</v>
      </c>
      <c r="O503" s="127" t="s">
        <v>2370</v>
      </c>
      <c r="P503" s="127" t="s">
        <v>812</v>
      </c>
      <c r="Q503" s="127">
        <v>2</v>
      </c>
      <c r="R503" s="127" t="s">
        <v>1524</v>
      </c>
      <c r="S503" s="127" t="s">
        <v>252</v>
      </c>
      <c r="T503" s="127">
        <v>0</v>
      </c>
      <c r="U503" s="127">
        <v>0</v>
      </c>
      <c r="V503" s="127">
        <v>0</v>
      </c>
      <c r="W503" s="127" t="s">
        <v>330</v>
      </c>
      <c r="X503" s="127" t="s">
        <v>252</v>
      </c>
      <c r="Y503" s="127" t="s">
        <v>1571</v>
      </c>
      <c r="Z503" s="127" t="s">
        <v>1568</v>
      </c>
      <c r="AA503" s="127" t="s">
        <v>2510</v>
      </c>
      <c r="AB503" s="131" t="s">
        <v>1315</v>
      </c>
      <c r="AC503" s="127" t="s">
        <v>2130</v>
      </c>
      <c r="AD503" s="131" t="s">
        <v>813</v>
      </c>
      <c r="AE503" s="131" t="e">
        <v>#N/A</v>
      </c>
      <c r="AF503" s="131" t="e">
        <v>#N/A</v>
      </c>
      <c r="AG503" s="131" t="e">
        <v>#REF!</v>
      </c>
    </row>
    <row r="504" spans="1:33" s="131" customFormat="1" ht="18" customHeight="1" x14ac:dyDescent="0.25">
      <c r="A504" s="125">
        <v>503</v>
      </c>
      <c r="B504" s="137" t="s">
        <v>253</v>
      </c>
      <c r="C504" s="126" t="s">
        <v>3086</v>
      </c>
      <c r="D504" s="126" t="s">
        <v>3082</v>
      </c>
      <c r="E504" s="127" t="s">
        <v>340</v>
      </c>
      <c r="F504" s="128" t="s">
        <v>2411</v>
      </c>
      <c r="G504" s="128" t="s">
        <v>3289</v>
      </c>
      <c r="H504" s="125"/>
      <c r="I504" s="125"/>
      <c r="J504" s="132"/>
      <c r="K504" s="130"/>
      <c r="L504" s="129"/>
      <c r="M504" s="127" t="s">
        <v>758</v>
      </c>
      <c r="N504" s="127" t="s">
        <v>765</v>
      </c>
      <c r="O504" s="127" t="s">
        <v>1528</v>
      </c>
      <c r="P504" s="127" t="s">
        <v>812</v>
      </c>
      <c r="Q504" s="127">
        <v>0</v>
      </c>
      <c r="R504" s="127">
        <v>0</v>
      </c>
      <c r="S504" s="127">
        <v>0</v>
      </c>
      <c r="T504" s="127">
        <v>0</v>
      </c>
      <c r="U504" s="127">
        <v>0</v>
      </c>
      <c r="V504" s="127">
        <v>0</v>
      </c>
      <c r="W504" s="127">
        <v>0</v>
      </c>
      <c r="X504" s="127">
        <v>0</v>
      </c>
      <c r="Y504" s="127">
        <v>0</v>
      </c>
      <c r="Z504" s="127">
        <v>0</v>
      </c>
      <c r="AA504" s="127" t="s">
        <v>2510</v>
      </c>
      <c r="AB504" s="131" t="s">
        <v>1316</v>
      </c>
      <c r="AC504" s="127" t="s">
        <v>2131</v>
      </c>
      <c r="AD504" s="131" t="s">
        <v>340</v>
      </c>
      <c r="AE504" s="131" t="e">
        <v>#N/A</v>
      </c>
      <c r="AF504" s="131" t="e">
        <v>#N/A</v>
      </c>
      <c r="AG504" s="131" t="e">
        <v>#REF!</v>
      </c>
    </row>
    <row r="505" spans="1:33" s="131" customFormat="1" ht="18" customHeight="1" x14ac:dyDescent="0.25">
      <c r="A505" s="125">
        <v>504</v>
      </c>
      <c r="B505" s="137" t="s">
        <v>254</v>
      </c>
      <c r="C505" s="126" t="s">
        <v>3087</v>
      </c>
      <c r="D505" s="126" t="s">
        <v>2938</v>
      </c>
      <c r="E505" s="127" t="s">
        <v>340</v>
      </c>
      <c r="F505" s="128" t="s">
        <v>2411</v>
      </c>
      <c r="G505" s="128" t="s">
        <v>3289</v>
      </c>
      <c r="H505" s="125"/>
      <c r="I505" s="125"/>
      <c r="J505" s="132"/>
      <c r="K505" s="130"/>
      <c r="L505" s="129"/>
      <c r="M505" s="127" t="s">
        <v>758</v>
      </c>
      <c r="N505" s="127" t="s">
        <v>765</v>
      </c>
      <c r="O505" s="127" t="s">
        <v>1529</v>
      </c>
      <c r="P505" s="127" t="s">
        <v>812</v>
      </c>
      <c r="Q505" s="127">
        <v>0</v>
      </c>
      <c r="R505" s="127">
        <v>0</v>
      </c>
      <c r="S505" s="127">
        <v>0</v>
      </c>
      <c r="T505" s="127">
        <v>0</v>
      </c>
      <c r="U505" s="127">
        <v>0</v>
      </c>
      <c r="V505" s="127">
        <v>0</v>
      </c>
      <c r="W505" s="127">
        <v>0</v>
      </c>
      <c r="X505" s="127">
        <v>0</v>
      </c>
      <c r="Y505" s="127">
        <v>0</v>
      </c>
      <c r="Z505" s="127">
        <v>0</v>
      </c>
      <c r="AA505" s="127" t="s">
        <v>2510</v>
      </c>
      <c r="AB505" s="131" t="s">
        <v>1317</v>
      </c>
      <c r="AC505" s="127" t="s">
        <v>2132</v>
      </c>
      <c r="AD505" s="131" t="s">
        <v>340</v>
      </c>
      <c r="AE505" s="131" t="e">
        <v>#N/A</v>
      </c>
      <c r="AF505" s="131" t="e">
        <v>#N/A</v>
      </c>
      <c r="AG505" s="131" t="e">
        <v>#REF!</v>
      </c>
    </row>
    <row r="506" spans="1:33" s="131" customFormat="1" ht="18" customHeight="1" x14ac:dyDescent="0.25">
      <c r="A506" s="125">
        <v>505</v>
      </c>
      <c r="B506" s="137" t="s">
        <v>255</v>
      </c>
      <c r="C506" s="126" t="s">
        <v>3088</v>
      </c>
      <c r="D506" s="126" t="s">
        <v>2665</v>
      </c>
      <c r="E506" s="127" t="s">
        <v>340</v>
      </c>
      <c r="F506" s="128"/>
      <c r="G506" s="128" t="s">
        <v>3290</v>
      </c>
      <c r="H506" s="125"/>
      <c r="I506" s="125"/>
      <c r="J506" s="132" t="s">
        <v>2520</v>
      </c>
      <c r="K506" s="130"/>
      <c r="L506" s="129"/>
      <c r="M506" s="127" t="s">
        <v>774</v>
      </c>
      <c r="N506" s="127" t="s">
        <v>2520</v>
      </c>
      <c r="O506" s="127" t="s">
        <v>1553</v>
      </c>
      <c r="P506" s="127">
        <v>0</v>
      </c>
      <c r="Q506" s="127">
        <v>2</v>
      </c>
      <c r="R506" s="127" t="s">
        <v>1472</v>
      </c>
      <c r="S506" s="127" t="s">
        <v>255</v>
      </c>
      <c r="T506" s="127">
        <v>0</v>
      </c>
      <c r="U506" s="127">
        <v>0</v>
      </c>
      <c r="V506" s="127">
        <v>0</v>
      </c>
      <c r="W506" s="127" t="s">
        <v>1472</v>
      </c>
      <c r="X506" s="127" t="s">
        <v>255</v>
      </c>
      <c r="Y506" s="127" t="s">
        <v>1436</v>
      </c>
      <c r="Z506" s="127" t="s">
        <v>1568</v>
      </c>
      <c r="AA506" s="127" t="s">
        <v>2510</v>
      </c>
      <c r="AB506" s="131" t="s">
        <v>1318</v>
      </c>
      <c r="AC506" s="127" t="s">
        <v>2133</v>
      </c>
      <c r="AD506" s="131" t="s">
        <v>340</v>
      </c>
      <c r="AE506" s="131" t="e">
        <v>#N/A</v>
      </c>
      <c r="AF506" s="131" t="e">
        <v>#N/A</v>
      </c>
      <c r="AG506" s="131" t="e">
        <v>#REF!</v>
      </c>
    </row>
    <row r="507" spans="1:33" s="131" customFormat="1" ht="18" customHeight="1" x14ac:dyDescent="0.25">
      <c r="A507" s="125">
        <v>506</v>
      </c>
      <c r="B507" s="137" t="s">
        <v>256</v>
      </c>
      <c r="C507" s="126" t="s">
        <v>3089</v>
      </c>
      <c r="D507" s="126" t="s">
        <v>3082</v>
      </c>
      <c r="E507" s="127" t="s">
        <v>340</v>
      </c>
      <c r="F507" s="128" t="s">
        <v>2521</v>
      </c>
      <c r="G507" s="128" t="s">
        <v>3290</v>
      </c>
      <c r="H507" s="125"/>
      <c r="I507" s="125"/>
      <c r="J507" s="132" t="s">
        <v>2520</v>
      </c>
      <c r="K507" s="130"/>
      <c r="L507" s="129"/>
      <c r="M507" s="127" t="s">
        <v>758</v>
      </c>
      <c r="N507" s="127" t="s">
        <v>2520</v>
      </c>
      <c r="O507" s="127" t="s">
        <v>1553</v>
      </c>
      <c r="P507" s="127" t="s">
        <v>1554</v>
      </c>
      <c r="Q507" s="127">
        <v>2</v>
      </c>
      <c r="R507" s="127" t="s">
        <v>1527</v>
      </c>
      <c r="S507" s="127" t="s">
        <v>256</v>
      </c>
      <c r="T507" s="127">
        <v>0</v>
      </c>
      <c r="U507" s="127">
        <v>0</v>
      </c>
      <c r="V507" s="127">
        <v>0</v>
      </c>
      <c r="W507" s="127" t="s">
        <v>1526</v>
      </c>
      <c r="X507" s="127" t="s">
        <v>256</v>
      </c>
      <c r="Y507" s="127" t="s">
        <v>1571</v>
      </c>
      <c r="Z507" s="127" t="s">
        <v>1568</v>
      </c>
      <c r="AA507" s="127" t="s">
        <v>2510</v>
      </c>
      <c r="AB507" s="131" t="s">
        <v>1319</v>
      </c>
      <c r="AC507" s="127" t="s">
        <v>2134</v>
      </c>
      <c r="AD507" s="131" t="s">
        <v>340</v>
      </c>
      <c r="AE507" s="131" t="e">
        <v>#N/A</v>
      </c>
      <c r="AF507" s="131" t="e">
        <v>#N/A</v>
      </c>
      <c r="AG507" s="131" t="e">
        <v>#REF!</v>
      </c>
    </row>
    <row r="508" spans="1:33" s="131" customFormat="1" ht="18" customHeight="1" x14ac:dyDescent="0.25">
      <c r="A508" s="125">
        <v>507</v>
      </c>
      <c r="B508" s="137" t="s">
        <v>257</v>
      </c>
      <c r="C508" s="126" t="s">
        <v>3090</v>
      </c>
      <c r="D508" s="126" t="s">
        <v>3082</v>
      </c>
      <c r="E508" s="127" t="s">
        <v>813</v>
      </c>
      <c r="F508" s="128"/>
      <c r="G508" s="128" t="s">
        <v>3290</v>
      </c>
      <c r="H508" s="125"/>
      <c r="I508" s="125"/>
      <c r="J508" s="132" t="s">
        <v>2520</v>
      </c>
      <c r="K508" s="130"/>
      <c r="L508" s="129"/>
      <c r="M508" s="127" t="s">
        <v>779</v>
      </c>
      <c r="N508" s="127" t="s">
        <v>2520</v>
      </c>
      <c r="O508" s="127" t="s">
        <v>1427</v>
      </c>
      <c r="P508" s="127">
        <v>0</v>
      </c>
      <c r="Q508" s="127">
        <v>0</v>
      </c>
      <c r="R508" s="127">
        <v>0</v>
      </c>
      <c r="S508" s="127">
        <v>0</v>
      </c>
      <c r="T508" s="127">
        <v>2</v>
      </c>
      <c r="U508" s="127" t="s">
        <v>2369</v>
      </c>
      <c r="V508" s="127" t="s">
        <v>257</v>
      </c>
      <c r="W508" s="127" t="s">
        <v>1524</v>
      </c>
      <c r="X508" s="127" t="s">
        <v>257</v>
      </c>
      <c r="Y508" s="127" t="s">
        <v>1461</v>
      </c>
      <c r="Z508" s="127" t="s">
        <v>1568</v>
      </c>
      <c r="AA508" s="127" t="s">
        <v>2511</v>
      </c>
      <c r="AB508" s="131" t="s">
        <v>1320</v>
      </c>
      <c r="AC508" s="127" t="s">
        <v>2135</v>
      </c>
      <c r="AD508" s="131" t="s">
        <v>813</v>
      </c>
      <c r="AE508" s="131" t="e">
        <v>#N/A</v>
      </c>
      <c r="AF508" s="131" t="e">
        <v>#N/A</v>
      </c>
      <c r="AG508" s="131" t="e">
        <v>#REF!</v>
      </c>
    </row>
    <row r="509" spans="1:33" s="131" customFormat="1" ht="18" customHeight="1" x14ac:dyDescent="0.25">
      <c r="A509" s="125">
        <v>508</v>
      </c>
      <c r="B509" s="137" t="s">
        <v>258</v>
      </c>
      <c r="C509" s="126" t="s">
        <v>3091</v>
      </c>
      <c r="D509" s="126" t="s">
        <v>3069</v>
      </c>
      <c r="E509" s="127" t="s">
        <v>340</v>
      </c>
      <c r="F509" s="128" t="s">
        <v>2521</v>
      </c>
      <c r="G509" s="128" t="s">
        <v>3290</v>
      </c>
      <c r="H509" s="125"/>
      <c r="I509" s="125"/>
      <c r="J509" s="132" t="s">
        <v>2520</v>
      </c>
      <c r="K509" s="130"/>
      <c r="L509" s="129"/>
      <c r="M509" s="127" t="s">
        <v>758</v>
      </c>
      <c r="N509" s="127" t="s">
        <v>2520</v>
      </c>
      <c r="O509" s="127" t="s">
        <v>1427</v>
      </c>
      <c r="P509" s="127" t="s">
        <v>1554</v>
      </c>
      <c r="Q509" s="127">
        <v>0</v>
      </c>
      <c r="R509" s="127">
        <v>0</v>
      </c>
      <c r="S509" s="127">
        <v>0</v>
      </c>
      <c r="T509" s="127">
        <v>4</v>
      </c>
      <c r="U509" s="127" t="s">
        <v>798</v>
      </c>
      <c r="V509" s="127" t="s">
        <v>258</v>
      </c>
      <c r="W509" s="127">
        <v>0</v>
      </c>
      <c r="X509" s="127">
        <v>0</v>
      </c>
      <c r="Y509" s="127">
        <v>0</v>
      </c>
      <c r="Z509" s="127" t="s">
        <v>1568</v>
      </c>
      <c r="AA509" s="127" t="s">
        <v>2510</v>
      </c>
      <c r="AB509" s="131" t="s">
        <v>1321</v>
      </c>
      <c r="AC509" s="127" t="s">
        <v>2136</v>
      </c>
      <c r="AD509" s="131" t="s">
        <v>340</v>
      </c>
      <c r="AE509" s="131" t="e">
        <v>#N/A</v>
      </c>
      <c r="AF509" s="131" t="e">
        <v>#N/A</v>
      </c>
      <c r="AG509" s="131" t="e">
        <v>#REF!</v>
      </c>
    </row>
    <row r="510" spans="1:33" s="131" customFormat="1" ht="18" customHeight="1" x14ac:dyDescent="0.25">
      <c r="A510" s="125">
        <v>509</v>
      </c>
      <c r="B510" s="137" t="s">
        <v>259</v>
      </c>
      <c r="C510" s="126" t="s">
        <v>3092</v>
      </c>
      <c r="D510" s="126" t="s">
        <v>3069</v>
      </c>
      <c r="E510" s="127" t="s">
        <v>340</v>
      </c>
      <c r="F510" s="128" t="s">
        <v>2521</v>
      </c>
      <c r="G510" s="128" t="s">
        <v>3290</v>
      </c>
      <c r="H510" s="125"/>
      <c r="I510" s="125"/>
      <c r="J510" s="132" t="s">
        <v>2520</v>
      </c>
      <c r="K510" s="130"/>
      <c r="L510" s="129"/>
      <c r="M510" s="127" t="s">
        <v>758</v>
      </c>
      <c r="N510" s="127" t="s">
        <v>2520</v>
      </c>
      <c r="O510" s="127" t="s">
        <v>1427</v>
      </c>
      <c r="P510" s="127" t="s">
        <v>1554</v>
      </c>
      <c r="Q510" s="127">
        <v>0</v>
      </c>
      <c r="R510" s="127">
        <v>0</v>
      </c>
      <c r="S510" s="127">
        <v>0</v>
      </c>
      <c r="T510" s="127">
        <v>4</v>
      </c>
      <c r="U510" s="127" t="s">
        <v>798</v>
      </c>
      <c r="V510" s="127" t="s">
        <v>259</v>
      </c>
      <c r="W510" s="127">
        <v>0</v>
      </c>
      <c r="X510" s="127">
        <v>0</v>
      </c>
      <c r="Y510" s="127">
        <v>0</v>
      </c>
      <c r="Z510" s="127">
        <v>0</v>
      </c>
      <c r="AA510" s="127" t="s">
        <v>2511</v>
      </c>
      <c r="AB510" s="131" t="s">
        <v>1322</v>
      </c>
      <c r="AC510" s="127" t="s">
        <v>2137</v>
      </c>
      <c r="AD510" s="131" t="s">
        <v>340</v>
      </c>
      <c r="AE510" s="131" t="e">
        <v>#N/A</v>
      </c>
      <c r="AF510" s="131" t="e">
        <v>#N/A</v>
      </c>
      <c r="AG510" s="131" t="e">
        <v>#REF!</v>
      </c>
    </row>
    <row r="511" spans="1:33" s="131" customFormat="1" ht="18" customHeight="1" x14ac:dyDescent="0.25">
      <c r="A511" s="125">
        <v>510</v>
      </c>
      <c r="B511" s="137" t="s">
        <v>260</v>
      </c>
      <c r="C511" s="126" t="s">
        <v>3093</v>
      </c>
      <c r="D511" s="126" t="s">
        <v>3074</v>
      </c>
      <c r="E511" s="127" t="s">
        <v>340</v>
      </c>
      <c r="F511" s="128" t="s">
        <v>2411</v>
      </c>
      <c r="G511" s="128" t="s">
        <v>3289</v>
      </c>
      <c r="H511" s="125" t="s">
        <v>1223</v>
      </c>
      <c r="I511" s="125"/>
      <c r="J511" s="129"/>
      <c r="K511" s="130"/>
      <c r="L511" s="129"/>
      <c r="M511" s="127" t="s">
        <v>761</v>
      </c>
      <c r="N511" s="127" t="s">
        <v>1639</v>
      </c>
      <c r="O511" s="127" t="s">
        <v>1525</v>
      </c>
      <c r="P511" s="127" t="s">
        <v>812</v>
      </c>
      <c r="Q511" s="127">
        <v>0</v>
      </c>
      <c r="R511" s="127">
        <v>0</v>
      </c>
      <c r="S511" s="127">
        <v>0</v>
      </c>
      <c r="T511" s="127">
        <v>0</v>
      </c>
      <c r="U511" s="127">
        <v>0</v>
      </c>
      <c r="V511" s="127">
        <v>0</v>
      </c>
      <c r="W511" s="127">
        <v>0</v>
      </c>
      <c r="X511" s="127">
        <v>0</v>
      </c>
      <c r="Y511" s="127">
        <v>0</v>
      </c>
      <c r="Z511" s="127">
        <v>0</v>
      </c>
      <c r="AA511" s="127" t="s">
        <v>2510</v>
      </c>
      <c r="AB511" s="131" t="s">
        <v>1323</v>
      </c>
      <c r="AC511" s="127" t="s">
        <v>2138</v>
      </c>
      <c r="AD511" s="131" t="s">
        <v>340</v>
      </c>
      <c r="AE511" s="131" t="e">
        <v>#N/A</v>
      </c>
      <c r="AF511" s="131" t="e">
        <v>#N/A</v>
      </c>
      <c r="AG511" s="131" t="e">
        <v>#REF!</v>
      </c>
    </row>
    <row r="512" spans="1:33" s="131" customFormat="1" ht="18" customHeight="1" x14ac:dyDescent="0.25">
      <c r="A512" s="125">
        <v>511</v>
      </c>
      <c r="B512" s="137" t="s">
        <v>261</v>
      </c>
      <c r="C512" s="126" t="s">
        <v>3094</v>
      </c>
      <c r="D512" s="126" t="s">
        <v>3074</v>
      </c>
      <c r="E512" s="127" t="s">
        <v>340</v>
      </c>
      <c r="F512" s="128" t="s">
        <v>2411</v>
      </c>
      <c r="G512" s="128" t="s">
        <v>3290</v>
      </c>
      <c r="H512" s="125" t="s">
        <v>1732</v>
      </c>
      <c r="I512" s="125"/>
      <c r="J512" s="129"/>
      <c r="K512" s="130"/>
      <c r="L512" s="129"/>
      <c r="M512" s="127" t="s">
        <v>1639</v>
      </c>
      <c r="N512" s="127" t="s">
        <v>1639</v>
      </c>
      <c r="O512" s="127" t="s">
        <v>1427</v>
      </c>
      <c r="P512" s="127" t="s">
        <v>1554</v>
      </c>
      <c r="Q512" s="127">
        <v>0</v>
      </c>
      <c r="R512" s="127">
        <v>0</v>
      </c>
      <c r="S512" s="127">
        <v>0</v>
      </c>
      <c r="T512" s="127">
        <v>2</v>
      </c>
      <c r="U512" s="127" t="s">
        <v>1525</v>
      </c>
      <c r="V512" s="127" t="s">
        <v>261</v>
      </c>
      <c r="W512" s="127">
        <v>0</v>
      </c>
      <c r="X512" s="127">
        <v>0</v>
      </c>
      <c r="Y512" s="127">
        <v>0</v>
      </c>
      <c r="Z512" s="127" t="s">
        <v>1568</v>
      </c>
      <c r="AA512" s="127" t="s">
        <v>2511</v>
      </c>
      <c r="AB512" s="131" t="s">
        <v>1324</v>
      </c>
      <c r="AC512" s="127" t="s">
        <v>2139</v>
      </c>
      <c r="AD512" s="131" t="s">
        <v>340</v>
      </c>
      <c r="AE512" s="131" t="e">
        <v>#N/A</v>
      </c>
      <c r="AF512" s="131" t="e">
        <v>#N/A</v>
      </c>
      <c r="AG512" s="131" t="e">
        <v>#REF!</v>
      </c>
    </row>
    <row r="513" spans="1:33" s="131" customFormat="1" ht="18" customHeight="1" x14ac:dyDescent="0.25">
      <c r="A513" s="125">
        <v>512</v>
      </c>
      <c r="B513" s="137" t="s">
        <v>262</v>
      </c>
      <c r="C513" s="126" t="s">
        <v>3095</v>
      </c>
      <c r="D513" s="126" t="s">
        <v>3069</v>
      </c>
      <c r="E513" s="127" t="s">
        <v>340</v>
      </c>
      <c r="F513" s="128" t="s">
        <v>2521</v>
      </c>
      <c r="G513" s="128" t="s">
        <v>3290</v>
      </c>
      <c r="H513" s="125"/>
      <c r="I513" s="125"/>
      <c r="J513" s="132" t="s">
        <v>2520</v>
      </c>
      <c r="K513" s="130"/>
      <c r="L513" s="129"/>
      <c r="M513" s="127" t="s">
        <v>779</v>
      </c>
      <c r="N513" s="127" t="s">
        <v>2520</v>
      </c>
      <c r="O513" s="127" t="s">
        <v>1427</v>
      </c>
      <c r="P513" s="127" t="s">
        <v>1554</v>
      </c>
      <c r="Q513" s="127">
        <v>0</v>
      </c>
      <c r="R513" s="127">
        <v>0</v>
      </c>
      <c r="S513" s="127">
        <v>0</v>
      </c>
      <c r="T513" s="127">
        <v>2</v>
      </c>
      <c r="U513" s="127" t="s">
        <v>1472</v>
      </c>
      <c r="V513" s="127" t="s">
        <v>262</v>
      </c>
      <c r="W513" s="127">
        <v>0</v>
      </c>
      <c r="X513" s="127">
        <v>0</v>
      </c>
      <c r="Y513" s="127">
        <v>0</v>
      </c>
      <c r="Z513" s="127" t="s">
        <v>1568</v>
      </c>
      <c r="AA513" s="127" t="s">
        <v>2510</v>
      </c>
      <c r="AB513" s="131" t="s">
        <v>1326</v>
      </c>
      <c r="AC513" s="127" t="s">
        <v>2140</v>
      </c>
      <c r="AD513" s="131" t="s">
        <v>340</v>
      </c>
      <c r="AE513" s="131" t="e">
        <v>#N/A</v>
      </c>
      <c r="AF513" s="131" t="e">
        <v>#N/A</v>
      </c>
      <c r="AG513" s="131" t="e">
        <v>#REF!</v>
      </c>
    </row>
    <row r="514" spans="1:33" s="131" customFormat="1" ht="18" customHeight="1" x14ac:dyDescent="0.25">
      <c r="A514" s="125">
        <v>513</v>
      </c>
      <c r="B514" s="126" t="s">
        <v>330</v>
      </c>
      <c r="C514" s="126" t="s">
        <v>3096</v>
      </c>
      <c r="D514" s="126" t="s">
        <v>3071</v>
      </c>
      <c r="E514" s="127" t="s">
        <v>813</v>
      </c>
      <c r="F514" s="128" t="s">
        <v>2411</v>
      </c>
      <c r="G514" s="128" t="s">
        <v>3289</v>
      </c>
      <c r="H514" s="125" t="s">
        <v>1139</v>
      </c>
      <c r="I514" s="125"/>
      <c r="J514" s="129"/>
      <c r="K514" s="130"/>
      <c r="L514" s="129"/>
      <c r="M514" s="127" t="s">
        <v>761</v>
      </c>
      <c r="N514" s="127" t="s">
        <v>1639</v>
      </c>
      <c r="O514" s="127" t="s">
        <v>1575</v>
      </c>
      <c r="P514" s="127" t="s">
        <v>812</v>
      </c>
      <c r="Q514" s="127">
        <v>2</v>
      </c>
      <c r="R514" s="127" t="s">
        <v>1524</v>
      </c>
      <c r="S514" s="127" t="s">
        <v>330</v>
      </c>
      <c r="T514" s="127">
        <v>0</v>
      </c>
      <c r="U514" s="127">
        <v>0</v>
      </c>
      <c r="V514" s="127">
        <v>0</v>
      </c>
      <c r="W514" s="127">
        <v>0</v>
      </c>
      <c r="X514" s="127">
        <v>0</v>
      </c>
      <c r="Y514" s="127">
        <v>0</v>
      </c>
      <c r="Z514" s="127" t="s">
        <v>1568</v>
      </c>
      <c r="AA514" s="127" t="s">
        <v>2511</v>
      </c>
      <c r="AB514" s="131" t="s">
        <v>1327</v>
      </c>
      <c r="AC514" s="127" t="s">
        <v>2141</v>
      </c>
      <c r="AD514" s="131" t="s">
        <v>813</v>
      </c>
      <c r="AE514" s="131" t="e">
        <v>#N/A</v>
      </c>
      <c r="AF514" s="131" t="e">
        <v>#N/A</v>
      </c>
      <c r="AG514" s="131" t="e">
        <v>#REF!</v>
      </c>
    </row>
    <row r="515" spans="1:33" s="131" customFormat="1" ht="15.75" x14ac:dyDescent="0.25">
      <c r="A515" s="125">
        <v>514</v>
      </c>
      <c r="B515" s="126" t="s">
        <v>329</v>
      </c>
      <c r="C515" s="126" t="s">
        <v>3097</v>
      </c>
      <c r="D515" s="126" t="s">
        <v>3074</v>
      </c>
      <c r="E515" s="127" t="s">
        <v>340</v>
      </c>
      <c r="F515" s="128" t="s">
        <v>2411</v>
      </c>
      <c r="G515" s="128" t="s">
        <v>3290</v>
      </c>
      <c r="H515" s="125"/>
      <c r="I515" s="125" t="s">
        <v>934</v>
      </c>
      <c r="J515" s="132"/>
      <c r="K515" s="130"/>
      <c r="L515" s="129"/>
      <c r="M515" s="127" t="s">
        <v>759</v>
      </c>
      <c r="N515" s="127" t="s">
        <v>770</v>
      </c>
      <c r="O515" s="127" t="s">
        <v>1553</v>
      </c>
      <c r="P515" s="127" t="s">
        <v>1554</v>
      </c>
      <c r="Q515" s="127">
        <v>2</v>
      </c>
      <c r="R515" s="127" t="s">
        <v>1522</v>
      </c>
      <c r="S515" s="127" t="s">
        <v>329</v>
      </c>
      <c r="T515" s="127">
        <v>0</v>
      </c>
      <c r="U515" s="127">
        <v>0</v>
      </c>
      <c r="V515" s="127">
        <v>0</v>
      </c>
      <c r="W515" s="127">
        <v>0</v>
      </c>
      <c r="X515" s="127">
        <v>0</v>
      </c>
      <c r="Y515" s="127">
        <v>0</v>
      </c>
      <c r="Z515" s="127" t="s">
        <v>1568</v>
      </c>
      <c r="AA515" s="127" t="s">
        <v>2511</v>
      </c>
      <c r="AB515" s="131" t="s">
        <v>1328</v>
      </c>
      <c r="AC515" s="127" t="s">
        <v>2142</v>
      </c>
      <c r="AD515" s="131" t="s">
        <v>340</v>
      </c>
      <c r="AE515" s="131" t="e">
        <v>#N/A</v>
      </c>
      <c r="AF515" s="131" t="e">
        <v>#N/A</v>
      </c>
      <c r="AG515" s="131" t="e">
        <v>#REF!</v>
      </c>
    </row>
    <row r="516" spans="1:33" s="131" customFormat="1" ht="15.75" x14ac:dyDescent="0.25">
      <c r="A516" s="125">
        <v>515</v>
      </c>
      <c r="B516" s="126" t="s">
        <v>331</v>
      </c>
      <c r="C516" s="126" t="s">
        <v>3098</v>
      </c>
      <c r="D516" s="126" t="s">
        <v>3082</v>
      </c>
      <c r="E516" s="127" t="s">
        <v>813</v>
      </c>
      <c r="F516" s="128"/>
      <c r="G516" s="128" t="s">
        <v>3290</v>
      </c>
      <c r="H516" s="125" t="s">
        <v>1732</v>
      </c>
      <c r="I516" s="125"/>
      <c r="J516" s="129"/>
      <c r="K516" s="130"/>
      <c r="L516" s="129"/>
      <c r="M516" s="127" t="s">
        <v>761</v>
      </c>
      <c r="N516" s="127" t="s">
        <v>1639</v>
      </c>
      <c r="O516" s="127" t="s">
        <v>1427</v>
      </c>
      <c r="P516" s="127">
        <v>0</v>
      </c>
      <c r="Q516" s="127">
        <v>0</v>
      </c>
      <c r="R516" s="127">
        <v>0</v>
      </c>
      <c r="S516" s="127">
        <v>0</v>
      </c>
      <c r="T516" s="127">
        <v>2</v>
      </c>
      <c r="U516" s="127" t="s">
        <v>1524</v>
      </c>
      <c r="V516" s="127" t="s">
        <v>331</v>
      </c>
      <c r="W516" s="127" t="s">
        <v>1524</v>
      </c>
      <c r="X516" s="127" t="s">
        <v>331</v>
      </c>
      <c r="Y516" s="127" t="s">
        <v>1454</v>
      </c>
      <c r="Z516" s="127" t="s">
        <v>1568</v>
      </c>
      <c r="AA516" s="127" t="s">
        <v>2511</v>
      </c>
      <c r="AB516" s="131" t="s">
        <v>1329</v>
      </c>
      <c r="AC516" s="127" t="s">
        <v>2143</v>
      </c>
      <c r="AD516" s="131" t="s">
        <v>813</v>
      </c>
      <c r="AE516" s="131" t="e">
        <v>#N/A</v>
      </c>
      <c r="AF516" s="131" t="e">
        <v>#N/A</v>
      </c>
      <c r="AG516" s="131" t="e">
        <v>#REF!</v>
      </c>
    </row>
    <row r="517" spans="1:33" s="131" customFormat="1" ht="18" customHeight="1" x14ac:dyDescent="0.25">
      <c r="A517" s="125">
        <v>516</v>
      </c>
      <c r="B517" s="126" t="s">
        <v>379</v>
      </c>
      <c r="C517" s="126" t="s">
        <v>3099</v>
      </c>
      <c r="D517" s="126" t="s">
        <v>3069</v>
      </c>
      <c r="E517" s="127" t="s">
        <v>813</v>
      </c>
      <c r="F517" s="128"/>
      <c r="G517" s="128" t="s">
        <v>3290</v>
      </c>
      <c r="H517" s="125" t="s">
        <v>1732</v>
      </c>
      <c r="I517" s="125"/>
      <c r="J517" s="129"/>
      <c r="K517" s="130"/>
      <c r="L517" s="129"/>
      <c r="M517" s="127" t="s">
        <v>761</v>
      </c>
      <c r="N517" s="127" t="s">
        <v>1639</v>
      </c>
      <c r="O517" s="127" t="s">
        <v>1427</v>
      </c>
      <c r="P517" s="127">
        <v>0</v>
      </c>
      <c r="Q517" s="127">
        <v>0</v>
      </c>
      <c r="R517" s="127">
        <v>0</v>
      </c>
      <c r="S517" s="127">
        <v>0</v>
      </c>
      <c r="T517" s="127">
        <v>2</v>
      </c>
      <c r="U517" s="127" t="s">
        <v>2361</v>
      </c>
      <c r="V517" s="127" t="s">
        <v>379</v>
      </c>
      <c r="W517" s="127" t="s">
        <v>1526</v>
      </c>
      <c r="X517" s="127" t="s">
        <v>379</v>
      </c>
      <c r="Y517" s="127" t="s">
        <v>1436</v>
      </c>
      <c r="Z517" s="127" t="s">
        <v>1568</v>
      </c>
      <c r="AA517" s="127" t="s">
        <v>2511</v>
      </c>
      <c r="AB517" s="131" t="s">
        <v>1330</v>
      </c>
      <c r="AC517" s="127" t="s">
        <v>2144</v>
      </c>
      <c r="AD517" s="131" t="s">
        <v>813</v>
      </c>
      <c r="AE517" s="131" t="e">
        <v>#N/A</v>
      </c>
      <c r="AF517" s="131" t="e">
        <v>#N/A</v>
      </c>
      <c r="AG517" s="131" t="e">
        <v>#REF!</v>
      </c>
    </row>
    <row r="518" spans="1:33" s="131" customFormat="1" ht="18" customHeight="1" x14ac:dyDescent="0.25">
      <c r="A518" s="125">
        <v>517</v>
      </c>
      <c r="B518" s="126" t="s">
        <v>332</v>
      </c>
      <c r="C518" s="126" t="s">
        <v>3100</v>
      </c>
      <c r="D518" s="126" t="s">
        <v>3082</v>
      </c>
      <c r="E518" s="127" t="s">
        <v>340</v>
      </c>
      <c r="F518" s="128" t="s">
        <v>2411</v>
      </c>
      <c r="G518" s="128" t="s">
        <v>3290</v>
      </c>
      <c r="H518" s="125" t="s">
        <v>1732</v>
      </c>
      <c r="I518" s="125"/>
      <c r="J518" s="129"/>
      <c r="K518" s="130"/>
      <c r="L518" s="129"/>
      <c r="M518" s="127" t="s">
        <v>761</v>
      </c>
      <c r="N518" s="127" t="s">
        <v>1639</v>
      </c>
      <c r="O518" s="127" t="s">
        <v>1427</v>
      </c>
      <c r="P518" s="127" t="s">
        <v>1554</v>
      </c>
      <c r="Q518" s="127">
        <v>0</v>
      </c>
      <c r="R518" s="127">
        <v>0</v>
      </c>
      <c r="S518" s="127">
        <v>0</v>
      </c>
      <c r="T518" s="127">
        <v>2</v>
      </c>
      <c r="U518" s="127" t="s">
        <v>1527</v>
      </c>
      <c r="V518" s="127" t="s">
        <v>332</v>
      </c>
      <c r="W518" s="127">
        <v>0</v>
      </c>
      <c r="X518" s="127">
        <v>0</v>
      </c>
      <c r="Y518" s="127">
        <v>0</v>
      </c>
      <c r="Z518" s="127" t="s">
        <v>1568</v>
      </c>
      <c r="AA518" s="127" t="s">
        <v>2510</v>
      </c>
      <c r="AB518" s="131" t="s">
        <v>1331</v>
      </c>
      <c r="AC518" s="127" t="s">
        <v>2145</v>
      </c>
      <c r="AD518" s="131" t="s">
        <v>340</v>
      </c>
      <c r="AE518" s="131" t="e">
        <v>#N/A</v>
      </c>
      <c r="AF518" s="131" t="e">
        <v>#N/A</v>
      </c>
      <c r="AG518" s="131" t="e">
        <v>#REF!</v>
      </c>
    </row>
    <row r="519" spans="1:33" s="131" customFormat="1" ht="18" customHeight="1" x14ac:dyDescent="0.25">
      <c r="A519" s="125">
        <v>518</v>
      </c>
      <c r="B519" s="137" t="s">
        <v>381</v>
      </c>
      <c r="C519" s="126" t="s">
        <v>3101</v>
      </c>
      <c r="D519" s="126" t="s">
        <v>3071</v>
      </c>
      <c r="E519" s="127" t="s">
        <v>813</v>
      </c>
      <c r="F519" s="128" t="s">
        <v>2411</v>
      </c>
      <c r="G519" s="128" t="s">
        <v>3289</v>
      </c>
      <c r="H519" s="125" t="s">
        <v>1732</v>
      </c>
      <c r="I519" s="125"/>
      <c r="J519" s="129"/>
      <c r="K519" s="130"/>
      <c r="L519" s="129"/>
      <c r="M519" s="127" t="s">
        <v>761</v>
      </c>
      <c r="N519" s="127" t="s">
        <v>1639</v>
      </c>
      <c r="O519" s="127" t="s">
        <v>1524</v>
      </c>
      <c r="P519" s="127" t="s">
        <v>812</v>
      </c>
      <c r="Q519" s="127">
        <v>0</v>
      </c>
      <c r="R519" s="127">
        <v>0</v>
      </c>
      <c r="S519" s="127">
        <v>0</v>
      </c>
      <c r="T519" s="127">
        <v>0</v>
      </c>
      <c r="U519" s="127">
        <v>0</v>
      </c>
      <c r="V519" s="127">
        <v>0</v>
      </c>
      <c r="W519" s="127">
        <v>0</v>
      </c>
      <c r="X519" s="127">
        <v>0</v>
      </c>
      <c r="Y519" s="127">
        <v>0</v>
      </c>
      <c r="Z519" s="127">
        <v>0</v>
      </c>
      <c r="AA519" s="127" t="s">
        <v>2510</v>
      </c>
      <c r="AB519" s="131" t="s">
        <v>1332</v>
      </c>
      <c r="AC519" s="127" t="s">
        <v>2146</v>
      </c>
      <c r="AD519" s="131" t="s">
        <v>813</v>
      </c>
      <c r="AE519" s="131" t="e">
        <v>#N/A</v>
      </c>
      <c r="AF519" s="131" t="e">
        <v>#N/A</v>
      </c>
      <c r="AG519" s="131" t="e">
        <v>#REF!</v>
      </c>
    </row>
    <row r="520" spans="1:33" s="131" customFormat="1" ht="18" customHeight="1" x14ac:dyDescent="0.25">
      <c r="A520" s="125">
        <v>519</v>
      </c>
      <c r="B520" s="137" t="s">
        <v>382</v>
      </c>
      <c r="C520" s="126" t="s">
        <v>3102</v>
      </c>
      <c r="D520" s="126" t="s">
        <v>3074</v>
      </c>
      <c r="E520" s="127" t="s">
        <v>340</v>
      </c>
      <c r="F520" s="128" t="s">
        <v>2521</v>
      </c>
      <c r="G520" s="128" t="s">
        <v>3290</v>
      </c>
      <c r="H520" s="125"/>
      <c r="I520" s="125"/>
      <c r="J520" s="132" t="s">
        <v>2520</v>
      </c>
      <c r="K520" s="130"/>
      <c r="L520" s="129"/>
      <c r="M520" s="127" t="s">
        <v>758</v>
      </c>
      <c r="N520" s="127" t="s">
        <v>2520</v>
      </c>
      <c r="O520" s="127" t="s">
        <v>1427</v>
      </c>
      <c r="P520" s="127" t="s">
        <v>1554</v>
      </c>
      <c r="Q520" s="127">
        <v>0</v>
      </c>
      <c r="R520" s="127">
        <v>0</v>
      </c>
      <c r="S520" s="127">
        <v>0</v>
      </c>
      <c r="T520" s="127">
        <v>2</v>
      </c>
      <c r="U520" s="127" t="s">
        <v>1529</v>
      </c>
      <c r="V520" s="127" t="s">
        <v>382</v>
      </c>
      <c r="W520" s="127">
        <v>0</v>
      </c>
      <c r="X520" s="127">
        <v>0</v>
      </c>
      <c r="Y520" s="127">
        <v>0</v>
      </c>
      <c r="Z520" s="127" t="s">
        <v>1568</v>
      </c>
      <c r="AA520" s="127" t="s">
        <v>2510</v>
      </c>
      <c r="AB520" s="131" t="s">
        <v>1333</v>
      </c>
      <c r="AC520" s="127" t="s">
        <v>2147</v>
      </c>
      <c r="AD520" s="131" t="s">
        <v>340</v>
      </c>
      <c r="AE520" s="131" t="e">
        <v>#N/A</v>
      </c>
      <c r="AF520" s="131" t="e">
        <v>#N/A</v>
      </c>
      <c r="AG520" s="131" t="e">
        <v>#REF!</v>
      </c>
    </row>
    <row r="521" spans="1:33" s="131" customFormat="1" ht="15.75" x14ac:dyDescent="0.25">
      <c r="A521" s="125">
        <v>520</v>
      </c>
      <c r="B521" s="126" t="s">
        <v>386</v>
      </c>
      <c r="C521" s="126" t="s">
        <v>3103</v>
      </c>
      <c r="D521" s="126" t="s">
        <v>3082</v>
      </c>
      <c r="E521" s="127" t="s">
        <v>340</v>
      </c>
      <c r="F521" s="128" t="s">
        <v>2411</v>
      </c>
      <c r="G521" s="128" t="s">
        <v>3289</v>
      </c>
      <c r="H521" s="125" t="s">
        <v>965</v>
      </c>
      <c r="I521" s="125"/>
      <c r="J521" s="132"/>
      <c r="K521" s="130"/>
      <c r="L521" s="129"/>
      <c r="M521" s="127" t="s">
        <v>759</v>
      </c>
      <c r="N521" s="127" t="s">
        <v>1639</v>
      </c>
      <c r="O521" s="127" t="s">
        <v>1527</v>
      </c>
      <c r="P521" s="127" t="s">
        <v>812</v>
      </c>
      <c r="Q521" s="127">
        <v>0</v>
      </c>
      <c r="R521" s="127">
        <v>0</v>
      </c>
      <c r="S521" s="127">
        <v>0</v>
      </c>
      <c r="T521" s="127">
        <v>0</v>
      </c>
      <c r="U521" s="127">
        <v>0</v>
      </c>
      <c r="V521" s="127">
        <v>0</v>
      </c>
      <c r="W521" s="127">
        <v>0</v>
      </c>
      <c r="X521" s="127">
        <v>0</v>
      </c>
      <c r="Y521" s="127">
        <v>0</v>
      </c>
      <c r="Z521" s="127">
        <v>0</v>
      </c>
      <c r="AA521" s="127" t="s">
        <v>2510</v>
      </c>
      <c r="AB521" s="131" t="s">
        <v>1334</v>
      </c>
      <c r="AC521" s="127" t="s">
        <v>2148</v>
      </c>
      <c r="AD521" s="131" t="s">
        <v>340</v>
      </c>
      <c r="AE521" s="131" t="e">
        <v>#N/A</v>
      </c>
      <c r="AF521" s="131" t="e">
        <v>#N/A</v>
      </c>
      <c r="AG521" s="131" t="e">
        <v>#REF!</v>
      </c>
    </row>
    <row r="522" spans="1:33" s="131" customFormat="1" ht="15.75" x14ac:dyDescent="0.25">
      <c r="A522" s="125">
        <v>521</v>
      </c>
      <c r="B522" s="126" t="s">
        <v>490</v>
      </c>
      <c r="C522" s="126" t="s">
        <v>3104</v>
      </c>
      <c r="D522" s="126" t="s">
        <v>3074</v>
      </c>
      <c r="E522" s="127" t="s">
        <v>340</v>
      </c>
      <c r="F522" s="128" t="s">
        <v>2410</v>
      </c>
      <c r="G522" s="128" t="s">
        <v>3294</v>
      </c>
      <c r="H522" s="125" t="s">
        <v>2392</v>
      </c>
      <c r="I522" s="125"/>
      <c r="J522" s="129"/>
      <c r="K522" s="130" t="s">
        <v>260</v>
      </c>
      <c r="L522" s="129"/>
      <c r="M522" s="127" t="s">
        <v>759</v>
      </c>
      <c r="N522" s="127" t="s">
        <v>1639</v>
      </c>
      <c r="O522" s="127" t="s">
        <v>1553</v>
      </c>
      <c r="P522" s="127">
        <v>0</v>
      </c>
      <c r="Q522" s="127">
        <v>2</v>
      </c>
      <c r="R522" s="127" t="s">
        <v>1525</v>
      </c>
      <c r="S522" s="127" t="s">
        <v>490</v>
      </c>
      <c r="T522" s="127">
        <v>0</v>
      </c>
      <c r="U522" s="127">
        <v>0</v>
      </c>
      <c r="V522" s="127">
        <v>0</v>
      </c>
      <c r="W522" s="127">
        <v>0</v>
      </c>
      <c r="X522" s="127">
        <v>0</v>
      </c>
      <c r="Y522" s="127">
        <v>0</v>
      </c>
      <c r="Z522" s="127">
        <v>0</v>
      </c>
      <c r="AA522" s="127" t="s">
        <v>2511</v>
      </c>
      <c r="AB522" s="131" t="s">
        <v>699</v>
      </c>
      <c r="AC522" s="127" t="s">
        <v>2149</v>
      </c>
      <c r="AD522" s="131" t="s">
        <v>340</v>
      </c>
      <c r="AE522" s="131" t="s">
        <v>260</v>
      </c>
      <c r="AF522" s="131" t="b">
        <v>1</v>
      </c>
      <c r="AG522" s="131" t="e">
        <v>#REF!</v>
      </c>
    </row>
    <row r="523" spans="1:33" s="131" customFormat="1" ht="18" customHeight="1" x14ac:dyDescent="0.25">
      <c r="A523" s="125">
        <v>522</v>
      </c>
      <c r="B523" s="126" t="s">
        <v>501</v>
      </c>
      <c r="C523" s="126" t="s">
        <v>3105</v>
      </c>
      <c r="D523" s="126" t="s">
        <v>3069</v>
      </c>
      <c r="E523" s="127" t="s">
        <v>340</v>
      </c>
      <c r="F523" s="128"/>
      <c r="G523" s="128" t="s">
        <v>3290</v>
      </c>
      <c r="H523" s="125" t="s">
        <v>2392</v>
      </c>
      <c r="I523" s="125"/>
      <c r="J523" s="129"/>
      <c r="K523" s="130"/>
      <c r="L523" s="129"/>
      <c r="M523" s="127" t="s">
        <v>759</v>
      </c>
      <c r="N523" s="127" t="s">
        <v>1639</v>
      </c>
      <c r="O523" s="127" t="s">
        <v>1427</v>
      </c>
      <c r="P523" s="127">
        <v>0</v>
      </c>
      <c r="Q523" s="127">
        <v>0</v>
      </c>
      <c r="R523" s="127">
        <v>0</v>
      </c>
      <c r="S523" s="127">
        <v>0</v>
      </c>
      <c r="T523" s="127">
        <v>2</v>
      </c>
      <c r="U523" s="127" t="s">
        <v>1527</v>
      </c>
      <c r="V523" s="127" t="s">
        <v>501</v>
      </c>
      <c r="W523" s="127" t="s">
        <v>1527</v>
      </c>
      <c r="X523" s="127" t="s">
        <v>501</v>
      </c>
      <c r="Y523" s="127" t="s">
        <v>1570</v>
      </c>
      <c r="Z523" s="127">
        <v>0</v>
      </c>
      <c r="AA523" s="127" t="s">
        <v>2511</v>
      </c>
      <c r="AB523" s="131" t="s">
        <v>700</v>
      </c>
      <c r="AC523" s="127" t="s">
        <v>2150</v>
      </c>
      <c r="AD523" s="131" t="s">
        <v>340</v>
      </c>
      <c r="AE523" s="131" t="e">
        <v>#N/A</v>
      </c>
      <c r="AF523" s="131" t="e">
        <v>#N/A</v>
      </c>
      <c r="AG523" s="131" t="e">
        <v>#REF!</v>
      </c>
    </row>
    <row r="524" spans="1:33" s="131" customFormat="1" ht="18" customHeight="1" x14ac:dyDescent="0.25">
      <c r="A524" s="125">
        <v>523</v>
      </c>
      <c r="B524" s="126" t="s">
        <v>502</v>
      </c>
      <c r="C524" s="126" t="s">
        <v>3106</v>
      </c>
      <c r="D524" s="126" t="s">
        <v>2938</v>
      </c>
      <c r="E524" s="127" t="s">
        <v>340</v>
      </c>
      <c r="F524" s="128" t="s">
        <v>2410</v>
      </c>
      <c r="G524" s="128" t="s">
        <v>3294</v>
      </c>
      <c r="H524" s="125" t="s">
        <v>952</v>
      </c>
      <c r="I524" s="125"/>
      <c r="J524" s="129"/>
      <c r="K524" s="130" t="s">
        <v>245</v>
      </c>
      <c r="L524" s="129"/>
      <c r="M524" s="127" t="s">
        <v>759</v>
      </c>
      <c r="N524" s="127" t="s">
        <v>1639</v>
      </c>
      <c r="O524" s="127" t="s">
        <v>1553</v>
      </c>
      <c r="P524" s="127">
        <v>0</v>
      </c>
      <c r="Q524" s="127">
        <v>2</v>
      </c>
      <c r="R524" s="127" t="s">
        <v>1514</v>
      </c>
      <c r="S524" s="127" t="s">
        <v>502</v>
      </c>
      <c r="T524" s="127">
        <v>0</v>
      </c>
      <c r="U524" s="127">
        <v>0</v>
      </c>
      <c r="V524" s="127">
        <v>0</v>
      </c>
      <c r="W524" s="127">
        <v>0</v>
      </c>
      <c r="X524" s="127">
        <v>0</v>
      </c>
      <c r="Y524" s="127">
        <v>0</v>
      </c>
      <c r="Z524" s="127">
        <v>0</v>
      </c>
      <c r="AA524" s="127" t="s">
        <v>2511</v>
      </c>
      <c r="AB524" s="131" t="s">
        <v>701</v>
      </c>
      <c r="AC524" s="127" t="s">
        <v>2151</v>
      </c>
      <c r="AD524" s="131" t="s">
        <v>340</v>
      </c>
      <c r="AE524" s="131" t="s">
        <v>245</v>
      </c>
      <c r="AF524" s="131" t="b">
        <v>1</v>
      </c>
      <c r="AG524" s="131" t="e">
        <v>#REF!</v>
      </c>
    </row>
    <row r="525" spans="1:33" s="131" customFormat="1" ht="18" customHeight="1" x14ac:dyDescent="0.25">
      <c r="A525" s="125">
        <v>524</v>
      </c>
      <c r="B525" s="126" t="s">
        <v>503</v>
      </c>
      <c r="C525" s="126" t="s">
        <v>3107</v>
      </c>
      <c r="D525" s="126" t="s">
        <v>3074</v>
      </c>
      <c r="E525" s="127" t="s">
        <v>340</v>
      </c>
      <c r="F525" s="128" t="s">
        <v>2410</v>
      </c>
      <c r="G525" s="128" t="s">
        <v>3294</v>
      </c>
      <c r="H525" s="125" t="s">
        <v>931</v>
      </c>
      <c r="I525" s="125"/>
      <c r="J525" s="129"/>
      <c r="K525" s="130" t="s">
        <v>239</v>
      </c>
      <c r="L525" s="129"/>
      <c r="M525" s="127" t="s">
        <v>759</v>
      </c>
      <c r="N525" s="127" t="s">
        <v>1639</v>
      </c>
      <c r="O525" s="127" t="s">
        <v>1427</v>
      </c>
      <c r="P525" s="127">
        <v>0</v>
      </c>
      <c r="Q525" s="127">
        <v>0</v>
      </c>
      <c r="R525" s="127">
        <v>0</v>
      </c>
      <c r="S525" s="127">
        <v>0</v>
      </c>
      <c r="T525" s="127">
        <v>2</v>
      </c>
      <c r="U525" s="127" t="s">
        <v>1472</v>
      </c>
      <c r="V525" s="127" t="s">
        <v>503</v>
      </c>
      <c r="W525" s="127">
        <v>0</v>
      </c>
      <c r="X525" s="127">
        <v>0</v>
      </c>
      <c r="Y525" s="127">
        <v>0</v>
      </c>
      <c r="Z525" s="127">
        <v>0</v>
      </c>
      <c r="AA525" s="127" t="s">
        <v>2511</v>
      </c>
      <c r="AB525" s="131" t="s">
        <v>702</v>
      </c>
      <c r="AC525" s="127" t="s">
        <v>2152</v>
      </c>
      <c r="AD525" s="131" t="s">
        <v>340</v>
      </c>
      <c r="AE525" s="131" t="s">
        <v>239</v>
      </c>
      <c r="AF525" s="131" t="b">
        <v>1</v>
      </c>
      <c r="AG525" s="131" t="e">
        <v>#REF!</v>
      </c>
    </row>
    <row r="526" spans="1:33" s="131" customFormat="1" ht="18" customHeight="1" x14ac:dyDescent="0.25">
      <c r="A526" s="125">
        <v>525</v>
      </c>
      <c r="B526" s="126" t="s">
        <v>521</v>
      </c>
      <c r="C526" s="126" t="s">
        <v>3108</v>
      </c>
      <c r="D526" s="126" t="s">
        <v>3071</v>
      </c>
      <c r="E526" s="127" t="s">
        <v>813</v>
      </c>
      <c r="F526" s="128"/>
      <c r="G526" s="128" t="s">
        <v>3290</v>
      </c>
      <c r="H526" s="125" t="s">
        <v>1139</v>
      </c>
      <c r="I526" s="125"/>
      <c r="J526" s="129"/>
      <c r="K526" s="130"/>
      <c r="L526" s="129"/>
      <c r="M526" s="127" t="s">
        <v>759</v>
      </c>
      <c r="N526" s="127" t="s">
        <v>1639</v>
      </c>
      <c r="O526" s="127" t="s">
        <v>1427</v>
      </c>
      <c r="P526" s="127">
        <v>0</v>
      </c>
      <c r="Q526" s="127">
        <v>0</v>
      </c>
      <c r="R526" s="127">
        <v>0</v>
      </c>
      <c r="S526" s="127">
        <v>0</v>
      </c>
      <c r="T526" s="127">
        <v>2</v>
      </c>
      <c r="U526" s="127" t="s">
        <v>1594</v>
      </c>
      <c r="V526" s="127" t="s">
        <v>521</v>
      </c>
      <c r="W526" s="127" t="s">
        <v>798</v>
      </c>
      <c r="X526" s="127" t="s">
        <v>521</v>
      </c>
      <c r="Y526" s="127" t="s">
        <v>1573</v>
      </c>
      <c r="Z526" s="127">
        <v>0</v>
      </c>
      <c r="AA526" s="127" t="s">
        <v>2511</v>
      </c>
      <c r="AB526" s="131" t="s">
        <v>703</v>
      </c>
      <c r="AC526" s="127" t="s">
        <v>2153</v>
      </c>
      <c r="AD526" s="131" t="s">
        <v>813</v>
      </c>
      <c r="AE526" s="131" t="e">
        <v>#N/A</v>
      </c>
      <c r="AF526" s="131" t="e">
        <v>#N/A</v>
      </c>
      <c r="AG526" s="131" t="e">
        <v>#REF!</v>
      </c>
    </row>
    <row r="527" spans="1:33" s="131" customFormat="1" ht="18" customHeight="1" x14ac:dyDescent="0.25">
      <c r="A527" s="125">
        <v>526</v>
      </c>
      <c r="B527" s="126" t="s">
        <v>530</v>
      </c>
      <c r="C527" s="126" t="s">
        <v>3109</v>
      </c>
      <c r="D527" s="126" t="s">
        <v>3069</v>
      </c>
      <c r="E527" s="127" t="s">
        <v>340</v>
      </c>
      <c r="F527" s="128"/>
      <c r="G527" s="128" t="s">
        <v>3290</v>
      </c>
      <c r="H527" s="125" t="s">
        <v>986</v>
      </c>
      <c r="I527" s="125"/>
      <c r="J527" s="129"/>
      <c r="K527" s="130"/>
      <c r="L527" s="129"/>
      <c r="M527" s="127" t="s">
        <v>759</v>
      </c>
      <c r="N527" s="127" t="s">
        <v>1639</v>
      </c>
      <c r="O527" s="127" t="s">
        <v>1553</v>
      </c>
      <c r="P527" s="127">
        <v>0</v>
      </c>
      <c r="Q527" s="127">
        <v>2</v>
      </c>
      <c r="R527" s="127" t="s">
        <v>1472</v>
      </c>
      <c r="S527" s="127" t="s">
        <v>530</v>
      </c>
      <c r="T527" s="127">
        <v>0</v>
      </c>
      <c r="U527" s="127">
        <v>0</v>
      </c>
      <c r="V527" s="127">
        <v>0</v>
      </c>
      <c r="W527" s="127">
        <v>0</v>
      </c>
      <c r="X527" s="127">
        <v>0</v>
      </c>
      <c r="Y527" s="127">
        <v>0</v>
      </c>
      <c r="Z527" s="127">
        <v>0</v>
      </c>
      <c r="AA527" s="127" t="s">
        <v>2511</v>
      </c>
      <c r="AB527" s="131" t="s">
        <v>704</v>
      </c>
      <c r="AC527" s="127" t="s">
        <v>2154</v>
      </c>
      <c r="AD527" s="131" t="s">
        <v>340</v>
      </c>
      <c r="AE527" s="131" t="e">
        <v>#N/A</v>
      </c>
      <c r="AF527" s="131" t="e">
        <v>#N/A</v>
      </c>
      <c r="AG527" s="131" t="e">
        <v>#REF!</v>
      </c>
    </row>
    <row r="528" spans="1:33" s="131" customFormat="1" ht="18" customHeight="1" x14ac:dyDescent="0.25">
      <c r="A528" s="125">
        <v>527</v>
      </c>
      <c r="B528" s="126" t="s">
        <v>548</v>
      </c>
      <c r="C528" s="126" t="s">
        <v>3110</v>
      </c>
      <c r="D528" s="126" t="s">
        <v>3074</v>
      </c>
      <c r="E528" s="127" t="s">
        <v>340</v>
      </c>
      <c r="F528" s="128" t="s">
        <v>2410</v>
      </c>
      <c r="G528" s="128" t="s">
        <v>3294</v>
      </c>
      <c r="H528" s="125"/>
      <c r="I528" s="125"/>
      <c r="J528" s="132" t="s">
        <v>1641</v>
      </c>
      <c r="K528" s="130" t="s">
        <v>254</v>
      </c>
      <c r="L528" s="129"/>
      <c r="M528" s="127" t="s">
        <v>757</v>
      </c>
      <c r="N528" s="127" t="s">
        <v>1641</v>
      </c>
      <c r="O528" s="127" t="s">
        <v>1427</v>
      </c>
      <c r="P528" s="127">
        <v>0</v>
      </c>
      <c r="Q528" s="127">
        <v>0</v>
      </c>
      <c r="R528" s="127">
        <v>0</v>
      </c>
      <c r="S528" s="127">
        <v>0</v>
      </c>
      <c r="T528" s="127">
        <v>2</v>
      </c>
      <c r="U528" s="127" t="s">
        <v>1529</v>
      </c>
      <c r="V528" s="127" t="s">
        <v>548</v>
      </c>
      <c r="W528" s="127">
        <v>0</v>
      </c>
      <c r="X528" s="127">
        <v>0</v>
      </c>
      <c r="Y528" s="127">
        <v>0</v>
      </c>
      <c r="Z528" s="127">
        <v>0</v>
      </c>
      <c r="AA528" s="127" t="s">
        <v>2511</v>
      </c>
      <c r="AB528" s="131" t="s">
        <v>705</v>
      </c>
      <c r="AC528" s="127" t="s">
        <v>2155</v>
      </c>
      <c r="AD528" s="131" t="s">
        <v>340</v>
      </c>
      <c r="AE528" s="131" t="e">
        <v>#N/A</v>
      </c>
      <c r="AF528" s="131" t="e">
        <v>#N/A</v>
      </c>
      <c r="AG528" s="131" t="e">
        <v>#REF!</v>
      </c>
    </row>
    <row r="529" spans="1:33" s="131" customFormat="1" ht="18" customHeight="1" x14ac:dyDescent="0.25">
      <c r="A529" s="125">
        <v>528</v>
      </c>
      <c r="B529" s="126" t="s">
        <v>555</v>
      </c>
      <c r="C529" s="126" t="s">
        <v>3111</v>
      </c>
      <c r="D529" s="126" t="s">
        <v>2665</v>
      </c>
      <c r="E529" s="127" t="s">
        <v>340</v>
      </c>
      <c r="F529" s="128" t="s">
        <v>2410</v>
      </c>
      <c r="G529" s="128" t="s">
        <v>3290</v>
      </c>
      <c r="H529" s="125"/>
      <c r="I529" s="125"/>
      <c r="J529" s="132" t="s">
        <v>1641</v>
      </c>
      <c r="K529" s="130" t="s">
        <v>239</v>
      </c>
      <c r="L529" s="129"/>
      <c r="M529" s="127" t="s">
        <v>757</v>
      </c>
      <c r="N529" s="127" t="s">
        <v>1641</v>
      </c>
      <c r="O529" s="127" t="s">
        <v>1427</v>
      </c>
      <c r="P529" s="127">
        <v>0</v>
      </c>
      <c r="Q529" s="127">
        <v>0</v>
      </c>
      <c r="R529" s="127">
        <v>0</v>
      </c>
      <c r="S529" s="127">
        <v>0</v>
      </c>
      <c r="T529" s="127">
        <v>2</v>
      </c>
      <c r="U529" s="127" t="s">
        <v>1472</v>
      </c>
      <c r="V529" s="127" t="s">
        <v>555</v>
      </c>
      <c r="W529" s="127" t="s">
        <v>1472</v>
      </c>
      <c r="X529" s="127" t="s">
        <v>555</v>
      </c>
      <c r="Y529" s="127" t="s">
        <v>1570</v>
      </c>
      <c r="Z529" s="127">
        <v>0</v>
      </c>
      <c r="AA529" s="127" t="s">
        <v>2511</v>
      </c>
      <c r="AB529" s="131" t="s">
        <v>706</v>
      </c>
      <c r="AC529" s="127" t="s">
        <v>2292</v>
      </c>
      <c r="AD529" s="131" t="s">
        <v>340</v>
      </c>
      <c r="AE529" s="131" t="s">
        <v>239</v>
      </c>
      <c r="AF529" s="131" t="b">
        <v>1</v>
      </c>
      <c r="AG529" s="131" t="e">
        <v>#REF!</v>
      </c>
    </row>
    <row r="530" spans="1:33" s="131" customFormat="1" ht="18" customHeight="1" x14ac:dyDescent="0.25">
      <c r="A530" s="125">
        <v>529</v>
      </c>
      <c r="B530" s="126" t="s">
        <v>569</v>
      </c>
      <c r="C530" s="126" t="s">
        <v>3112</v>
      </c>
      <c r="D530" s="126" t="s">
        <v>3069</v>
      </c>
      <c r="E530" s="127" t="s">
        <v>340</v>
      </c>
      <c r="F530" s="128"/>
      <c r="G530" s="128" t="s">
        <v>3290</v>
      </c>
      <c r="H530" s="125" t="s">
        <v>1325</v>
      </c>
      <c r="I530" s="125"/>
      <c r="J530" s="129"/>
      <c r="K530" s="130"/>
      <c r="L530" s="129"/>
      <c r="M530" s="127" t="s">
        <v>759</v>
      </c>
      <c r="N530" s="127" t="s">
        <v>1639</v>
      </c>
      <c r="O530" s="127" t="s">
        <v>1427</v>
      </c>
      <c r="P530" s="127">
        <v>0</v>
      </c>
      <c r="Q530" s="127">
        <v>0</v>
      </c>
      <c r="R530" s="127">
        <v>0</v>
      </c>
      <c r="S530" s="127">
        <v>0</v>
      </c>
      <c r="T530" s="127">
        <v>2</v>
      </c>
      <c r="U530" s="127" t="s">
        <v>1525</v>
      </c>
      <c r="V530" s="127" t="s">
        <v>569</v>
      </c>
      <c r="W530" s="127">
        <v>0</v>
      </c>
      <c r="X530" s="127">
        <v>0</v>
      </c>
      <c r="Y530" s="127">
        <v>0</v>
      </c>
      <c r="Z530" s="127">
        <v>0</v>
      </c>
      <c r="AA530" s="127" t="s">
        <v>2511</v>
      </c>
      <c r="AB530" s="131" t="s">
        <v>707</v>
      </c>
      <c r="AC530" s="127" t="s">
        <v>2156</v>
      </c>
      <c r="AD530" s="131" t="s">
        <v>340</v>
      </c>
      <c r="AE530" s="131" t="e">
        <v>#N/A</v>
      </c>
      <c r="AF530" s="131" t="e">
        <v>#N/A</v>
      </c>
      <c r="AG530" s="131" t="e">
        <v>#REF!</v>
      </c>
    </row>
    <row r="531" spans="1:33" s="131" customFormat="1" ht="18" customHeight="1" x14ac:dyDescent="0.25">
      <c r="A531" s="125">
        <v>530</v>
      </c>
      <c r="B531" s="126" t="s">
        <v>560</v>
      </c>
      <c r="C531" s="126" t="s">
        <v>3113</v>
      </c>
      <c r="D531" s="126" t="s">
        <v>3082</v>
      </c>
      <c r="E531" s="127" t="s">
        <v>813</v>
      </c>
      <c r="F531" s="128"/>
      <c r="G531" s="128" t="s">
        <v>3290</v>
      </c>
      <c r="H531" s="125"/>
      <c r="I531" s="125"/>
      <c r="J531" s="129" t="s">
        <v>1641</v>
      </c>
      <c r="K531" s="130"/>
      <c r="L531" s="129"/>
      <c r="M531" s="127" t="s">
        <v>757</v>
      </c>
      <c r="N531" s="127" t="s">
        <v>1641</v>
      </c>
      <c r="O531" s="127" t="s">
        <v>1427</v>
      </c>
      <c r="P531" s="127">
        <v>0</v>
      </c>
      <c r="Q531" s="127">
        <v>0</v>
      </c>
      <c r="R531" s="127">
        <v>0</v>
      </c>
      <c r="S531" s="127">
        <v>0</v>
      </c>
      <c r="T531" s="127">
        <v>2</v>
      </c>
      <c r="U531" s="127" t="s">
        <v>1524</v>
      </c>
      <c r="V531" s="127" t="s">
        <v>560</v>
      </c>
      <c r="W531" s="127" t="s">
        <v>1526</v>
      </c>
      <c r="X531" s="127" t="s">
        <v>560</v>
      </c>
      <c r="Y531" s="127" t="s">
        <v>1570</v>
      </c>
      <c r="Z531" s="127">
        <v>0</v>
      </c>
      <c r="AA531" s="127" t="s">
        <v>2511</v>
      </c>
      <c r="AB531" s="131" t="s">
        <v>708</v>
      </c>
      <c r="AC531" s="127" t="s">
        <v>2157</v>
      </c>
      <c r="AD531" s="131" t="s">
        <v>813</v>
      </c>
      <c r="AE531" s="131" t="e">
        <v>#N/A</v>
      </c>
      <c r="AF531" s="131" t="e">
        <v>#N/A</v>
      </c>
      <c r="AG531" s="131" t="e">
        <v>#REF!</v>
      </c>
    </row>
    <row r="532" spans="1:33" s="131" customFormat="1" ht="18" customHeight="1" x14ac:dyDescent="0.25">
      <c r="A532" s="125">
        <v>531</v>
      </c>
      <c r="B532" s="126" t="s">
        <v>556</v>
      </c>
      <c r="C532" s="126" t="s">
        <v>3114</v>
      </c>
      <c r="D532" s="126" t="s">
        <v>3069</v>
      </c>
      <c r="E532" s="127" t="s">
        <v>340</v>
      </c>
      <c r="F532" s="128"/>
      <c r="G532" s="128" t="s">
        <v>3290</v>
      </c>
      <c r="H532" s="125"/>
      <c r="I532" s="125"/>
      <c r="J532" s="132" t="s">
        <v>1641</v>
      </c>
      <c r="K532" s="130"/>
      <c r="L532" s="129"/>
      <c r="M532" s="127" t="s">
        <v>757</v>
      </c>
      <c r="N532" s="127" t="s">
        <v>1641</v>
      </c>
      <c r="O532" s="127" t="s">
        <v>1454</v>
      </c>
      <c r="P532" s="127">
        <v>0</v>
      </c>
      <c r="Q532" s="127">
        <v>0</v>
      </c>
      <c r="R532" s="127">
        <v>0</v>
      </c>
      <c r="S532" s="127">
        <v>0</v>
      </c>
      <c r="T532" s="127">
        <v>0</v>
      </c>
      <c r="U532" s="127">
        <v>0</v>
      </c>
      <c r="V532" s="127">
        <v>0</v>
      </c>
      <c r="W532" s="127" t="s">
        <v>1472</v>
      </c>
      <c r="X532" s="127" t="s">
        <v>556</v>
      </c>
      <c r="Y532" s="127" t="s">
        <v>1454</v>
      </c>
      <c r="Z532" s="127">
        <v>0</v>
      </c>
      <c r="AA532" s="127" t="s">
        <v>2511</v>
      </c>
      <c r="AB532" s="131" t="s">
        <v>709</v>
      </c>
      <c r="AC532" s="127" t="s">
        <v>2158</v>
      </c>
      <c r="AD532" s="131" t="s">
        <v>340</v>
      </c>
      <c r="AE532" s="131" t="e">
        <v>#N/A</v>
      </c>
      <c r="AF532" s="131" t="e">
        <v>#N/A</v>
      </c>
      <c r="AG532" s="131" t="e">
        <v>#REF!</v>
      </c>
    </row>
    <row r="533" spans="1:33" s="131" customFormat="1" ht="18" customHeight="1" x14ac:dyDescent="0.25">
      <c r="A533" s="125">
        <v>532</v>
      </c>
      <c r="B533" s="126" t="s">
        <v>557</v>
      </c>
      <c r="C533" s="126" t="s">
        <v>3115</v>
      </c>
      <c r="D533" s="126" t="s">
        <v>3071</v>
      </c>
      <c r="E533" s="127" t="s">
        <v>813</v>
      </c>
      <c r="F533" s="128" t="s">
        <v>2410</v>
      </c>
      <c r="G533" s="128" t="s">
        <v>3294</v>
      </c>
      <c r="H533" s="125"/>
      <c r="I533" s="125"/>
      <c r="J533" s="132" t="s">
        <v>1641</v>
      </c>
      <c r="K533" s="130" t="s">
        <v>252</v>
      </c>
      <c r="L533" s="129"/>
      <c r="M533" s="127" t="s">
        <v>757</v>
      </c>
      <c r="N533" s="127" t="s">
        <v>1641</v>
      </c>
      <c r="O533" s="127" t="s">
        <v>1427</v>
      </c>
      <c r="P533" s="127">
        <v>0</v>
      </c>
      <c r="Q533" s="127">
        <v>0</v>
      </c>
      <c r="R533" s="127">
        <v>0</v>
      </c>
      <c r="S533" s="127">
        <v>0</v>
      </c>
      <c r="T533" s="127">
        <v>2</v>
      </c>
      <c r="U533" s="127" t="s">
        <v>2370</v>
      </c>
      <c r="V533" s="127" t="s">
        <v>557</v>
      </c>
      <c r="W533" s="127" t="s">
        <v>1524</v>
      </c>
      <c r="X533" s="127" t="s">
        <v>557</v>
      </c>
      <c r="Y533" s="127" t="s">
        <v>1570</v>
      </c>
      <c r="Z533" s="127">
        <v>0</v>
      </c>
      <c r="AA533" s="127" t="s">
        <v>2511</v>
      </c>
      <c r="AB533" s="131" t="s">
        <v>710</v>
      </c>
      <c r="AC533" s="127" t="s">
        <v>2293</v>
      </c>
      <c r="AD533" s="131" t="s">
        <v>813</v>
      </c>
      <c r="AE533" s="131" t="s">
        <v>252</v>
      </c>
      <c r="AF533" s="131" t="b">
        <v>1</v>
      </c>
      <c r="AG533" s="131" t="e">
        <v>#REF!</v>
      </c>
    </row>
    <row r="534" spans="1:33" s="131" customFormat="1" ht="15.75" x14ac:dyDescent="0.25">
      <c r="A534" s="125">
        <v>533</v>
      </c>
      <c r="B534" s="126" t="s">
        <v>577</v>
      </c>
      <c r="C534" s="126" t="s">
        <v>3116</v>
      </c>
      <c r="D534" s="126" t="s">
        <v>3082</v>
      </c>
      <c r="E534" s="127" t="s">
        <v>340</v>
      </c>
      <c r="F534" s="128" t="s">
        <v>2410</v>
      </c>
      <c r="G534" s="128" t="s">
        <v>3294</v>
      </c>
      <c r="H534" s="125" t="s">
        <v>927</v>
      </c>
      <c r="I534" s="125"/>
      <c r="J534" s="129"/>
      <c r="K534" s="130" t="s">
        <v>256</v>
      </c>
      <c r="L534" s="129"/>
      <c r="M534" s="127" t="s">
        <v>759</v>
      </c>
      <c r="N534" s="127" t="s">
        <v>1639</v>
      </c>
      <c r="O534" s="127" t="s">
        <v>1427</v>
      </c>
      <c r="P534" s="127">
        <v>0</v>
      </c>
      <c r="Q534" s="127">
        <v>0</v>
      </c>
      <c r="R534" s="127">
        <v>0</v>
      </c>
      <c r="S534" s="127">
        <v>0</v>
      </c>
      <c r="T534" s="127">
        <v>2</v>
      </c>
      <c r="U534" s="127" t="s">
        <v>1593</v>
      </c>
      <c r="V534" s="127" t="s">
        <v>577</v>
      </c>
      <c r="W534" s="127">
        <v>0</v>
      </c>
      <c r="X534" s="127">
        <v>0</v>
      </c>
      <c r="Y534" s="127">
        <v>0</v>
      </c>
      <c r="Z534" s="127">
        <v>0</v>
      </c>
      <c r="AA534" s="127" t="s">
        <v>2511</v>
      </c>
      <c r="AB534" s="131" t="s">
        <v>711</v>
      </c>
      <c r="AC534" s="127" t="s">
        <v>2159</v>
      </c>
      <c r="AD534" s="131" t="s">
        <v>340</v>
      </c>
      <c r="AE534" s="131" t="s">
        <v>256</v>
      </c>
      <c r="AF534" s="131" t="b">
        <v>1</v>
      </c>
      <c r="AG534" s="131" t="e">
        <v>#REF!</v>
      </c>
    </row>
    <row r="535" spans="1:33" s="131" customFormat="1" ht="15.75" x14ac:dyDescent="0.25">
      <c r="A535" s="125">
        <v>534</v>
      </c>
      <c r="B535" s="133" t="s">
        <v>744</v>
      </c>
      <c r="C535" s="126" t="s">
        <v>3117</v>
      </c>
      <c r="D535" s="126" t="s">
        <v>3082</v>
      </c>
      <c r="E535" s="127" t="s">
        <v>340</v>
      </c>
      <c r="F535" s="128" t="s">
        <v>2410</v>
      </c>
      <c r="G535" s="128" t="s">
        <v>3294</v>
      </c>
      <c r="H535" s="125" t="s">
        <v>981</v>
      </c>
      <c r="I535" s="125"/>
      <c r="J535" s="129"/>
      <c r="K535" s="130" t="s">
        <v>251</v>
      </c>
      <c r="L535" s="129"/>
      <c r="M535" s="127" t="s">
        <v>759</v>
      </c>
      <c r="N535" s="127" t="s">
        <v>1639</v>
      </c>
      <c r="O535" s="127" t="s">
        <v>1427</v>
      </c>
      <c r="P535" s="127">
        <v>0</v>
      </c>
      <c r="Q535" s="127">
        <v>0</v>
      </c>
      <c r="R535" s="127">
        <v>0</v>
      </c>
      <c r="S535" s="127">
        <v>0</v>
      </c>
      <c r="T535" s="127">
        <v>2</v>
      </c>
      <c r="U535" s="127" t="s">
        <v>2369</v>
      </c>
      <c r="V535" s="127" t="s">
        <v>744</v>
      </c>
      <c r="W535" s="127" t="s">
        <v>1527</v>
      </c>
      <c r="X535" s="127" t="s">
        <v>744</v>
      </c>
      <c r="Y535" s="127" t="s">
        <v>1571</v>
      </c>
      <c r="Z535" s="127">
        <v>0</v>
      </c>
      <c r="AA535" s="127" t="s">
        <v>2511</v>
      </c>
      <c r="AB535" s="131" t="s">
        <v>745</v>
      </c>
      <c r="AC535" s="127" t="s">
        <v>2294</v>
      </c>
      <c r="AD535" s="131" t="s">
        <v>340</v>
      </c>
      <c r="AE535" s="131" t="s">
        <v>251</v>
      </c>
      <c r="AF535" s="131" t="b">
        <v>1</v>
      </c>
      <c r="AG535" s="131" t="e">
        <v>#REF!</v>
      </c>
    </row>
    <row r="536" spans="1:33" s="131" customFormat="1" ht="15.75" x14ac:dyDescent="0.25">
      <c r="A536" s="125">
        <v>535</v>
      </c>
      <c r="B536" s="133" t="s">
        <v>746</v>
      </c>
      <c r="C536" s="126" t="s">
        <v>3118</v>
      </c>
      <c r="D536" s="126" t="s">
        <v>3074</v>
      </c>
      <c r="E536" s="127" t="s">
        <v>340</v>
      </c>
      <c r="F536" s="128" t="s">
        <v>2410</v>
      </c>
      <c r="G536" s="128" t="s">
        <v>3294</v>
      </c>
      <c r="H536" s="125" t="s">
        <v>986</v>
      </c>
      <c r="I536" s="125"/>
      <c r="J536" s="129"/>
      <c r="K536" s="130" t="s">
        <v>260</v>
      </c>
      <c r="L536" s="129"/>
      <c r="M536" s="127" t="s">
        <v>759</v>
      </c>
      <c r="N536" s="127" t="s">
        <v>1639</v>
      </c>
      <c r="O536" s="127" t="s">
        <v>1427</v>
      </c>
      <c r="P536" s="127">
        <v>0</v>
      </c>
      <c r="Q536" s="127">
        <v>0</v>
      </c>
      <c r="R536" s="127">
        <v>0</v>
      </c>
      <c r="S536" s="127">
        <v>0</v>
      </c>
      <c r="T536" s="127">
        <v>2</v>
      </c>
      <c r="U536" s="127" t="s">
        <v>1525</v>
      </c>
      <c r="V536" s="127" t="s">
        <v>746</v>
      </c>
      <c r="W536" s="127" t="s">
        <v>1525</v>
      </c>
      <c r="X536" s="127" t="s">
        <v>746</v>
      </c>
      <c r="Y536" s="127" t="s">
        <v>1571</v>
      </c>
      <c r="Z536" s="127">
        <v>0</v>
      </c>
      <c r="AA536" s="127" t="s">
        <v>2511</v>
      </c>
      <c r="AB536" s="131" t="s">
        <v>747</v>
      </c>
      <c r="AC536" s="127" t="s">
        <v>2160</v>
      </c>
      <c r="AD536" s="131" t="s">
        <v>340</v>
      </c>
      <c r="AE536" s="131" t="s">
        <v>260</v>
      </c>
      <c r="AF536" s="131" t="b">
        <v>1</v>
      </c>
      <c r="AG536" s="131" t="e">
        <v>#REF!</v>
      </c>
    </row>
    <row r="537" spans="1:33" s="131" customFormat="1" ht="18" customHeight="1" x14ac:dyDescent="0.25">
      <c r="A537" s="125">
        <v>536</v>
      </c>
      <c r="B537" s="126" t="s">
        <v>851</v>
      </c>
      <c r="C537" s="126" t="s">
        <v>3119</v>
      </c>
      <c r="D537" s="126" t="s">
        <v>3082</v>
      </c>
      <c r="E537" s="127" t="s">
        <v>340</v>
      </c>
      <c r="F537" s="128" t="s">
        <v>2410</v>
      </c>
      <c r="G537" s="128" t="s">
        <v>3294</v>
      </c>
      <c r="H537" s="125"/>
      <c r="I537" s="125"/>
      <c r="J537" s="129" t="s">
        <v>1641</v>
      </c>
      <c r="K537" s="130" t="s">
        <v>251</v>
      </c>
      <c r="L537" s="129"/>
      <c r="M537" s="127" t="s">
        <v>759</v>
      </c>
      <c r="N537" s="127" t="s">
        <v>1641</v>
      </c>
      <c r="O537" s="127" t="s">
        <v>1427</v>
      </c>
      <c r="P537" s="127">
        <v>0</v>
      </c>
      <c r="Q537" s="127">
        <v>0</v>
      </c>
      <c r="R537" s="127">
        <v>0</v>
      </c>
      <c r="S537" s="127">
        <v>0</v>
      </c>
      <c r="T537" s="127">
        <v>2</v>
      </c>
      <c r="U537" s="127" t="s">
        <v>2369</v>
      </c>
      <c r="V537" s="127" t="s">
        <v>851</v>
      </c>
      <c r="W537" s="127">
        <v>0</v>
      </c>
      <c r="X537" s="127">
        <v>0</v>
      </c>
      <c r="Y537" s="127">
        <v>0</v>
      </c>
      <c r="Z537" s="127">
        <v>0</v>
      </c>
      <c r="AA537" s="127" t="s">
        <v>2511</v>
      </c>
      <c r="AB537" s="131" t="s">
        <v>819</v>
      </c>
      <c r="AC537" s="127" t="s">
        <v>2295</v>
      </c>
      <c r="AD537" s="131" t="s">
        <v>340</v>
      </c>
      <c r="AE537" s="131" t="s">
        <v>251</v>
      </c>
      <c r="AF537" s="131" t="b">
        <v>1</v>
      </c>
      <c r="AG537" s="131" t="e">
        <v>#REF!</v>
      </c>
    </row>
    <row r="538" spans="1:33" s="131" customFormat="1" ht="18" customHeight="1" x14ac:dyDescent="0.25">
      <c r="A538" s="125">
        <v>537</v>
      </c>
      <c r="B538" s="126" t="s">
        <v>852</v>
      </c>
      <c r="C538" s="126" t="s">
        <v>3120</v>
      </c>
      <c r="D538" s="126" t="s">
        <v>3069</v>
      </c>
      <c r="E538" s="127" t="s">
        <v>340</v>
      </c>
      <c r="F538" s="128" t="s">
        <v>2410</v>
      </c>
      <c r="G538" s="128" t="s">
        <v>3294</v>
      </c>
      <c r="H538" s="125"/>
      <c r="I538" s="125"/>
      <c r="J538" s="129" t="s">
        <v>1641</v>
      </c>
      <c r="K538" s="130" t="s">
        <v>386</v>
      </c>
      <c r="L538" s="129"/>
      <c r="M538" s="127" t="s">
        <v>759</v>
      </c>
      <c r="N538" s="127" t="s">
        <v>1641</v>
      </c>
      <c r="O538" s="127" t="s">
        <v>1427</v>
      </c>
      <c r="P538" s="127">
        <v>0</v>
      </c>
      <c r="Q538" s="127">
        <v>0</v>
      </c>
      <c r="R538" s="127">
        <v>0</v>
      </c>
      <c r="S538" s="127">
        <v>0</v>
      </c>
      <c r="T538" s="127">
        <v>2</v>
      </c>
      <c r="U538" s="127" t="s">
        <v>1527</v>
      </c>
      <c r="V538" s="127" t="s">
        <v>852</v>
      </c>
      <c r="W538" s="127">
        <v>0</v>
      </c>
      <c r="X538" s="127">
        <v>0</v>
      </c>
      <c r="Y538" s="127">
        <v>0</v>
      </c>
      <c r="Z538" s="127">
        <v>0</v>
      </c>
      <c r="AA538" s="127" t="s">
        <v>2511</v>
      </c>
      <c r="AB538" s="131" t="s">
        <v>820</v>
      </c>
      <c r="AC538" s="127" t="s">
        <v>2161</v>
      </c>
      <c r="AD538" s="131" t="s">
        <v>340</v>
      </c>
      <c r="AE538" s="131" t="s">
        <v>360</v>
      </c>
      <c r="AF538" s="131" t="b">
        <v>0</v>
      </c>
      <c r="AG538" s="131" t="e">
        <v>#REF!</v>
      </c>
    </row>
    <row r="539" spans="1:33" s="131" customFormat="1" ht="18" customHeight="1" x14ac:dyDescent="0.25">
      <c r="A539" s="125">
        <v>538</v>
      </c>
      <c r="B539" s="126" t="s">
        <v>853</v>
      </c>
      <c r="C539" s="126" t="s">
        <v>3121</v>
      </c>
      <c r="D539" s="126" t="s">
        <v>3071</v>
      </c>
      <c r="E539" s="127" t="s">
        <v>813</v>
      </c>
      <c r="F539" s="128" t="s">
        <v>2410</v>
      </c>
      <c r="G539" s="128" t="s">
        <v>3294</v>
      </c>
      <c r="H539" s="125" t="s">
        <v>2394</v>
      </c>
      <c r="I539" s="125"/>
      <c r="J539" s="132"/>
      <c r="K539" s="130" t="s">
        <v>252</v>
      </c>
      <c r="L539" s="129"/>
      <c r="M539" s="127" t="s">
        <v>759</v>
      </c>
      <c r="N539" s="127" t="s">
        <v>1639</v>
      </c>
      <c r="O539" s="127" t="s">
        <v>1427</v>
      </c>
      <c r="P539" s="127">
        <v>0</v>
      </c>
      <c r="Q539" s="127">
        <v>0</v>
      </c>
      <c r="R539" s="127">
        <v>0</v>
      </c>
      <c r="S539" s="127">
        <v>0</v>
      </c>
      <c r="T539" s="127">
        <v>2</v>
      </c>
      <c r="U539" s="127" t="s">
        <v>1595</v>
      </c>
      <c r="V539" s="127" t="s">
        <v>853</v>
      </c>
      <c r="W539" s="127">
        <v>0</v>
      </c>
      <c r="X539" s="127">
        <v>0</v>
      </c>
      <c r="Y539" s="127">
        <v>0</v>
      </c>
      <c r="Z539" s="127">
        <v>0</v>
      </c>
      <c r="AA539" s="127" t="s">
        <v>2511</v>
      </c>
      <c r="AB539" s="131" t="s">
        <v>1655</v>
      </c>
      <c r="AC539" s="127" t="s">
        <v>2296</v>
      </c>
      <c r="AD539" s="131" t="s">
        <v>813</v>
      </c>
      <c r="AE539" s="131" t="s">
        <v>252</v>
      </c>
      <c r="AF539" s="131" t="b">
        <v>1</v>
      </c>
      <c r="AG539" s="131" t="e">
        <v>#REF!</v>
      </c>
    </row>
    <row r="540" spans="1:33" s="131" customFormat="1" ht="18" customHeight="1" x14ac:dyDescent="0.25">
      <c r="A540" s="125">
        <v>539</v>
      </c>
      <c r="B540" s="126" t="s">
        <v>854</v>
      </c>
      <c r="C540" s="126" t="s">
        <v>3122</v>
      </c>
      <c r="D540" s="126" t="s">
        <v>3074</v>
      </c>
      <c r="E540" s="127" t="s">
        <v>340</v>
      </c>
      <c r="F540" s="128" t="s">
        <v>2410</v>
      </c>
      <c r="G540" s="128" t="s">
        <v>3294</v>
      </c>
      <c r="H540" s="125"/>
      <c r="I540" s="125"/>
      <c r="J540" s="129" t="s">
        <v>1641</v>
      </c>
      <c r="K540" s="130" t="s">
        <v>261</v>
      </c>
      <c r="L540" s="129"/>
      <c r="M540" s="127" t="s">
        <v>759</v>
      </c>
      <c r="N540" s="127" t="s">
        <v>1641</v>
      </c>
      <c r="O540" s="127" t="s">
        <v>1427</v>
      </c>
      <c r="P540" s="127">
        <v>0</v>
      </c>
      <c r="Q540" s="127">
        <v>0</v>
      </c>
      <c r="R540" s="127">
        <v>0</v>
      </c>
      <c r="S540" s="127">
        <v>0</v>
      </c>
      <c r="T540" s="127">
        <v>2</v>
      </c>
      <c r="U540" s="127" t="s">
        <v>1596</v>
      </c>
      <c r="V540" s="127" t="s">
        <v>854</v>
      </c>
      <c r="W540" s="127" t="s">
        <v>1596</v>
      </c>
      <c r="X540" s="127" t="s">
        <v>854</v>
      </c>
      <c r="Y540" s="127" t="s">
        <v>1570</v>
      </c>
      <c r="Z540" s="127">
        <v>0</v>
      </c>
      <c r="AA540" s="127" t="s">
        <v>2511</v>
      </c>
      <c r="AB540" s="131" t="s">
        <v>1656</v>
      </c>
      <c r="AC540" s="127" t="s">
        <v>2297</v>
      </c>
      <c r="AD540" s="131" t="s">
        <v>340</v>
      </c>
      <c r="AE540" s="131" t="s">
        <v>251</v>
      </c>
      <c r="AF540" s="131" t="b">
        <v>0</v>
      </c>
      <c r="AG540" s="131" t="e">
        <v>#REF!</v>
      </c>
    </row>
    <row r="541" spans="1:33" s="131" customFormat="1" ht="18" customHeight="1" x14ac:dyDescent="0.25">
      <c r="A541" s="125">
        <v>540</v>
      </c>
      <c r="B541" s="126" t="s">
        <v>2327</v>
      </c>
      <c r="C541" s="126" t="s">
        <v>3123</v>
      </c>
      <c r="D541" s="126" t="s">
        <v>3071</v>
      </c>
      <c r="E541" s="127" t="s">
        <v>813</v>
      </c>
      <c r="F541" s="134" t="s">
        <v>2410</v>
      </c>
      <c r="G541" s="128" t="s">
        <v>3294</v>
      </c>
      <c r="H541" s="125"/>
      <c r="I541" s="125"/>
      <c r="J541" s="132" t="s">
        <v>1641</v>
      </c>
      <c r="K541" s="130" t="s">
        <v>381</v>
      </c>
      <c r="L541" s="129"/>
      <c r="M541" s="127" t="s">
        <v>759</v>
      </c>
      <c r="N541" s="127" t="s">
        <v>1641</v>
      </c>
      <c r="O541" s="127" t="s">
        <v>1427</v>
      </c>
      <c r="P541" s="127">
        <v>0</v>
      </c>
      <c r="Q541" s="127">
        <v>0</v>
      </c>
      <c r="R541" s="127">
        <v>0</v>
      </c>
      <c r="S541" s="127">
        <v>0</v>
      </c>
      <c r="T541" s="127">
        <v>2</v>
      </c>
      <c r="U541" s="127" t="s">
        <v>381</v>
      </c>
      <c r="V541" s="127" t="s">
        <v>2327</v>
      </c>
      <c r="W541" s="127">
        <v>0</v>
      </c>
      <c r="X541" s="127">
        <v>0</v>
      </c>
      <c r="Y541" s="127">
        <v>0</v>
      </c>
      <c r="Z541" s="127">
        <v>0</v>
      </c>
      <c r="AA541" s="127" t="s">
        <v>2511</v>
      </c>
      <c r="AB541" s="131" t="s">
        <v>2338</v>
      </c>
      <c r="AC541" s="127"/>
      <c r="AD541" s="131" t="s">
        <v>813</v>
      </c>
      <c r="AE541" s="131" t="e">
        <v>#N/A</v>
      </c>
      <c r="AF541" s="131" t="e">
        <v>#N/A</v>
      </c>
      <c r="AG541" s="131" t="e">
        <v>#REF!</v>
      </c>
    </row>
    <row r="542" spans="1:33" s="131" customFormat="1" ht="18" customHeight="1" x14ac:dyDescent="0.25">
      <c r="A542" s="125">
        <v>541</v>
      </c>
      <c r="B542" s="126" t="s">
        <v>2328</v>
      </c>
      <c r="C542" s="126" t="s">
        <v>3124</v>
      </c>
      <c r="D542" s="126" t="s">
        <v>3082</v>
      </c>
      <c r="E542" s="127" t="s">
        <v>813</v>
      </c>
      <c r="F542" s="134" t="s">
        <v>2410</v>
      </c>
      <c r="G542" s="128" t="s">
        <v>3294</v>
      </c>
      <c r="H542" s="125"/>
      <c r="I542" s="125"/>
      <c r="J542" s="132" t="s">
        <v>1641</v>
      </c>
      <c r="K542" s="130" t="s">
        <v>331</v>
      </c>
      <c r="L542" s="129"/>
      <c r="M542" s="127" t="s">
        <v>759</v>
      </c>
      <c r="N542" s="127" t="s">
        <v>1641</v>
      </c>
      <c r="O542" s="127" t="s">
        <v>1427</v>
      </c>
      <c r="P542" s="127">
        <v>0</v>
      </c>
      <c r="Q542" s="127">
        <v>0</v>
      </c>
      <c r="R542" s="127">
        <v>0</v>
      </c>
      <c r="S542" s="127">
        <v>0</v>
      </c>
      <c r="T542" s="127">
        <v>2</v>
      </c>
      <c r="U542" s="127" t="s">
        <v>331</v>
      </c>
      <c r="V542" s="127" t="s">
        <v>2328</v>
      </c>
      <c r="W542" s="127">
        <v>0</v>
      </c>
      <c r="X542" s="127">
        <v>0</v>
      </c>
      <c r="Y542" s="127">
        <v>0</v>
      </c>
      <c r="Z542" s="127">
        <v>0</v>
      </c>
      <c r="AA542" s="127" t="s">
        <v>2511</v>
      </c>
      <c r="AB542" s="131" t="s">
        <v>2339</v>
      </c>
      <c r="AC542" s="127"/>
      <c r="AD542" s="131" t="s">
        <v>813</v>
      </c>
      <c r="AE542" s="131" t="e">
        <v>#N/A</v>
      </c>
      <c r="AF542" s="131" t="e">
        <v>#N/A</v>
      </c>
      <c r="AG542" s="131" t="e">
        <v>#REF!</v>
      </c>
    </row>
    <row r="543" spans="1:33" s="131" customFormat="1" ht="18" customHeight="1" x14ac:dyDescent="0.25">
      <c r="A543" s="125">
        <v>542</v>
      </c>
      <c r="B543" s="126" t="s">
        <v>2332</v>
      </c>
      <c r="C543" s="126" t="s">
        <v>3125</v>
      </c>
      <c r="D543" s="126" t="s">
        <v>3082</v>
      </c>
      <c r="E543" s="127" t="s">
        <v>340</v>
      </c>
      <c r="F543" s="134" t="s">
        <v>2410</v>
      </c>
      <c r="G543" s="128" t="s">
        <v>3294</v>
      </c>
      <c r="H543" s="125"/>
      <c r="I543" s="125"/>
      <c r="J543" s="132" t="s">
        <v>1641</v>
      </c>
      <c r="K543" s="130" t="s">
        <v>251</v>
      </c>
      <c r="L543" s="129"/>
      <c r="M543" s="127" t="s">
        <v>759</v>
      </c>
      <c r="N543" s="127" t="s">
        <v>1641</v>
      </c>
      <c r="O543" s="127" t="s">
        <v>1427</v>
      </c>
      <c r="P543" s="127">
        <v>0</v>
      </c>
      <c r="Q543" s="127">
        <v>0</v>
      </c>
      <c r="R543" s="127">
        <v>0</v>
      </c>
      <c r="S543" s="127">
        <v>0</v>
      </c>
      <c r="T543" s="127">
        <v>2</v>
      </c>
      <c r="U543" s="127" t="s">
        <v>251</v>
      </c>
      <c r="V543" s="127" t="s">
        <v>2332</v>
      </c>
      <c r="W543" s="127">
        <v>0</v>
      </c>
      <c r="X543" s="127">
        <v>0</v>
      </c>
      <c r="Y543" s="127">
        <v>0</v>
      </c>
      <c r="Z543" s="127">
        <v>0</v>
      </c>
      <c r="AA543" s="127" t="s">
        <v>2511</v>
      </c>
      <c r="AB543" s="131" t="s">
        <v>2345</v>
      </c>
      <c r="AC543" s="127"/>
      <c r="AD543" s="131" t="s">
        <v>340</v>
      </c>
      <c r="AE543" s="131" t="e">
        <v>#N/A</v>
      </c>
      <c r="AF543" s="131" t="e">
        <v>#N/A</v>
      </c>
      <c r="AG543" s="131" t="e">
        <v>#REF!</v>
      </c>
    </row>
    <row r="544" spans="1:33" s="131" customFormat="1" ht="18" customHeight="1" x14ac:dyDescent="0.25">
      <c r="A544" s="125">
        <v>543</v>
      </c>
      <c r="B544" s="136" t="s">
        <v>1625</v>
      </c>
      <c r="C544" s="126" t="s">
        <v>3126</v>
      </c>
      <c r="D544" s="126" t="s">
        <v>3069</v>
      </c>
      <c r="E544" s="127" t="s">
        <v>340</v>
      </c>
      <c r="F544" s="134" t="s">
        <v>2410</v>
      </c>
      <c r="G544" s="128" t="s">
        <v>3294</v>
      </c>
      <c r="H544" s="125"/>
      <c r="I544" s="125"/>
      <c r="J544" s="132" t="s">
        <v>1641</v>
      </c>
      <c r="K544" s="130" t="s">
        <v>239</v>
      </c>
      <c r="L544" s="129"/>
      <c r="M544" s="127" t="s">
        <v>759</v>
      </c>
      <c r="N544" s="127" t="s">
        <v>1641</v>
      </c>
      <c r="O544" s="127" t="s">
        <v>1427</v>
      </c>
      <c r="P544" s="127">
        <v>0</v>
      </c>
      <c r="Q544" s="127">
        <v>0</v>
      </c>
      <c r="R544" s="127">
        <v>0</v>
      </c>
      <c r="S544" s="127">
        <v>0</v>
      </c>
      <c r="T544" s="127">
        <v>2</v>
      </c>
      <c r="U544" s="127" t="s">
        <v>239</v>
      </c>
      <c r="V544" s="127" t="s">
        <v>1625</v>
      </c>
      <c r="W544" s="127">
        <v>0</v>
      </c>
      <c r="X544" s="127">
        <v>0</v>
      </c>
      <c r="Y544" s="127">
        <v>0</v>
      </c>
      <c r="Z544" s="127">
        <v>0</v>
      </c>
      <c r="AA544" s="127" t="s">
        <v>2511</v>
      </c>
      <c r="AB544" s="131" t="s">
        <v>1696</v>
      </c>
      <c r="AC544" s="127" t="e">
        <v>#N/A</v>
      </c>
      <c r="AD544" s="131" t="s">
        <v>340</v>
      </c>
      <c r="AE544" s="131" t="s">
        <v>3297</v>
      </c>
      <c r="AF544" s="131" t="b">
        <v>0</v>
      </c>
      <c r="AG544" s="131" t="e">
        <v>#REF!</v>
      </c>
    </row>
    <row r="545" spans="1:33" s="131" customFormat="1" ht="18" customHeight="1" x14ac:dyDescent="0.25">
      <c r="A545" s="125">
        <v>544</v>
      </c>
      <c r="B545" s="136" t="s">
        <v>1713</v>
      </c>
      <c r="C545" s="126" t="s">
        <v>3127</v>
      </c>
      <c r="D545" s="126" t="s">
        <v>3069</v>
      </c>
      <c r="E545" s="127" t="s">
        <v>813</v>
      </c>
      <c r="F545" s="134" t="s">
        <v>2410</v>
      </c>
      <c r="G545" s="128" t="s">
        <v>3294</v>
      </c>
      <c r="H545" s="125"/>
      <c r="I545" s="125"/>
      <c r="J545" s="132" t="s">
        <v>1641</v>
      </c>
      <c r="K545" s="130" t="s">
        <v>530</v>
      </c>
      <c r="L545" s="129"/>
      <c r="M545" s="127" t="s">
        <v>759</v>
      </c>
      <c r="N545" s="127" t="s">
        <v>1641</v>
      </c>
      <c r="O545" s="127" t="s">
        <v>1427</v>
      </c>
      <c r="P545" s="127">
        <v>0</v>
      </c>
      <c r="Q545" s="127">
        <v>0</v>
      </c>
      <c r="R545" s="127">
        <v>0</v>
      </c>
      <c r="S545" s="127">
        <v>0</v>
      </c>
      <c r="T545" s="127">
        <v>2</v>
      </c>
      <c r="U545" s="127" t="s">
        <v>530</v>
      </c>
      <c r="V545" s="127" t="s">
        <v>1713</v>
      </c>
      <c r="W545" s="127">
        <v>0</v>
      </c>
      <c r="X545" s="127">
        <v>0</v>
      </c>
      <c r="Y545" s="127">
        <v>0</v>
      </c>
      <c r="Z545" s="127">
        <v>0</v>
      </c>
      <c r="AA545" s="127" t="s">
        <v>2511</v>
      </c>
      <c r="AB545" s="131" t="s">
        <v>1719</v>
      </c>
      <c r="AC545" s="127" t="e">
        <v>#N/A</v>
      </c>
      <c r="AD545" s="131" t="s">
        <v>813</v>
      </c>
      <c r="AE545" s="131" t="e">
        <v>#N/A</v>
      </c>
      <c r="AF545" s="131" t="e">
        <v>#N/A</v>
      </c>
      <c r="AG545" s="131" t="e">
        <v>#REF!</v>
      </c>
    </row>
    <row r="546" spans="1:33" s="131" customFormat="1" ht="15.75" x14ac:dyDescent="0.25">
      <c r="A546" s="125">
        <v>545</v>
      </c>
      <c r="B546" s="126" t="s">
        <v>2333</v>
      </c>
      <c r="C546" s="126" t="s">
        <v>3128</v>
      </c>
      <c r="D546" s="126" t="s">
        <v>3074</v>
      </c>
      <c r="E546" s="127" t="s">
        <v>340</v>
      </c>
      <c r="F546" s="134" t="s">
        <v>2410</v>
      </c>
      <c r="G546" s="128" t="s">
        <v>3294</v>
      </c>
      <c r="H546" s="125"/>
      <c r="I546" s="125"/>
      <c r="J546" s="132" t="s">
        <v>1641</v>
      </c>
      <c r="K546" s="130" t="s">
        <v>367</v>
      </c>
      <c r="L546" s="129"/>
      <c r="M546" s="127" t="s">
        <v>759</v>
      </c>
      <c r="N546" s="127" t="s">
        <v>1641</v>
      </c>
      <c r="O546" s="127" t="s">
        <v>1427</v>
      </c>
      <c r="P546" s="127">
        <v>0</v>
      </c>
      <c r="Q546" s="127">
        <v>0</v>
      </c>
      <c r="R546" s="127">
        <v>0</v>
      </c>
      <c r="S546" s="127">
        <v>0</v>
      </c>
      <c r="T546" s="127">
        <v>2</v>
      </c>
      <c r="U546" s="127" t="s">
        <v>367</v>
      </c>
      <c r="V546" s="127" t="s">
        <v>2333</v>
      </c>
      <c r="W546" s="127">
        <v>0</v>
      </c>
      <c r="X546" s="127">
        <v>0</v>
      </c>
      <c r="Y546" s="127">
        <v>0</v>
      </c>
      <c r="Z546" s="127">
        <v>0</v>
      </c>
      <c r="AA546" s="127" t="s">
        <v>2511</v>
      </c>
      <c r="AB546" s="131" t="s">
        <v>2346</v>
      </c>
      <c r="AC546" s="127"/>
      <c r="AD546" s="131" t="s">
        <v>340</v>
      </c>
      <c r="AE546" s="131" t="e">
        <v>#N/A</v>
      </c>
      <c r="AF546" s="131" t="e">
        <v>#N/A</v>
      </c>
      <c r="AG546" s="131" t="e">
        <v>#REF!</v>
      </c>
    </row>
    <row r="547" spans="1:33" s="131" customFormat="1" ht="18" customHeight="1" x14ac:dyDescent="0.25">
      <c r="A547" s="125">
        <v>546</v>
      </c>
      <c r="B547" s="126" t="s">
        <v>2355</v>
      </c>
      <c r="C547" s="126" t="s">
        <v>3129</v>
      </c>
      <c r="D547" s="126" t="s">
        <v>3074</v>
      </c>
      <c r="E547" s="127" t="s">
        <v>340</v>
      </c>
      <c r="F547" s="134" t="s">
        <v>2410</v>
      </c>
      <c r="G547" s="128" t="s">
        <v>3294</v>
      </c>
      <c r="H547" s="125"/>
      <c r="I547" s="125"/>
      <c r="J547" s="132" t="s">
        <v>1641</v>
      </c>
      <c r="K547" s="130" t="s">
        <v>254</v>
      </c>
      <c r="L547" s="129"/>
      <c r="M547" s="127" t="s">
        <v>759</v>
      </c>
      <c r="N547" s="127" t="s">
        <v>1641</v>
      </c>
      <c r="O547" s="127" t="s">
        <v>1427</v>
      </c>
      <c r="P547" s="127" t="e">
        <v>#N/A</v>
      </c>
      <c r="Q547" s="127">
        <v>0</v>
      </c>
      <c r="R547" s="127">
        <v>0</v>
      </c>
      <c r="S547" s="127">
        <v>0</v>
      </c>
      <c r="T547" s="127">
        <v>2</v>
      </c>
      <c r="U547" s="127" t="s">
        <v>254</v>
      </c>
      <c r="V547" s="127" t="s">
        <v>2355</v>
      </c>
      <c r="W547" s="127" t="e">
        <v>#N/A</v>
      </c>
      <c r="X547" s="127" t="e">
        <v>#N/A</v>
      </c>
      <c r="Y547" s="127" t="e">
        <v>#N/A</v>
      </c>
      <c r="Z547" s="127" t="e">
        <v>#N/A</v>
      </c>
      <c r="AA547" s="127" t="s">
        <v>2511</v>
      </c>
      <c r="AB547" s="131" t="s">
        <v>1681</v>
      </c>
      <c r="AC547" s="127"/>
      <c r="AD547" s="131" t="s">
        <v>340</v>
      </c>
      <c r="AE547" s="131" t="e">
        <v>#N/A</v>
      </c>
      <c r="AF547" s="131" t="e">
        <v>#N/A</v>
      </c>
      <c r="AG547" s="131" t="e">
        <v>#REF!</v>
      </c>
    </row>
    <row r="548" spans="1:33" s="131" customFormat="1" ht="18" customHeight="1" x14ac:dyDescent="0.25">
      <c r="A548" s="125">
        <v>547</v>
      </c>
      <c r="B548" s="137" t="s">
        <v>263</v>
      </c>
      <c r="C548" s="126" t="s">
        <v>3130</v>
      </c>
      <c r="D548" s="126" t="s">
        <v>3131</v>
      </c>
      <c r="E548" s="127" t="s">
        <v>8</v>
      </c>
      <c r="F548" s="128" t="s">
        <v>2411</v>
      </c>
      <c r="G548" s="128" t="s">
        <v>3290</v>
      </c>
      <c r="H548" s="125"/>
      <c r="I548" s="125"/>
      <c r="J548" s="132" t="s">
        <v>760</v>
      </c>
      <c r="K548" s="130"/>
      <c r="L548" s="129"/>
      <c r="M548" s="127" t="s">
        <v>760</v>
      </c>
      <c r="N548" s="127" t="s">
        <v>760</v>
      </c>
      <c r="O548" s="127" t="s">
        <v>1553</v>
      </c>
      <c r="P548" s="127" t="s">
        <v>1554</v>
      </c>
      <c r="Q548" s="127">
        <v>2</v>
      </c>
      <c r="R548" s="127" t="s">
        <v>1530</v>
      </c>
      <c r="S548" s="127" t="s">
        <v>263</v>
      </c>
      <c r="T548" s="127">
        <v>0</v>
      </c>
      <c r="U548" s="127">
        <v>0</v>
      </c>
      <c r="V548" s="127">
        <v>0</v>
      </c>
      <c r="W548" s="127">
        <v>0</v>
      </c>
      <c r="X548" s="127">
        <v>0</v>
      </c>
      <c r="Y548" s="127">
        <v>0</v>
      </c>
      <c r="Z548" s="127" t="s">
        <v>1568</v>
      </c>
      <c r="AA548" s="127" t="s">
        <v>2510</v>
      </c>
      <c r="AB548" s="131" t="s">
        <v>1336</v>
      </c>
      <c r="AC548" s="127" t="e">
        <v>#N/A</v>
      </c>
      <c r="AD548" s="131" t="s">
        <v>8</v>
      </c>
      <c r="AE548" s="131" t="e">
        <v>#N/A</v>
      </c>
      <c r="AF548" s="131" t="e">
        <v>#N/A</v>
      </c>
      <c r="AG548" s="131" t="e">
        <v>#REF!</v>
      </c>
    </row>
    <row r="549" spans="1:33" s="131" customFormat="1" ht="18" customHeight="1" x14ac:dyDescent="0.25">
      <c r="A549" s="125">
        <v>548</v>
      </c>
      <c r="B549" s="137" t="s">
        <v>264</v>
      </c>
      <c r="C549" s="126" t="s">
        <v>3132</v>
      </c>
      <c r="D549" s="126" t="s">
        <v>3131</v>
      </c>
      <c r="E549" s="127" t="s">
        <v>8</v>
      </c>
      <c r="F549" s="128" t="s">
        <v>2411</v>
      </c>
      <c r="G549" s="128" t="s">
        <v>3289</v>
      </c>
      <c r="H549" s="125"/>
      <c r="I549" s="125"/>
      <c r="J549" s="132"/>
      <c r="K549" s="130"/>
      <c r="L549" s="129"/>
      <c r="M549" s="127" t="s">
        <v>758</v>
      </c>
      <c r="N549" s="127" t="s">
        <v>765</v>
      </c>
      <c r="O549" s="127" t="s">
        <v>1532</v>
      </c>
      <c r="P549" s="127" t="s">
        <v>812</v>
      </c>
      <c r="Q549" s="127">
        <v>0</v>
      </c>
      <c r="R549" s="127">
        <v>0</v>
      </c>
      <c r="S549" s="127">
        <v>0</v>
      </c>
      <c r="T549" s="127">
        <v>0</v>
      </c>
      <c r="U549" s="127">
        <v>0</v>
      </c>
      <c r="V549" s="127">
        <v>0</v>
      </c>
      <c r="W549" s="127">
        <v>0</v>
      </c>
      <c r="X549" s="127">
        <v>0</v>
      </c>
      <c r="Y549" s="127">
        <v>0</v>
      </c>
      <c r="Z549" s="127">
        <v>0</v>
      </c>
      <c r="AA549" s="127" t="s">
        <v>2511</v>
      </c>
      <c r="AB549" s="131" t="s">
        <v>1337</v>
      </c>
      <c r="AC549" s="127" t="s">
        <v>2162</v>
      </c>
      <c r="AD549" s="131" t="s">
        <v>8</v>
      </c>
      <c r="AE549" s="131" t="e">
        <v>#N/A</v>
      </c>
      <c r="AF549" s="131" t="e">
        <v>#N/A</v>
      </c>
      <c r="AG549" s="131" t="e">
        <v>#REF!</v>
      </c>
    </row>
    <row r="550" spans="1:33" s="131" customFormat="1" ht="15.75" x14ac:dyDescent="0.25">
      <c r="A550" s="125">
        <v>549</v>
      </c>
      <c r="B550" s="137" t="s">
        <v>265</v>
      </c>
      <c r="C550" s="126" t="s">
        <v>3133</v>
      </c>
      <c r="D550" s="126" t="s">
        <v>3131</v>
      </c>
      <c r="E550" s="127" t="s">
        <v>8</v>
      </c>
      <c r="F550" s="128" t="s">
        <v>2521</v>
      </c>
      <c r="G550" s="128" t="s">
        <v>3290</v>
      </c>
      <c r="H550" s="125"/>
      <c r="I550" s="125"/>
      <c r="J550" s="132" t="s">
        <v>2520</v>
      </c>
      <c r="K550" s="130"/>
      <c r="L550" s="129"/>
      <c r="M550" s="127" t="s">
        <v>758</v>
      </c>
      <c r="N550" s="127" t="s">
        <v>2520</v>
      </c>
      <c r="O550" s="127" t="s">
        <v>1553</v>
      </c>
      <c r="P550" s="127" t="s">
        <v>1554</v>
      </c>
      <c r="Q550" s="127">
        <v>2</v>
      </c>
      <c r="R550" s="127" t="s">
        <v>1531</v>
      </c>
      <c r="S550" s="127" t="s">
        <v>265</v>
      </c>
      <c r="T550" s="127">
        <v>0</v>
      </c>
      <c r="U550" s="127">
        <v>0</v>
      </c>
      <c r="V550" s="127">
        <v>0</v>
      </c>
      <c r="W550" s="127">
        <v>0</v>
      </c>
      <c r="X550" s="127">
        <v>0</v>
      </c>
      <c r="Y550" s="127">
        <v>0</v>
      </c>
      <c r="Z550" s="127" t="s">
        <v>1568</v>
      </c>
      <c r="AA550" s="127" t="s">
        <v>2510</v>
      </c>
      <c r="AB550" s="131" t="s">
        <v>1338</v>
      </c>
      <c r="AC550" s="127" t="s">
        <v>2163</v>
      </c>
      <c r="AD550" s="131" t="s">
        <v>8</v>
      </c>
      <c r="AE550" s="131" t="e">
        <v>#N/A</v>
      </c>
      <c r="AF550" s="131" t="e">
        <v>#N/A</v>
      </c>
      <c r="AG550" s="131" t="e">
        <v>#REF!</v>
      </c>
    </row>
    <row r="551" spans="1:33" s="131" customFormat="1" ht="18" customHeight="1" x14ac:dyDescent="0.25">
      <c r="A551" s="125">
        <v>550</v>
      </c>
      <c r="B551" s="137" t="s">
        <v>266</v>
      </c>
      <c r="C551" s="126" t="s">
        <v>3134</v>
      </c>
      <c r="D551" s="126" t="s">
        <v>3131</v>
      </c>
      <c r="E551" s="127" t="s">
        <v>8</v>
      </c>
      <c r="F551" s="128" t="s">
        <v>2411</v>
      </c>
      <c r="G551" s="128" t="s">
        <v>3290</v>
      </c>
      <c r="H551" s="125" t="s">
        <v>1732</v>
      </c>
      <c r="I551" s="125"/>
      <c r="J551" s="129"/>
      <c r="K551" s="130"/>
      <c r="L551" s="129"/>
      <c r="M551" s="127" t="s">
        <v>759</v>
      </c>
      <c r="N551" s="127" t="s">
        <v>1639</v>
      </c>
      <c r="O551" s="127" t="s">
        <v>1553</v>
      </c>
      <c r="P551" s="127" t="s">
        <v>1554</v>
      </c>
      <c r="Q551" s="127">
        <v>2</v>
      </c>
      <c r="R551" s="127" t="s">
        <v>1532</v>
      </c>
      <c r="S551" s="127" t="s">
        <v>266</v>
      </c>
      <c r="T551" s="127">
        <v>0</v>
      </c>
      <c r="U551" s="127">
        <v>0</v>
      </c>
      <c r="V551" s="127">
        <v>0</v>
      </c>
      <c r="W551" s="127">
        <v>0</v>
      </c>
      <c r="X551" s="127">
        <v>0</v>
      </c>
      <c r="Y551" s="127">
        <v>0</v>
      </c>
      <c r="Z551" s="127" t="s">
        <v>1568</v>
      </c>
      <c r="AA551" s="127" t="s">
        <v>2511</v>
      </c>
      <c r="AB551" s="131" t="s">
        <v>1339</v>
      </c>
      <c r="AC551" s="127" t="s">
        <v>2164</v>
      </c>
      <c r="AD551" s="131" t="s">
        <v>8</v>
      </c>
      <c r="AE551" s="131" t="e">
        <v>#N/A</v>
      </c>
      <c r="AF551" s="131" t="e">
        <v>#N/A</v>
      </c>
      <c r="AG551" s="131" t="e">
        <v>#REF!</v>
      </c>
    </row>
    <row r="552" spans="1:33" s="131" customFormat="1" ht="18" customHeight="1" x14ac:dyDescent="0.25">
      <c r="A552" s="125">
        <v>551</v>
      </c>
      <c r="B552" s="137" t="s">
        <v>267</v>
      </c>
      <c r="C552" s="126" t="s">
        <v>3135</v>
      </c>
      <c r="D552" s="126" t="s">
        <v>2646</v>
      </c>
      <c r="E552" s="127" t="s">
        <v>8</v>
      </c>
      <c r="F552" s="128" t="s">
        <v>2410</v>
      </c>
      <c r="G552" s="128" t="s">
        <v>3290</v>
      </c>
      <c r="H552" s="125"/>
      <c r="I552" s="125"/>
      <c r="J552" s="129" t="s">
        <v>1641</v>
      </c>
      <c r="K552" s="130" t="s">
        <v>378</v>
      </c>
      <c r="L552" s="129"/>
      <c r="M552" s="127" t="s">
        <v>759</v>
      </c>
      <c r="N552" s="127" t="s">
        <v>1641</v>
      </c>
      <c r="O552" s="127" t="s">
        <v>1553</v>
      </c>
      <c r="P552" s="127">
        <v>0</v>
      </c>
      <c r="Q552" s="127">
        <v>2</v>
      </c>
      <c r="R552" s="127" t="s">
        <v>1530</v>
      </c>
      <c r="S552" s="127" t="s">
        <v>267</v>
      </c>
      <c r="T552" s="127">
        <v>0</v>
      </c>
      <c r="U552" s="127">
        <v>0</v>
      </c>
      <c r="V552" s="127">
        <v>0</v>
      </c>
      <c r="W552" s="127">
        <v>0</v>
      </c>
      <c r="X552" s="127">
        <v>0</v>
      </c>
      <c r="Y552" s="127">
        <v>0</v>
      </c>
      <c r="Z552" s="127">
        <v>0</v>
      </c>
      <c r="AA552" s="127" t="s">
        <v>2511</v>
      </c>
      <c r="AB552" s="131" t="s">
        <v>1340</v>
      </c>
      <c r="AC552" s="127" t="s">
        <v>2298</v>
      </c>
      <c r="AD552" s="131" t="s">
        <v>8</v>
      </c>
      <c r="AE552" s="131" t="s">
        <v>378</v>
      </c>
      <c r="AF552" s="131" t="b">
        <v>1</v>
      </c>
      <c r="AG552" s="131" t="e">
        <v>#REF!</v>
      </c>
    </row>
    <row r="553" spans="1:33" s="131" customFormat="1" ht="18" customHeight="1" x14ac:dyDescent="0.25">
      <c r="A553" s="125">
        <v>552</v>
      </c>
      <c r="B553" s="137" t="s">
        <v>268</v>
      </c>
      <c r="C553" s="126" t="s">
        <v>3136</v>
      </c>
      <c r="D553" s="126" t="s">
        <v>3137</v>
      </c>
      <c r="E553" s="127" t="s">
        <v>8</v>
      </c>
      <c r="F553" s="128" t="s">
        <v>2411</v>
      </c>
      <c r="G553" s="128" t="s">
        <v>3294</v>
      </c>
      <c r="H553" s="125"/>
      <c r="I553" s="125"/>
      <c r="J553" s="129" t="s">
        <v>1641</v>
      </c>
      <c r="K553" s="130"/>
      <c r="L553" s="129"/>
      <c r="M553" s="127" t="s">
        <v>759</v>
      </c>
      <c r="N553" s="127" t="s">
        <v>1641</v>
      </c>
      <c r="O553" s="127" t="s">
        <v>1427</v>
      </c>
      <c r="P553" s="127" t="s">
        <v>1554</v>
      </c>
      <c r="Q553" s="127">
        <v>0</v>
      </c>
      <c r="R553" s="127">
        <v>0</v>
      </c>
      <c r="S553" s="127">
        <v>0</v>
      </c>
      <c r="T553" s="127">
        <v>2</v>
      </c>
      <c r="U553" s="127" t="s">
        <v>1533</v>
      </c>
      <c r="V553" s="127" t="s">
        <v>268</v>
      </c>
      <c r="W553" s="127" t="s">
        <v>811</v>
      </c>
      <c r="X553" s="127" t="s">
        <v>268</v>
      </c>
      <c r="Y553" s="127" t="s">
        <v>1583</v>
      </c>
      <c r="Z553" s="127">
        <v>0</v>
      </c>
      <c r="AA553" s="127" t="s">
        <v>2510</v>
      </c>
      <c r="AB553" s="131" t="s">
        <v>1341</v>
      </c>
      <c r="AC553" s="127" t="s">
        <v>2165</v>
      </c>
      <c r="AD553" s="131" t="s">
        <v>8</v>
      </c>
      <c r="AE553" s="131" t="e">
        <v>#N/A</v>
      </c>
      <c r="AF553" s="131" t="e">
        <v>#N/A</v>
      </c>
      <c r="AG553" s="131" t="e">
        <v>#REF!</v>
      </c>
    </row>
    <row r="554" spans="1:33" s="131" customFormat="1" ht="18" customHeight="1" x14ac:dyDescent="0.25">
      <c r="A554" s="125">
        <v>553</v>
      </c>
      <c r="B554" s="137" t="s">
        <v>269</v>
      </c>
      <c r="C554" s="126" t="s">
        <v>3138</v>
      </c>
      <c r="D554" s="126" t="s">
        <v>2646</v>
      </c>
      <c r="E554" s="127" t="s">
        <v>8</v>
      </c>
      <c r="F554" s="128" t="s">
        <v>2521</v>
      </c>
      <c r="G554" s="128" t="s">
        <v>3290</v>
      </c>
      <c r="H554" s="125"/>
      <c r="I554" s="125"/>
      <c r="J554" s="132" t="s">
        <v>2520</v>
      </c>
      <c r="K554" s="130"/>
      <c r="L554" s="129"/>
      <c r="M554" s="127" t="s">
        <v>758</v>
      </c>
      <c r="N554" s="127" t="s">
        <v>2520</v>
      </c>
      <c r="O554" s="127" t="s">
        <v>1553</v>
      </c>
      <c r="P554" s="127" t="s">
        <v>1554</v>
      </c>
      <c r="Q554" s="127">
        <v>2</v>
      </c>
      <c r="R554" s="127" t="s">
        <v>1530</v>
      </c>
      <c r="S554" s="127" t="s">
        <v>269</v>
      </c>
      <c r="T554" s="127">
        <v>0</v>
      </c>
      <c r="U554" s="127">
        <v>0</v>
      </c>
      <c r="V554" s="127">
        <v>0</v>
      </c>
      <c r="W554" s="127">
        <v>0</v>
      </c>
      <c r="X554" s="127">
        <v>0</v>
      </c>
      <c r="Y554" s="127">
        <v>0</v>
      </c>
      <c r="Z554" s="127" t="s">
        <v>1568</v>
      </c>
      <c r="AA554" s="127" t="s">
        <v>2510</v>
      </c>
      <c r="AB554" s="131" t="s">
        <v>1342</v>
      </c>
      <c r="AC554" s="127" t="s">
        <v>2166</v>
      </c>
      <c r="AD554" s="131" t="s">
        <v>8</v>
      </c>
      <c r="AE554" s="131" t="e">
        <v>#N/A</v>
      </c>
      <c r="AF554" s="131" t="e">
        <v>#N/A</v>
      </c>
      <c r="AG554" s="131" t="e">
        <v>#REF!</v>
      </c>
    </row>
    <row r="555" spans="1:33" s="131" customFormat="1" ht="18" customHeight="1" x14ac:dyDescent="0.25">
      <c r="A555" s="125">
        <v>554</v>
      </c>
      <c r="B555" s="137" t="s">
        <v>270</v>
      </c>
      <c r="C555" s="126" t="s">
        <v>3139</v>
      </c>
      <c r="D555" s="126" t="s">
        <v>3140</v>
      </c>
      <c r="E555" s="127" t="s">
        <v>8</v>
      </c>
      <c r="F555" s="128" t="s">
        <v>2521</v>
      </c>
      <c r="G555" s="128" t="s">
        <v>3290</v>
      </c>
      <c r="H555" s="125"/>
      <c r="I555" s="125"/>
      <c r="J555" s="132" t="s">
        <v>2520</v>
      </c>
      <c r="K555" s="130"/>
      <c r="L555" s="129"/>
      <c r="M555" s="127" t="s">
        <v>758</v>
      </c>
      <c r="N555" s="127" t="s">
        <v>2520</v>
      </c>
      <c r="O555" s="127" t="s">
        <v>1427</v>
      </c>
      <c r="P555" s="127" t="s">
        <v>1554</v>
      </c>
      <c r="Q555" s="127">
        <v>0</v>
      </c>
      <c r="R555" s="127">
        <v>0</v>
      </c>
      <c r="S555" s="127">
        <v>0</v>
      </c>
      <c r="T555" s="127">
        <v>2</v>
      </c>
      <c r="U555" s="127" t="s">
        <v>1534</v>
      </c>
      <c r="V555" s="127" t="s">
        <v>270</v>
      </c>
      <c r="W555" s="127">
        <v>0</v>
      </c>
      <c r="X555" s="127">
        <v>0</v>
      </c>
      <c r="Y555" s="127">
        <v>0</v>
      </c>
      <c r="Z555" s="127" t="s">
        <v>1568</v>
      </c>
      <c r="AA555" s="127" t="s">
        <v>2511</v>
      </c>
      <c r="AB555" s="131" t="s">
        <v>1343</v>
      </c>
      <c r="AC555" s="127" t="s">
        <v>2167</v>
      </c>
      <c r="AD555" s="131" t="s">
        <v>8</v>
      </c>
      <c r="AE555" s="131" t="e">
        <v>#N/A</v>
      </c>
      <c r="AF555" s="131" t="e">
        <v>#N/A</v>
      </c>
      <c r="AG555" s="131" t="e">
        <v>#REF!</v>
      </c>
    </row>
    <row r="556" spans="1:33" s="131" customFormat="1" ht="18" customHeight="1" x14ac:dyDescent="0.25">
      <c r="A556" s="125">
        <v>555</v>
      </c>
      <c r="B556" s="137" t="s">
        <v>271</v>
      </c>
      <c r="C556" s="126" t="s">
        <v>3141</v>
      </c>
      <c r="D556" s="126" t="s">
        <v>3131</v>
      </c>
      <c r="E556" s="127" t="s">
        <v>8</v>
      </c>
      <c r="F556" s="128" t="s">
        <v>2411</v>
      </c>
      <c r="G556" s="128" t="s">
        <v>3289</v>
      </c>
      <c r="H556" s="125" t="s">
        <v>925</v>
      </c>
      <c r="I556" s="125"/>
      <c r="J556" s="129"/>
      <c r="K556" s="130"/>
      <c r="L556" s="129"/>
      <c r="M556" s="127" t="s">
        <v>759</v>
      </c>
      <c r="N556" s="127" t="s">
        <v>1639</v>
      </c>
      <c r="O556" s="127" t="s">
        <v>1534</v>
      </c>
      <c r="P556" s="127" t="s">
        <v>812</v>
      </c>
      <c r="Q556" s="127">
        <v>0</v>
      </c>
      <c r="R556" s="127">
        <v>0</v>
      </c>
      <c r="S556" s="127">
        <v>0</v>
      </c>
      <c r="T556" s="127">
        <v>0</v>
      </c>
      <c r="U556" s="127">
        <v>0</v>
      </c>
      <c r="V556" s="127">
        <v>0</v>
      </c>
      <c r="W556" s="127">
        <v>0</v>
      </c>
      <c r="X556" s="127">
        <v>0</v>
      </c>
      <c r="Y556" s="127">
        <v>0</v>
      </c>
      <c r="Z556" s="127">
        <v>0</v>
      </c>
      <c r="AA556" s="127" t="s">
        <v>2510</v>
      </c>
      <c r="AB556" s="131" t="s">
        <v>1344</v>
      </c>
      <c r="AC556" s="127" t="s">
        <v>2168</v>
      </c>
      <c r="AD556" s="131" t="s">
        <v>8</v>
      </c>
      <c r="AE556" s="131" t="e">
        <v>#N/A</v>
      </c>
      <c r="AF556" s="131" t="e">
        <v>#N/A</v>
      </c>
      <c r="AG556" s="131" t="e">
        <v>#REF!</v>
      </c>
    </row>
    <row r="557" spans="1:33" s="131" customFormat="1" ht="18" customHeight="1" x14ac:dyDescent="0.25">
      <c r="A557" s="125">
        <v>556</v>
      </c>
      <c r="B557" s="137" t="s">
        <v>272</v>
      </c>
      <c r="C557" s="126" t="s">
        <v>3142</v>
      </c>
      <c r="D557" s="126" t="s">
        <v>3131</v>
      </c>
      <c r="E557" s="127" t="s">
        <v>8</v>
      </c>
      <c r="F557" s="128" t="s">
        <v>2411</v>
      </c>
      <c r="G557" s="128" t="s">
        <v>3290</v>
      </c>
      <c r="H557" s="125"/>
      <c r="I557" s="125"/>
      <c r="J557" s="132"/>
      <c r="K557" s="130"/>
      <c r="L557" s="129"/>
      <c r="M557" s="127" t="s">
        <v>758</v>
      </c>
      <c r="N557" s="127" t="s">
        <v>2520</v>
      </c>
      <c r="O557" s="127" t="s">
        <v>1427</v>
      </c>
      <c r="P557" s="127" t="s">
        <v>1554</v>
      </c>
      <c r="Q557" s="127">
        <v>0</v>
      </c>
      <c r="R557" s="127">
        <v>0</v>
      </c>
      <c r="S557" s="127">
        <v>0</v>
      </c>
      <c r="T557" s="127">
        <v>2</v>
      </c>
      <c r="U557" s="127" t="s">
        <v>1530</v>
      </c>
      <c r="V557" s="127" t="s">
        <v>272</v>
      </c>
      <c r="W557" s="127">
        <v>0</v>
      </c>
      <c r="X557" s="127">
        <v>0</v>
      </c>
      <c r="Y557" s="127">
        <v>0</v>
      </c>
      <c r="Z557" s="127" t="s">
        <v>1568</v>
      </c>
      <c r="AA557" s="127" t="s">
        <v>2510</v>
      </c>
      <c r="AB557" s="131" t="s">
        <v>1345</v>
      </c>
      <c r="AC557" s="127" t="s">
        <v>2169</v>
      </c>
      <c r="AD557" s="131" t="s">
        <v>8</v>
      </c>
      <c r="AE557" s="131" t="e">
        <v>#N/A</v>
      </c>
      <c r="AF557" s="131" t="e">
        <v>#N/A</v>
      </c>
      <c r="AG557" s="131" t="e">
        <v>#REF!</v>
      </c>
    </row>
    <row r="558" spans="1:33" s="131" customFormat="1" ht="18" customHeight="1" x14ac:dyDescent="0.25">
      <c r="A558" s="125">
        <v>557</v>
      </c>
      <c r="B558" s="137" t="s">
        <v>273</v>
      </c>
      <c r="C558" s="126" t="s">
        <v>3143</v>
      </c>
      <c r="D558" s="126" t="s">
        <v>3144</v>
      </c>
      <c r="E558" s="127" t="s">
        <v>8</v>
      </c>
      <c r="F558" s="128" t="s">
        <v>2411</v>
      </c>
      <c r="G558" s="128" t="s">
        <v>3290</v>
      </c>
      <c r="H558" s="125"/>
      <c r="I558" s="125" t="s">
        <v>2453</v>
      </c>
      <c r="J558" s="132"/>
      <c r="K558" s="130"/>
      <c r="L558" s="129"/>
      <c r="M558" s="127" t="s">
        <v>759</v>
      </c>
      <c r="N558" s="127" t="s">
        <v>770</v>
      </c>
      <c r="O558" s="127" t="s">
        <v>1427</v>
      </c>
      <c r="P558" s="127" t="s">
        <v>1554</v>
      </c>
      <c r="Q558" s="127">
        <v>0</v>
      </c>
      <c r="R558" s="127">
        <v>0</v>
      </c>
      <c r="S558" s="127">
        <v>0</v>
      </c>
      <c r="T558" s="127">
        <v>2</v>
      </c>
      <c r="U558" s="127" t="s">
        <v>1535</v>
      </c>
      <c r="V558" s="127" t="s">
        <v>273</v>
      </c>
      <c r="W558" s="127">
        <v>0</v>
      </c>
      <c r="X558" s="127">
        <v>0</v>
      </c>
      <c r="Y558" s="127">
        <v>0</v>
      </c>
      <c r="Z558" s="127" t="s">
        <v>1568</v>
      </c>
      <c r="AA558" s="127" t="s">
        <v>2510</v>
      </c>
      <c r="AB558" s="131" t="s">
        <v>1346</v>
      </c>
      <c r="AC558" s="127" t="s">
        <v>2170</v>
      </c>
      <c r="AD558" s="131" t="s">
        <v>8</v>
      </c>
      <c r="AE558" s="131" t="e">
        <v>#N/A</v>
      </c>
      <c r="AF558" s="131" t="e">
        <v>#N/A</v>
      </c>
      <c r="AG558" s="131" t="e">
        <v>#REF!</v>
      </c>
    </row>
    <row r="559" spans="1:33" s="131" customFormat="1" ht="18" customHeight="1" x14ac:dyDescent="0.25">
      <c r="A559" s="125">
        <v>558</v>
      </c>
      <c r="B559" s="137" t="s">
        <v>7</v>
      </c>
      <c r="C559" s="126" t="s">
        <v>3145</v>
      </c>
      <c r="D559" s="126" t="s">
        <v>2943</v>
      </c>
      <c r="E559" s="127" t="s">
        <v>339</v>
      </c>
      <c r="F559" s="128" t="s">
        <v>2411</v>
      </c>
      <c r="G559" s="128" t="s">
        <v>3289</v>
      </c>
      <c r="H559" s="125" t="s">
        <v>965</v>
      </c>
      <c r="I559" s="125"/>
      <c r="J559" s="129"/>
      <c r="K559" s="130"/>
      <c r="L559" s="129"/>
      <c r="M559" s="127" t="s">
        <v>761</v>
      </c>
      <c r="N559" s="127" t="s">
        <v>1639</v>
      </c>
      <c r="O559" s="127" t="s">
        <v>1467</v>
      </c>
      <c r="P559" s="127" t="s">
        <v>812</v>
      </c>
      <c r="Q559" s="127">
        <v>0</v>
      </c>
      <c r="R559" s="127">
        <v>0</v>
      </c>
      <c r="S559" s="127">
        <v>0</v>
      </c>
      <c r="T559" s="127">
        <v>0</v>
      </c>
      <c r="U559" s="127">
        <v>0</v>
      </c>
      <c r="V559" s="127">
        <v>0</v>
      </c>
      <c r="W559" s="127">
        <v>0</v>
      </c>
      <c r="X559" s="127">
        <v>0</v>
      </c>
      <c r="Y559" s="127">
        <v>0</v>
      </c>
      <c r="Z559" s="127">
        <v>0</v>
      </c>
      <c r="AA559" s="127" t="s">
        <v>2510</v>
      </c>
      <c r="AB559" s="131" t="s">
        <v>1347</v>
      </c>
      <c r="AC559" s="127" t="s">
        <v>2171</v>
      </c>
      <c r="AD559" s="131" t="s">
        <v>339</v>
      </c>
      <c r="AE559" s="131" t="e">
        <v>#N/A</v>
      </c>
      <c r="AF559" s="131" t="e">
        <v>#N/A</v>
      </c>
      <c r="AG559" s="131" t="e">
        <v>#REF!</v>
      </c>
    </row>
    <row r="560" spans="1:33" s="131" customFormat="1" ht="18" customHeight="1" x14ac:dyDescent="0.25">
      <c r="A560" s="125">
        <v>559</v>
      </c>
      <c r="B560" s="137" t="s">
        <v>274</v>
      </c>
      <c r="C560" s="126" t="s">
        <v>3146</v>
      </c>
      <c r="D560" s="126" t="s">
        <v>3144</v>
      </c>
      <c r="E560" s="127" t="s">
        <v>8</v>
      </c>
      <c r="F560" s="128" t="s">
        <v>2411</v>
      </c>
      <c r="G560" s="128" t="s">
        <v>3289</v>
      </c>
      <c r="H560" s="125"/>
      <c r="I560" s="125"/>
      <c r="J560" s="129"/>
      <c r="K560" s="130"/>
      <c r="L560" s="129"/>
      <c r="M560" s="127" t="s">
        <v>758</v>
      </c>
      <c r="N560" s="127" t="s">
        <v>765</v>
      </c>
      <c r="O560" s="127" t="s">
        <v>1540</v>
      </c>
      <c r="P560" s="127" t="s">
        <v>812</v>
      </c>
      <c r="Q560" s="127">
        <v>0</v>
      </c>
      <c r="R560" s="127">
        <v>0</v>
      </c>
      <c r="S560" s="127">
        <v>0</v>
      </c>
      <c r="T560" s="127">
        <v>0</v>
      </c>
      <c r="U560" s="127">
        <v>0</v>
      </c>
      <c r="V560" s="127">
        <v>0</v>
      </c>
      <c r="W560" s="127">
        <v>0</v>
      </c>
      <c r="X560" s="127">
        <v>0</v>
      </c>
      <c r="Y560" s="127">
        <v>0</v>
      </c>
      <c r="Z560" s="127">
        <v>0</v>
      </c>
      <c r="AA560" s="127" t="s">
        <v>2510</v>
      </c>
      <c r="AB560" s="131" t="s">
        <v>1348</v>
      </c>
      <c r="AC560" s="127" t="s">
        <v>2172</v>
      </c>
      <c r="AD560" s="131" t="s">
        <v>8</v>
      </c>
      <c r="AE560" s="131" t="e">
        <v>#N/A</v>
      </c>
      <c r="AF560" s="131" t="e">
        <v>#N/A</v>
      </c>
      <c r="AG560" s="131" t="e">
        <v>#REF!</v>
      </c>
    </row>
    <row r="561" spans="1:33" s="131" customFormat="1" ht="18" customHeight="1" x14ac:dyDescent="0.25">
      <c r="A561" s="125">
        <v>560</v>
      </c>
      <c r="B561" s="137" t="s">
        <v>275</v>
      </c>
      <c r="C561" s="126" t="s">
        <v>3147</v>
      </c>
      <c r="D561" s="126" t="s">
        <v>2943</v>
      </c>
      <c r="E561" s="127" t="s">
        <v>339</v>
      </c>
      <c r="F561" s="128" t="s">
        <v>2411</v>
      </c>
      <c r="G561" s="128" t="s">
        <v>3289</v>
      </c>
      <c r="H561" s="125"/>
      <c r="I561" s="125"/>
      <c r="J561" s="132"/>
      <c r="K561" s="130"/>
      <c r="L561" s="129"/>
      <c r="M561" s="127" t="s">
        <v>758</v>
      </c>
      <c r="N561" s="127" t="s">
        <v>765</v>
      </c>
      <c r="O561" s="127" t="s">
        <v>1517</v>
      </c>
      <c r="P561" s="127" t="s">
        <v>812</v>
      </c>
      <c r="Q561" s="127">
        <v>0</v>
      </c>
      <c r="R561" s="127">
        <v>0</v>
      </c>
      <c r="S561" s="127">
        <v>0</v>
      </c>
      <c r="T561" s="127">
        <v>0</v>
      </c>
      <c r="U561" s="127">
        <v>0</v>
      </c>
      <c r="V561" s="127">
        <v>0</v>
      </c>
      <c r="W561" s="127">
        <v>0</v>
      </c>
      <c r="X561" s="127">
        <v>0</v>
      </c>
      <c r="Y561" s="127">
        <v>0</v>
      </c>
      <c r="Z561" s="127">
        <v>0</v>
      </c>
      <c r="AA561" s="127" t="s">
        <v>2510</v>
      </c>
      <c r="AB561" s="131" t="s">
        <v>1349</v>
      </c>
      <c r="AC561" s="127" t="s">
        <v>2173</v>
      </c>
      <c r="AD561" s="131" t="s">
        <v>339</v>
      </c>
      <c r="AE561" s="131" t="e">
        <v>#N/A</v>
      </c>
      <c r="AF561" s="131" t="e">
        <v>#N/A</v>
      </c>
      <c r="AG561" s="131" t="e">
        <v>#REF!</v>
      </c>
    </row>
    <row r="562" spans="1:33" s="131" customFormat="1" ht="18" customHeight="1" x14ac:dyDescent="0.25">
      <c r="A562" s="125">
        <v>561</v>
      </c>
      <c r="B562" s="137" t="s">
        <v>276</v>
      </c>
      <c r="C562" s="126" t="s">
        <v>3148</v>
      </c>
      <c r="D562" s="126" t="s">
        <v>3144</v>
      </c>
      <c r="E562" s="127" t="s">
        <v>8</v>
      </c>
      <c r="F562" s="128" t="s">
        <v>2411</v>
      </c>
      <c r="G562" s="128" t="s">
        <v>3289</v>
      </c>
      <c r="H562" s="125"/>
      <c r="I562" s="125"/>
      <c r="J562" s="132"/>
      <c r="K562" s="130"/>
      <c r="L562" s="129"/>
      <c r="M562" s="127" t="s">
        <v>758</v>
      </c>
      <c r="N562" s="127" t="s">
        <v>765</v>
      </c>
      <c r="O562" s="127" t="s">
        <v>1536</v>
      </c>
      <c r="P562" s="127" t="s">
        <v>812</v>
      </c>
      <c r="Q562" s="127">
        <v>0</v>
      </c>
      <c r="R562" s="127">
        <v>0</v>
      </c>
      <c r="S562" s="127">
        <v>0</v>
      </c>
      <c r="T562" s="127">
        <v>0</v>
      </c>
      <c r="U562" s="127">
        <v>0</v>
      </c>
      <c r="V562" s="127">
        <v>0</v>
      </c>
      <c r="W562" s="127">
        <v>0</v>
      </c>
      <c r="X562" s="127">
        <v>0</v>
      </c>
      <c r="Y562" s="127">
        <v>0</v>
      </c>
      <c r="Z562" s="127">
        <v>0</v>
      </c>
      <c r="AA562" s="127" t="s">
        <v>2511</v>
      </c>
      <c r="AB562" s="131" t="s">
        <v>1350</v>
      </c>
      <c r="AC562" s="127" t="s">
        <v>2174</v>
      </c>
      <c r="AD562" s="131" t="s">
        <v>8</v>
      </c>
      <c r="AE562" s="131" t="e">
        <v>#N/A</v>
      </c>
      <c r="AF562" s="131" t="e">
        <v>#N/A</v>
      </c>
      <c r="AG562" s="131" t="e">
        <v>#REF!</v>
      </c>
    </row>
    <row r="563" spans="1:33" s="131" customFormat="1" ht="18" customHeight="1" x14ac:dyDescent="0.25">
      <c r="A563" s="125">
        <v>562</v>
      </c>
      <c r="B563" s="137" t="s">
        <v>277</v>
      </c>
      <c r="C563" s="126" t="s">
        <v>3149</v>
      </c>
      <c r="D563" s="126" t="s">
        <v>2943</v>
      </c>
      <c r="E563" s="127" t="s">
        <v>8</v>
      </c>
      <c r="F563" s="128" t="s">
        <v>2411</v>
      </c>
      <c r="G563" s="128" t="s">
        <v>3289</v>
      </c>
      <c r="H563" s="125"/>
      <c r="I563" s="125"/>
      <c r="J563" s="132"/>
      <c r="K563" s="130"/>
      <c r="L563" s="129"/>
      <c r="M563" s="127" t="s">
        <v>758</v>
      </c>
      <c r="N563" s="127" t="s">
        <v>765</v>
      </c>
      <c r="O563" s="127" t="s">
        <v>1538</v>
      </c>
      <c r="P563" s="127" t="s">
        <v>812</v>
      </c>
      <c r="Q563" s="127">
        <v>0</v>
      </c>
      <c r="R563" s="127">
        <v>0</v>
      </c>
      <c r="S563" s="127">
        <v>0</v>
      </c>
      <c r="T563" s="127">
        <v>0</v>
      </c>
      <c r="U563" s="127">
        <v>0</v>
      </c>
      <c r="V563" s="127">
        <v>0</v>
      </c>
      <c r="W563" s="127">
        <v>0</v>
      </c>
      <c r="X563" s="127">
        <v>0</v>
      </c>
      <c r="Y563" s="127">
        <v>0</v>
      </c>
      <c r="Z563" s="127">
        <v>0</v>
      </c>
      <c r="AA563" s="127" t="s">
        <v>2511</v>
      </c>
      <c r="AB563" s="131" t="s">
        <v>1351</v>
      </c>
      <c r="AC563" s="127" t="s">
        <v>2175</v>
      </c>
      <c r="AD563" s="131" t="s">
        <v>8</v>
      </c>
      <c r="AE563" s="131" t="e">
        <v>#N/A</v>
      </c>
      <c r="AF563" s="131" t="e">
        <v>#N/A</v>
      </c>
      <c r="AG563" s="131" t="e">
        <v>#REF!</v>
      </c>
    </row>
    <row r="564" spans="1:33" s="131" customFormat="1" ht="18" customHeight="1" x14ac:dyDescent="0.25">
      <c r="A564" s="125">
        <v>563</v>
      </c>
      <c r="B564" s="137" t="s">
        <v>278</v>
      </c>
      <c r="C564" s="126" t="s">
        <v>3150</v>
      </c>
      <c r="D564" s="126" t="s">
        <v>3144</v>
      </c>
      <c r="E564" s="127" t="s">
        <v>339</v>
      </c>
      <c r="F564" s="128" t="s">
        <v>2411</v>
      </c>
      <c r="G564" s="128" t="s">
        <v>3289</v>
      </c>
      <c r="H564" s="125"/>
      <c r="I564" s="125"/>
      <c r="J564" s="132"/>
      <c r="K564" s="130"/>
      <c r="L564" s="129"/>
      <c r="M564" s="127" t="s">
        <v>758</v>
      </c>
      <c r="N564" s="127" t="s">
        <v>765</v>
      </c>
      <c r="O564" s="127" t="s">
        <v>1518</v>
      </c>
      <c r="P564" s="127" t="s">
        <v>812</v>
      </c>
      <c r="Q564" s="127">
        <v>0</v>
      </c>
      <c r="R564" s="127">
        <v>0</v>
      </c>
      <c r="S564" s="127">
        <v>0</v>
      </c>
      <c r="T564" s="127">
        <v>0</v>
      </c>
      <c r="U564" s="127">
        <v>0</v>
      </c>
      <c r="V564" s="127">
        <v>0</v>
      </c>
      <c r="W564" s="127">
        <v>0</v>
      </c>
      <c r="X564" s="127">
        <v>0</v>
      </c>
      <c r="Y564" s="127">
        <v>0</v>
      </c>
      <c r="Z564" s="127">
        <v>0</v>
      </c>
      <c r="AA564" s="127" t="s">
        <v>2510</v>
      </c>
      <c r="AB564" s="131" t="s">
        <v>1352</v>
      </c>
      <c r="AC564" s="127" t="s">
        <v>2176</v>
      </c>
      <c r="AD564" s="131" t="s">
        <v>339</v>
      </c>
      <c r="AE564" s="131" t="e">
        <v>#N/A</v>
      </c>
      <c r="AF564" s="131" t="e">
        <v>#N/A</v>
      </c>
      <c r="AG564" s="131" t="e">
        <v>#REF!</v>
      </c>
    </row>
    <row r="565" spans="1:33" s="131" customFormat="1" ht="15.75" x14ac:dyDescent="0.25">
      <c r="A565" s="125">
        <v>564</v>
      </c>
      <c r="B565" s="137" t="s">
        <v>279</v>
      </c>
      <c r="C565" s="126" t="s">
        <v>3151</v>
      </c>
      <c r="D565" s="126" t="s">
        <v>3137</v>
      </c>
      <c r="E565" s="127" t="s">
        <v>8</v>
      </c>
      <c r="F565" s="128" t="s">
        <v>2521</v>
      </c>
      <c r="G565" s="128" t="s">
        <v>3289</v>
      </c>
      <c r="H565" s="125"/>
      <c r="I565" s="125"/>
      <c r="J565" s="132" t="s">
        <v>2520</v>
      </c>
      <c r="K565" s="130"/>
      <c r="L565" s="129"/>
      <c r="M565" s="127" t="s">
        <v>778</v>
      </c>
      <c r="N565" s="127" t="s">
        <v>2520</v>
      </c>
      <c r="O565" s="127" t="s">
        <v>1539</v>
      </c>
      <c r="P565" s="127" t="s">
        <v>812</v>
      </c>
      <c r="Q565" s="127">
        <v>0</v>
      </c>
      <c r="R565" s="127">
        <v>0</v>
      </c>
      <c r="S565" s="127">
        <v>0</v>
      </c>
      <c r="T565" s="127">
        <v>0</v>
      </c>
      <c r="U565" s="127">
        <v>0</v>
      </c>
      <c r="V565" s="127">
        <v>0</v>
      </c>
      <c r="W565" s="127">
        <v>0</v>
      </c>
      <c r="X565" s="127">
        <v>0</v>
      </c>
      <c r="Y565" s="127">
        <v>0</v>
      </c>
      <c r="Z565" s="127">
        <v>0</v>
      </c>
      <c r="AA565" s="127" t="s">
        <v>2510</v>
      </c>
      <c r="AB565" s="131" t="s">
        <v>1353</v>
      </c>
      <c r="AC565" s="127" t="s">
        <v>2177</v>
      </c>
      <c r="AD565" s="131" t="s">
        <v>8</v>
      </c>
      <c r="AE565" s="131" t="e">
        <v>#N/A</v>
      </c>
      <c r="AF565" s="131" t="e">
        <v>#N/A</v>
      </c>
      <c r="AG565" s="131" t="e">
        <v>#REF!</v>
      </c>
    </row>
    <row r="566" spans="1:33" s="131" customFormat="1" ht="15.75" x14ac:dyDescent="0.25">
      <c r="A566" s="125">
        <v>565</v>
      </c>
      <c r="B566" s="137" t="s">
        <v>280</v>
      </c>
      <c r="C566" s="126" t="s">
        <v>3152</v>
      </c>
      <c r="D566" s="126" t="s">
        <v>3137</v>
      </c>
      <c r="E566" s="127" t="s">
        <v>8</v>
      </c>
      <c r="F566" s="128" t="s">
        <v>2521</v>
      </c>
      <c r="G566" s="128" t="s">
        <v>3289</v>
      </c>
      <c r="H566" s="125"/>
      <c r="I566" s="125"/>
      <c r="J566" s="132" t="s">
        <v>2520</v>
      </c>
      <c r="K566" s="130"/>
      <c r="L566" s="129"/>
      <c r="M566" s="127" t="s">
        <v>778</v>
      </c>
      <c r="N566" s="127" t="s">
        <v>2520</v>
      </c>
      <c r="O566" s="127" t="s">
        <v>1567</v>
      </c>
      <c r="P566" s="127" t="s">
        <v>2424</v>
      </c>
      <c r="Q566" s="127">
        <v>0</v>
      </c>
      <c r="R566" s="127">
        <v>0</v>
      </c>
      <c r="S566" s="127">
        <v>0</v>
      </c>
      <c r="T566" s="127">
        <v>0</v>
      </c>
      <c r="U566" s="127">
        <v>0</v>
      </c>
      <c r="V566" s="127">
        <v>0</v>
      </c>
      <c r="W566" s="127" t="s">
        <v>1467</v>
      </c>
      <c r="X566" s="127" t="s">
        <v>280</v>
      </c>
      <c r="Y566" s="127" t="s">
        <v>1597</v>
      </c>
      <c r="Z566" s="127">
        <v>0</v>
      </c>
      <c r="AA566" s="127" t="s">
        <v>2510</v>
      </c>
      <c r="AB566" s="131" t="s">
        <v>1354</v>
      </c>
      <c r="AC566" s="127" t="s">
        <v>2178</v>
      </c>
      <c r="AD566" s="131" t="s">
        <v>8</v>
      </c>
      <c r="AE566" s="131" t="e">
        <v>#N/A</v>
      </c>
      <c r="AF566" s="131" t="e">
        <v>#N/A</v>
      </c>
      <c r="AG566" s="131" t="e">
        <v>#REF!</v>
      </c>
    </row>
    <row r="567" spans="1:33" s="131" customFormat="1" ht="18" customHeight="1" x14ac:dyDescent="0.25">
      <c r="A567" s="125">
        <v>566</v>
      </c>
      <c r="B567" s="137" t="s">
        <v>281</v>
      </c>
      <c r="C567" s="126" t="s">
        <v>3153</v>
      </c>
      <c r="D567" s="126" t="s">
        <v>3144</v>
      </c>
      <c r="E567" s="127" t="s">
        <v>8</v>
      </c>
      <c r="F567" s="128" t="s">
        <v>2521</v>
      </c>
      <c r="G567" s="128" t="s">
        <v>3290</v>
      </c>
      <c r="H567" s="125"/>
      <c r="I567" s="125"/>
      <c r="J567" s="132" t="s">
        <v>2520</v>
      </c>
      <c r="K567" s="130"/>
      <c r="L567" s="129"/>
      <c r="M567" s="127" t="s">
        <v>778</v>
      </c>
      <c r="N567" s="127" t="s">
        <v>2520</v>
      </c>
      <c r="O567" s="127" t="s">
        <v>1553</v>
      </c>
      <c r="P567" s="127" t="s">
        <v>1554</v>
      </c>
      <c r="Q567" s="127">
        <v>2</v>
      </c>
      <c r="R567" s="127" t="s">
        <v>811</v>
      </c>
      <c r="S567" s="127" t="s">
        <v>281</v>
      </c>
      <c r="T567" s="127">
        <v>0</v>
      </c>
      <c r="U567" s="127">
        <v>0</v>
      </c>
      <c r="V567" s="127">
        <v>0</v>
      </c>
      <c r="W567" s="127">
        <v>0</v>
      </c>
      <c r="X567" s="127">
        <v>0</v>
      </c>
      <c r="Y567" s="127">
        <v>0</v>
      </c>
      <c r="Z567" s="127" t="s">
        <v>1568</v>
      </c>
      <c r="AA567" s="127" t="s">
        <v>2510</v>
      </c>
      <c r="AB567" s="131" t="s">
        <v>1355</v>
      </c>
      <c r="AC567" s="127" t="s">
        <v>2299</v>
      </c>
      <c r="AD567" s="131" t="s">
        <v>8</v>
      </c>
      <c r="AE567" s="131" t="e">
        <v>#N/A</v>
      </c>
      <c r="AF567" s="131" t="e">
        <v>#N/A</v>
      </c>
      <c r="AG567" s="131" t="e">
        <v>#REF!</v>
      </c>
    </row>
    <row r="568" spans="1:33" s="131" customFormat="1" ht="18" customHeight="1" x14ac:dyDescent="0.25">
      <c r="A568" s="125">
        <v>567</v>
      </c>
      <c r="B568" s="137" t="s">
        <v>282</v>
      </c>
      <c r="C568" s="126" t="s">
        <v>3154</v>
      </c>
      <c r="D568" s="126" t="s">
        <v>3131</v>
      </c>
      <c r="E568" s="127" t="s">
        <v>8</v>
      </c>
      <c r="F568" s="128"/>
      <c r="G568" s="128" t="s">
        <v>3290</v>
      </c>
      <c r="H568" s="125"/>
      <c r="I568" s="125"/>
      <c r="J568" s="132" t="s">
        <v>2520</v>
      </c>
      <c r="K568" s="130"/>
      <c r="L568" s="129"/>
      <c r="M568" s="127" t="s">
        <v>778</v>
      </c>
      <c r="N568" s="127" t="s">
        <v>2520</v>
      </c>
      <c r="O568" s="127" t="s">
        <v>1553</v>
      </c>
      <c r="P568" s="127">
        <v>0</v>
      </c>
      <c r="Q568" s="127">
        <v>2</v>
      </c>
      <c r="R568" s="127" t="s">
        <v>1530</v>
      </c>
      <c r="S568" s="127" t="s">
        <v>282</v>
      </c>
      <c r="T568" s="127">
        <v>0</v>
      </c>
      <c r="U568" s="127">
        <v>0</v>
      </c>
      <c r="V568" s="127">
        <v>0</v>
      </c>
      <c r="W568" s="127" t="s">
        <v>1530</v>
      </c>
      <c r="X568" s="127" t="s">
        <v>282</v>
      </c>
      <c r="Y568" s="127" t="s">
        <v>1436</v>
      </c>
      <c r="Z568" s="127">
        <v>0</v>
      </c>
      <c r="AA568" s="127" t="s">
        <v>2511</v>
      </c>
      <c r="AB568" s="131" t="s">
        <v>1356</v>
      </c>
      <c r="AC568" s="127" t="s">
        <v>2179</v>
      </c>
      <c r="AD568" s="131" t="s">
        <v>8</v>
      </c>
      <c r="AE568" s="131" t="e">
        <v>#N/A</v>
      </c>
      <c r="AF568" s="131" t="e">
        <v>#N/A</v>
      </c>
      <c r="AG568" s="131" t="e">
        <v>#REF!</v>
      </c>
    </row>
    <row r="569" spans="1:33" s="131" customFormat="1" ht="18" customHeight="1" x14ac:dyDescent="0.25">
      <c r="A569" s="125">
        <v>568</v>
      </c>
      <c r="B569" s="137" t="s">
        <v>283</v>
      </c>
      <c r="C569" s="126" t="s">
        <v>3155</v>
      </c>
      <c r="D569" s="126" t="s">
        <v>3144</v>
      </c>
      <c r="E569" s="127" t="s">
        <v>8</v>
      </c>
      <c r="F569" s="128" t="s">
        <v>2411</v>
      </c>
      <c r="G569" s="128" t="s">
        <v>3289</v>
      </c>
      <c r="H569" s="125" t="s">
        <v>1002</v>
      </c>
      <c r="I569" s="125"/>
      <c r="J569" s="129"/>
      <c r="K569" s="130"/>
      <c r="L569" s="129"/>
      <c r="M569" s="127" t="s">
        <v>761</v>
      </c>
      <c r="N569" s="127" t="s">
        <v>1639</v>
      </c>
      <c r="O569" s="127" t="s">
        <v>811</v>
      </c>
      <c r="P569" s="127" t="s">
        <v>812</v>
      </c>
      <c r="Q569" s="127">
        <v>0</v>
      </c>
      <c r="R569" s="127">
        <v>0</v>
      </c>
      <c r="S569" s="127">
        <v>0</v>
      </c>
      <c r="T569" s="127">
        <v>0</v>
      </c>
      <c r="U569" s="127">
        <v>0</v>
      </c>
      <c r="V569" s="127">
        <v>0</v>
      </c>
      <c r="W569" s="127">
        <v>0</v>
      </c>
      <c r="X569" s="127">
        <v>0</v>
      </c>
      <c r="Y569" s="127">
        <v>0</v>
      </c>
      <c r="Z569" s="127">
        <v>0</v>
      </c>
      <c r="AA569" s="127" t="s">
        <v>2510</v>
      </c>
      <c r="AB569" s="131" t="s">
        <v>1357</v>
      </c>
      <c r="AC569" s="127" t="s">
        <v>2180</v>
      </c>
      <c r="AD569" s="131" t="s">
        <v>8</v>
      </c>
      <c r="AE569" s="131" t="e">
        <v>#N/A</v>
      </c>
      <c r="AF569" s="131" t="e">
        <v>#N/A</v>
      </c>
      <c r="AG569" s="131" t="e">
        <v>#REF!</v>
      </c>
    </row>
    <row r="570" spans="1:33" s="131" customFormat="1" ht="18" customHeight="1" x14ac:dyDescent="0.25">
      <c r="A570" s="125">
        <v>569</v>
      </c>
      <c r="B570" s="137" t="s">
        <v>284</v>
      </c>
      <c r="C570" s="126" t="s">
        <v>3156</v>
      </c>
      <c r="D570" s="126" t="s">
        <v>2646</v>
      </c>
      <c r="E570" s="127" t="s">
        <v>8</v>
      </c>
      <c r="F570" s="128" t="s">
        <v>2410</v>
      </c>
      <c r="G570" s="128" t="s">
        <v>3294</v>
      </c>
      <c r="H570" s="125"/>
      <c r="I570" s="125"/>
      <c r="J570" s="132" t="s">
        <v>2520</v>
      </c>
      <c r="K570" s="130" t="s">
        <v>324</v>
      </c>
      <c r="L570" s="129"/>
      <c r="M570" s="127" t="s">
        <v>778</v>
      </c>
      <c r="N570" s="127" t="s">
        <v>2520</v>
      </c>
      <c r="O570" s="127" t="s">
        <v>1427</v>
      </c>
      <c r="P570" s="127">
        <v>0</v>
      </c>
      <c r="Q570" s="127">
        <v>0</v>
      </c>
      <c r="R570" s="127">
        <v>0</v>
      </c>
      <c r="S570" s="127">
        <v>0</v>
      </c>
      <c r="T570" s="127">
        <v>2</v>
      </c>
      <c r="U570" s="127" t="s">
        <v>1598</v>
      </c>
      <c r="V570" s="127" t="s">
        <v>284</v>
      </c>
      <c r="W570" s="127" t="s">
        <v>1530</v>
      </c>
      <c r="X570" s="127" t="s">
        <v>284</v>
      </c>
      <c r="Y570" s="127" t="s">
        <v>1436</v>
      </c>
      <c r="Z570" s="127">
        <v>0</v>
      </c>
      <c r="AA570" s="127" t="s">
        <v>2511</v>
      </c>
      <c r="AB570" s="131" t="s">
        <v>1358</v>
      </c>
      <c r="AC570" s="127" t="s">
        <v>2181</v>
      </c>
      <c r="AD570" s="131" t="s">
        <v>8</v>
      </c>
      <c r="AE570" s="131" t="e">
        <v>#N/A</v>
      </c>
      <c r="AF570" s="131" t="e">
        <v>#N/A</v>
      </c>
      <c r="AG570" s="131" t="e">
        <v>#REF!</v>
      </c>
    </row>
    <row r="571" spans="1:33" s="131" customFormat="1" ht="18" customHeight="1" x14ac:dyDescent="0.25">
      <c r="A571" s="125">
        <v>570</v>
      </c>
      <c r="B571" s="137" t="s">
        <v>285</v>
      </c>
      <c r="C571" s="126" t="s">
        <v>3157</v>
      </c>
      <c r="D571" s="126" t="s">
        <v>2646</v>
      </c>
      <c r="E571" s="127" t="s">
        <v>8</v>
      </c>
      <c r="F571" s="128"/>
      <c r="G571" s="128" t="s">
        <v>3290</v>
      </c>
      <c r="H571" s="125"/>
      <c r="I571" s="125"/>
      <c r="J571" s="132" t="s">
        <v>2520</v>
      </c>
      <c r="K571" s="130"/>
      <c r="L571" s="129"/>
      <c r="M571" s="127" t="s">
        <v>778</v>
      </c>
      <c r="N571" s="127" t="s">
        <v>2520</v>
      </c>
      <c r="O571" s="127" t="s">
        <v>1553</v>
      </c>
      <c r="P571" s="127">
        <v>0</v>
      </c>
      <c r="Q571" s="127">
        <v>2</v>
      </c>
      <c r="R571" s="127" t="s">
        <v>1530</v>
      </c>
      <c r="S571" s="127" t="s">
        <v>285</v>
      </c>
      <c r="T571" s="127">
        <v>0</v>
      </c>
      <c r="U571" s="127">
        <v>0</v>
      </c>
      <c r="V571" s="127">
        <v>0</v>
      </c>
      <c r="W571" s="127" t="s">
        <v>1530</v>
      </c>
      <c r="X571" s="127" t="s">
        <v>285</v>
      </c>
      <c r="Y571" s="127" t="s">
        <v>1574</v>
      </c>
      <c r="Z571" s="127" t="s">
        <v>1568</v>
      </c>
      <c r="AA571" s="127" t="s">
        <v>2510</v>
      </c>
      <c r="AB571" s="131" t="s">
        <v>1359</v>
      </c>
      <c r="AC571" s="127" t="s">
        <v>2182</v>
      </c>
      <c r="AD571" s="131" t="s">
        <v>8</v>
      </c>
      <c r="AE571" s="131" t="e">
        <v>#N/A</v>
      </c>
      <c r="AF571" s="131" t="e">
        <v>#N/A</v>
      </c>
      <c r="AG571" s="131" t="e">
        <v>#REF!</v>
      </c>
    </row>
    <row r="572" spans="1:33" s="131" customFormat="1" ht="18" customHeight="1" x14ac:dyDescent="0.25">
      <c r="A572" s="125">
        <v>571</v>
      </c>
      <c r="B572" s="137" t="s">
        <v>286</v>
      </c>
      <c r="C572" s="126" t="s">
        <v>3158</v>
      </c>
      <c r="D572" s="126" t="s">
        <v>2646</v>
      </c>
      <c r="E572" s="127" t="s">
        <v>8</v>
      </c>
      <c r="F572" s="128" t="s">
        <v>2410</v>
      </c>
      <c r="G572" s="128" t="s">
        <v>3294</v>
      </c>
      <c r="H572" s="125"/>
      <c r="I572" s="125"/>
      <c r="J572" s="129" t="s">
        <v>1641</v>
      </c>
      <c r="K572" s="130" t="s">
        <v>378</v>
      </c>
      <c r="L572" s="129"/>
      <c r="M572" s="127" t="s">
        <v>778</v>
      </c>
      <c r="N572" s="127" t="s">
        <v>1641</v>
      </c>
      <c r="O572" s="127" t="s">
        <v>1553</v>
      </c>
      <c r="P572" s="127">
        <v>0</v>
      </c>
      <c r="Q572" s="127">
        <v>2</v>
      </c>
      <c r="R572" s="127" t="s">
        <v>1530</v>
      </c>
      <c r="S572" s="127" t="s">
        <v>286</v>
      </c>
      <c r="T572" s="127">
        <v>0</v>
      </c>
      <c r="U572" s="127">
        <v>0</v>
      </c>
      <c r="V572" s="127">
        <v>0</v>
      </c>
      <c r="W572" s="127">
        <v>0</v>
      </c>
      <c r="X572" s="127">
        <v>0</v>
      </c>
      <c r="Y572" s="127">
        <v>0</v>
      </c>
      <c r="Z572" s="127">
        <v>0</v>
      </c>
      <c r="AA572" s="127" t="s">
        <v>2511</v>
      </c>
      <c r="AB572" s="131" t="s">
        <v>1360</v>
      </c>
      <c r="AC572" s="127" t="s">
        <v>2183</v>
      </c>
      <c r="AD572" s="131" t="s">
        <v>8</v>
      </c>
      <c r="AE572" s="131" t="e">
        <v>#N/A</v>
      </c>
      <c r="AF572" s="131" t="e">
        <v>#N/A</v>
      </c>
      <c r="AG572" s="131" t="e">
        <v>#REF!</v>
      </c>
    </row>
    <row r="573" spans="1:33" s="131" customFormat="1" ht="18" customHeight="1" x14ac:dyDescent="0.25">
      <c r="A573" s="125">
        <v>572</v>
      </c>
      <c r="B573" s="137" t="s">
        <v>287</v>
      </c>
      <c r="C573" s="126" t="s">
        <v>3159</v>
      </c>
      <c r="D573" s="126" t="s">
        <v>3131</v>
      </c>
      <c r="E573" s="127" t="s">
        <v>8</v>
      </c>
      <c r="F573" s="128" t="s">
        <v>2521</v>
      </c>
      <c r="G573" s="128" t="s">
        <v>3290</v>
      </c>
      <c r="H573" s="125"/>
      <c r="I573" s="125"/>
      <c r="J573" s="132" t="s">
        <v>2520</v>
      </c>
      <c r="K573" s="130"/>
      <c r="L573" s="129"/>
      <c r="M573" s="127" t="s">
        <v>778</v>
      </c>
      <c r="N573" s="127" t="s">
        <v>2520</v>
      </c>
      <c r="O573" s="127" t="s">
        <v>1553</v>
      </c>
      <c r="P573" s="127" t="s">
        <v>1554</v>
      </c>
      <c r="Q573" s="127">
        <v>2</v>
      </c>
      <c r="R573" s="127" t="s">
        <v>1534</v>
      </c>
      <c r="S573" s="127" t="s">
        <v>287</v>
      </c>
      <c r="T573" s="127">
        <v>0</v>
      </c>
      <c r="U573" s="127">
        <v>0</v>
      </c>
      <c r="V573" s="127">
        <v>0</v>
      </c>
      <c r="W573" s="127" t="s">
        <v>1530</v>
      </c>
      <c r="X573" s="127" t="s">
        <v>287</v>
      </c>
      <c r="Y573" s="127" t="s">
        <v>1571</v>
      </c>
      <c r="Z573" s="127" t="s">
        <v>1568</v>
      </c>
      <c r="AA573" s="127" t="s">
        <v>2510</v>
      </c>
      <c r="AB573" s="131" t="s">
        <v>1361</v>
      </c>
      <c r="AC573" s="127" t="s">
        <v>2184</v>
      </c>
      <c r="AD573" s="131" t="s">
        <v>8</v>
      </c>
      <c r="AE573" s="131" t="e">
        <v>#N/A</v>
      </c>
      <c r="AF573" s="131" t="e">
        <v>#N/A</v>
      </c>
      <c r="AG573" s="131" t="e">
        <v>#REF!</v>
      </c>
    </row>
    <row r="574" spans="1:33" s="131" customFormat="1" ht="18" customHeight="1" x14ac:dyDescent="0.25">
      <c r="A574" s="125">
        <v>573</v>
      </c>
      <c r="B574" s="137" t="s">
        <v>288</v>
      </c>
      <c r="C574" s="126" t="s">
        <v>3160</v>
      </c>
      <c r="D574" s="126" t="s">
        <v>3144</v>
      </c>
      <c r="E574" s="127" t="s">
        <v>8</v>
      </c>
      <c r="F574" s="128"/>
      <c r="G574" s="128" t="s">
        <v>3294</v>
      </c>
      <c r="H574" s="125"/>
      <c r="I574" s="125"/>
      <c r="J574" s="132" t="s">
        <v>2520</v>
      </c>
      <c r="K574" s="130"/>
      <c r="L574" s="129"/>
      <c r="M574" s="127" t="s">
        <v>779</v>
      </c>
      <c r="N574" s="127" t="s">
        <v>2520</v>
      </c>
      <c r="O574" s="127" t="s">
        <v>1553</v>
      </c>
      <c r="P574" s="127">
        <v>0</v>
      </c>
      <c r="Q574" s="127">
        <v>2</v>
      </c>
      <c r="R574" s="127" t="s">
        <v>811</v>
      </c>
      <c r="S574" s="127" t="s">
        <v>288</v>
      </c>
      <c r="T574" s="127">
        <v>0</v>
      </c>
      <c r="U574" s="127">
        <v>0</v>
      </c>
      <c r="V574" s="127">
        <v>0</v>
      </c>
      <c r="W574" s="127">
        <v>0</v>
      </c>
      <c r="X574" s="127">
        <v>0</v>
      </c>
      <c r="Y574" s="127">
        <v>0</v>
      </c>
      <c r="Z574" s="127">
        <v>0</v>
      </c>
      <c r="AA574" s="127" t="s">
        <v>2511</v>
      </c>
      <c r="AB574" s="131" t="s">
        <v>1362</v>
      </c>
      <c r="AC574" s="127" t="s">
        <v>2185</v>
      </c>
      <c r="AD574" s="131" t="s">
        <v>8</v>
      </c>
      <c r="AE574" s="131" t="e">
        <v>#N/A</v>
      </c>
      <c r="AF574" s="131" t="e">
        <v>#N/A</v>
      </c>
      <c r="AG574" s="131" t="e">
        <v>#REF!</v>
      </c>
    </row>
    <row r="575" spans="1:33" s="131" customFormat="1" ht="18" customHeight="1" x14ac:dyDescent="0.25">
      <c r="A575" s="125">
        <v>574</v>
      </c>
      <c r="B575" s="137" t="s">
        <v>289</v>
      </c>
      <c r="C575" s="126" t="s">
        <v>3161</v>
      </c>
      <c r="D575" s="126" t="s">
        <v>3144</v>
      </c>
      <c r="E575" s="127" t="s">
        <v>8</v>
      </c>
      <c r="F575" s="128" t="s">
        <v>2410</v>
      </c>
      <c r="G575" s="128" t="s">
        <v>3294</v>
      </c>
      <c r="H575" s="125"/>
      <c r="I575" s="125"/>
      <c r="J575" s="129" t="s">
        <v>1641</v>
      </c>
      <c r="K575" s="130" t="s">
        <v>283</v>
      </c>
      <c r="L575" s="129"/>
      <c r="M575" s="127" t="s">
        <v>779</v>
      </c>
      <c r="N575" s="127" t="s">
        <v>2520</v>
      </c>
      <c r="O575" s="127" t="s">
        <v>1427</v>
      </c>
      <c r="P575" s="127">
        <v>0</v>
      </c>
      <c r="Q575" s="127">
        <v>0</v>
      </c>
      <c r="R575" s="127">
        <v>0</v>
      </c>
      <c r="S575" s="127">
        <v>0</v>
      </c>
      <c r="T575" s="127">
        <v>4</v>
      </c>
      <c r="U575" s="127" t="s">
        <v>811</v>
      </c>
      <c r="V575" s="127" t="s">
        <v>289</v>
      </c>
      <c r="W575" s="127">
        <v>0</v>
      </c>
      <c r="X575" s="127">
        <v>0</v>
      </c>
      <c r="Y575" s="127">
        <v>0</v>
      </c>
      <c r="Z575" s="127">
        <v>0</v>
      </c>
      <c r="AA575" s="127" t="s">
        <v>2511</v>
      </c>
      <c r="AB575" s="131" t="s">
        <v>1363</v>
      </c>
      <c r="AC575" s="127" t="s">
        <v>2186</v>
      </c>
      <c r="AD575" s="131" t="s">
        <v>8</v>
      </c>
      <c r="AE575" s="131" t="e">
        <v>#N/A</v>
      </c>
      <c r="AF575" s="131" t="e">
        <v>#N/A</v>
      </c>
      <c r="AG575" s="131" t="e">
        <v>#REF!</v>
      </c>
    </row>
    <row r="576" spans="1:33" s="131" customFormat="1" ht="18" customHeight="1" x14ac:dyDescent="0.25">
      <c r="A576" s="125">
        <v>575</v>
      </c>
      <c r="B576" s="126" t="s">
        <v>324</v>
      </c>
      <c r="C576" s="126" t="s">
        <v>3162</v>
      </c>
      <c r="D576" s="126" t="s">
        <v>2646</v>
      </c>
      <c r="E576" s="127" t="s">
        <v>8</v>
      </c>
      <c r="F576" s="128" t="s">
        <v>2411</v>
      </c>
      <c r="G576" s="128" t="s">
        <v>3290</v>
      </c>
      <c r="H576" s="125" t="s">
        <v>931</v>
      </c>
      <c r="I576" s="125"/>
      <c r="J576" s="129"/>
      <c r="K576" s="130"/>
      <c r="L576" s="129"/>
      <c r="M576" s="127" t="s">
        <v>761</v>
      </c>
      <c r="N576" s="127" t="s">
        <v>1639</v>
      </c>
      <c r="O576" s="127" t="s">
        <v>1553</v>
      </c>
      <c r="P576" s="127" t="s">
        <v>1554</v>
      </c>
      <c r="Q576" s="127">
        <v>2</v>
      </c>
      <c r="R576" s="127" t="s">
        <v>1469</v>
      </c>
      <c r="S576" s="127" t="s">
        <v>324</v>
      </c>
      <c r="T576" s="127">
        <v>0</v>
      </c>
      <c r="U576" s="127">
        <v>0</v>
      </c>
      <c r="V576" s="127">
        <v>0</v>
      </c>
      <c r="W576" s="127" t="s">
        <v>1536</v>
      </c>
      <c r="X576" s="127" t="s">
        <v>324</v>
      </c>
      <c r="Y576" s="127" t="s">
        <v>1573</v>
      </c>
      <c r="Z576" s="127">
        <v>0</v>
      </c>
      <c r="AA576" s="127" t="s">
        <v>2510</v>
      </c>
      <c r="AB576" s="131" t="s">
        <v>1364</v>
      </c>
      <c r="AC576" s="127" t="s">
        <v>2187</v>
      </c>
      <c r="AD576" s="131" t="s">
        <v>8</v>
      </c>
      <c r="AE576" s="131" t="e">
        <v>#N/A</v>
      </c>
      <c r="AF576" s="131" t="e">
        <v>#N/A</v>
      </c>
      <c r="AG576" s="131" t="e">
        <v>#REF!</v>
      </c>
    </row>
    <row r="577" spans="1:33" s="131" customFormat="1" ht="18" customHeight="1" x14ac:dyDescent="0.25">
      <c r="A577" s="125">
        <v>576</v>
      </c>
      <c r="B577" s="126" t="s">
        <v>338</v>
      </c>
      <c r="C577" s="126" t="s">
        <v>3163</v>
      </c>
      <c r="D577" s="126" t="s">
        <v>3137</v>
      </c>
      <c r="E577" s="127" t="s">
        <v>8</v>
      </c>
      <c r="F577" s="128"/>
      <c r="G577" s="128" t="s">
        <v>3290</v>
      </c>
      <c r="H577" s="125" t="s">
        <v>986</v>
      </c>
      <c r="I577" s="125"/>
      <c r="J577" s="129"/>
      <c r="K577" s="130"/>
      <c r="L577" s="129"/>
      <c r="M577" s="127" t="s">
        <v>761</v>
      </c>
      <c r="N577" s="127" t="s">
        <v>1639</v>
      </c>
      <c r="O577" s="127" t="s">
        <v>1427</v>
      </c>
      <c r="P577" s="127">
        <v>0</v>
      </c>
      <c r="Q577" s="127">
        <v>0</v>
      </c>
      <c r="R577" s="127">
        <v>0</v>
      </c>
      <c r="S577" s="127">
        <v>0</v>
      </c>
      <c r="T577" s="127">
        <v>2</v>
      </c>
      <c r="U577" s="127" t="s">
        <v>1537</v>
      </c>
      <c r="V577" s="127" t="s">
        <v>338</v>
      </c>
      <c r="W577" s="127">
        <v>0</v>
      </c>
      <c r="X577" s="127">
        <v>0</v>
      </c>
      <c r="Y577" s="127">
        <v>0</v>
      </c>
      <c r="Z577" s="127">
        <v>0</v>
      </c>
      <c r="AA577" s="127" t="s">
        <v>2511</v>
      </c>
      <c r="AB577" s="131" t="s">
        <v>1365</v>
      </c>
      <c r="AC577" s="127" t="s">
        <v>2188</v>
      </c>
      <c r="AD577" s="131" t="s">
        <v>8</v>
      </c>
      <c r="AE577" s="131" t="e">
        <v>#N/A</v>
      </c>
      <c r="AF577" s="131" t="e">
        <v>#N/A</v>
      </c>
      <c r="AG577" s="131" t="e">
        <v>#REF!</v>
      </c>
    </row>
    <row r="578" spans="1:33" s="131" customFormat="1" ht="18" customHeight="1" x14ac:dyDescent="0.25">
      <c r="A578" s="125">
        <v>577</v>
      </c>
      <c r="B578" s="126" t="s">
        <v>327</v>
      </c>
      <c r="C578" s="126" t="s">
        <v>3164</v>
      </c>
      <c r="D578" s="126" t="s">
        <v>3131</v>
      </c>
      <c r="E578" s="127" t="s">
        <v>8</v>
      </c>
      <c r="F578" s="128" t="s">
        <v>2411</v>
      </c>
      <c r="G578" s="128" t="s">
        <v>3290</v>
      </c>
      <c r="H578" s="125" t="s">
        <v>927</v>
      </c>
      <c r="I578" s="125"/>
      <c r="J578" s="129"/>
      <c r="K578" s="130"/>
      <c r="L578" s="129"/>
      <c r="M578" s="127" t="s">
        <v>761</v>
      </c>
      <c r="N578" s="127" t="s">
        <v>1639</v>
      </c>
      <c r="O578" s="127" t="s">
        <v>1553</v>
      </c>
      <c r="P578" s="127" t="s">
        <v>1554</v>
      </c>
      <c r="Q578" s="127">
        <v>2</v>
      </c>
      <c r="R578" s="127" t="s">
        <v>1532</v>
      </c>
      <c r="S578" s="127" t="s">
        <v>327</v>
      </c>
      <c r="T578" s="127">
        <v>0</v>
      </c>
      <c r="U578" s="127">
        <v>0</v>
      </c>
      <c r="V578" s="127">
        <v>0</v>
      </c>
      <c r="W578" s="127" t="s">
        <v>1530</v>
      </c>
      <c r="X578" s="127" t="s">
        <v>327</v>
      </c>
      <c r="Y578" s="127" t="s">
        <v>1599</v>
      </c>
      <c r="Z578" s="127">
        <v>0</v>
      </c>
      <c r="AA578" s="127" t="s">
        <v>2510</v>
      </c>
      <c r="AB578" s="131" t="s">
        <v>1366</v>
      </c>
      <c r="AC578" s="127" t="s">
        <v>2189</v>
      </c>
      <c r="AD578" s="131" t="s">
        <v>8</v>
      </c>
      <c r="AE578" s="131" t="e">
        <v>#N/A</v>
      </c>
      <c r="AF578" s="131" t="e">
        <v>#N/A</v>
      </c>
      <c r="AG578" s="131" t="e">
        <v>#REF!</v>
      </c>
    </row>
    <row r="579" spans="1:33" s="131" customFormat="1" ht="18" customHeight="1" x14ac:dyDescent="0.25">
      <c r="A579" s="125">
        <v>578</v>
      </c>
      <c r="B579" s="126" t="s">
        <v>389</v>
      </c>
      <c r="C579" s="126" t="s">
        <v>3165</v>
      </c>
      <c r="D579" s="126" t="s">
        <v>3137</v>
      </c>
      <c r="E579" s="127" t="s">
        <v>8</v>
      </c>
      <c r="F579" s="128" t="s">
        <v>2411</v>
      </c>
      <c r="G579" s="128" t="s">
        <v>3289</v>
      </c>
      <c r="H579" s="125" t="s">
        <v>1732</v>
      </c>
      <c r="I579" s="125"/>
      <c r="J579" s="129"/>
      <c r="K579" s="130"/>
      <c r="L579" s="129"/>
      <c r="M579" s="127" t="s">
        <v>761</v>
      </c>
      <c r="N579" s="127" t="s">
        <v>1639</v>
      </c>
      <c r="O579" s="127" t="s">
        <v>1533</v>
      </c>
      <c r="P579" s="127" t="s">
        <v>812</v>
      </c>
      <c r="Q579" s="127">
        <v>0</v>
      </c>
      <c r="R579" s="127">
        <v>0</v>
      </c>
      <c r="S579" s="127">
        <v>0</v>
      </c>
      <c r="T579" s="127">
        <v>0</v>
      </c>
      <c r="U579" s="127">
        <v>0</v>
      </c>
      <c r="V579" s="127">
        <v>0</v>
      </c>
      <c r="W579" s="127">
        <v>0</v>
      </c>
      <c r="X579" s="127">
        <v>0</v>
      </c>
      <c r="Y579" s="127">
        <v>0</v>
      </c>
      <c r="Z579" s="127">
        <v>0</v>
      </c>
      <c r="AA579" s="127" t="s">
        <v>2511</v>
      </c>
      <c r="AB579" s="131" t="s">
        <v>1367</v>
      </c>
      <c r="AC579" s="127" t="s">
        <v>2190</v>
      </c>
      <c r="AD579" s="131" t="s">
        <v>8</v>
      </c>
      <c r="AE579" s="131" t="e">
        <v>#N/A</v>
      </c>
      <c r="AF579" s="131" t="e">
        <v>#N/A</v>
      </c>
      <c r="AG579" s="131" t="e">
        <v>#REF!</v>
      </c>
    </row>
    <row r="580" spans="1:33" s="131" customFormat="1" ht="18" customHeight="1" x14ac:dyDescent="0.25">
      <c r="A580" s="125">
        <v>579</v>
      </c>
      <c r="B580" s="126" t="s">
        <v>326</v>
      </c>
      <c r="C580" s="126" t="s">
        <v>3166</v>
      </c>
      <c r="D580" s="126" t="s">
        <v>3144</v>
      </c>
      <c r="E580" s="127" t="s">
        <v>8</v>
      </c>
      <c r="F580" s="128"/>
      <c r="G580" s="128" t="s">
        <v>3290</v>
      </c>
      <c r="H580" s="125" t="s">
        <v>986</v>
      </c>
      <c r="I580" s="125"/>
      <c r="J580" s="129"/>
      <c r="K580" s="130"/>
      <c r="L580" s="129"/>
      <c r="M580" s="127" t="s">
        <v>761</v>
      </c>
      <c r="N580" s="127" t="s">
        <v>1639</v>
      </c>
      <c r="O580" s="127" t="s">
        <v>1553</v>
      </c>
      <c r="P580" s="127">
        <v>0</v>
      </c>
      <c r="Q580" s="127">
        <v>2</v>
      </c>
      <c r="R580" s="127" t="s">
        <v>1536</v>
      </c>
      <c r="S580" s="127" t="s">
        <v>326</v>
      </c>
      <c r="T580" s="127">
        <v>0</v>
      </c>
      <c r="U580" s="127">
        <v>0</v>
      </c>
      <c r="V580" s="127">
        <v>0</v>
      </c>
      <c r="W580" s="127" t="s">
        <v>1538</v>
      </c>
      <c r="X580" s="127" t="s">
        <v>326</v>
      </c>
      <c r="Y580" s="127" t="s">
        <v>1436</v>
      </c>
      <c r="Z580" s="127" t="s">
        <v>1568</v>
      </c>
      <c r="AA580" s="127" t="s">
        <v>2511</v>
      </c>
      <c r="AB580" s="131" t="s">
        <v>1368</v>
      </c>
      <c r="AC580" s="127" t="s">
        <v>2191</v>
      </c>
      <c r="AD580" s="131" t="s">
        <v>8</v>
      </c>
      <c r="AE580" s="131" t="e">
        <v>#N/A</v>
      </c>
      <c r="AF580" s="131" t="e">
        <v>#N/A</v>
      </c>
      <c r="AG580" s="131" t="e">
        <v>#REF!</v>
      </c>
    </row>
    <row r="581" spans="1:33" s="131" customFormat="1" ht="18" customHeight="1" x14ac:dyDescent="0.25">
      <c r="A581" s="125">
        <v>580</v>
      </c>
      <c r="B581" s="126" t="s">
        <v>378</v>
      </c>
      <c r="C581" s="126" t="s">
        <v>3167</v>
      </c>
      <c r="D581" s="126" t="s">
        <v>3131</v>
      </c>
      <c r="E581" s="127" t="s">
        <v>8</v>
      </c>
      <c r="F581" s="128" t="s">
        <v>2411</v>
      </c>
      <c r="G581" s="128" t="s">
        <v>3289</v>
      </c>
      <c r="H581" s="125" t="s">
        <v>965</v>
      </c>
      <c r="I581" s="125"/>
      <c r="J581" s="129"/>
      <c r="K581" s="130"/>
      <c r="L581" s="129"/>
      <c r="M581" s="127" t="s">
        <v>761</v>
      </c>
      <c r="N581" s="127" t="s">
        <v>1639</v>
      </c>
      <c r="O581" s="127" t="s">
        <v>1530</v>
      </c>
      <c r="P581" s="127" t="s">
        <v>812</v>
      </c>
      <c r="Q581" s="127">
        <v>0</v>
      </c>
      <c r="R581" s="127">
        <v>0</v>
      </c>
      <c r="S581" s="127">
        <v>0</v>
      </c>
      <c r="T581" s="127">
        <v>0</v>
      </c>
      <c r="U581" s="127">
        <v>0</v>
      </c>
      <c r="V581" s="127">
        <v>0</v>
      </c>
      <c r="W581" s="127">
        <v>0</v>
      </c>
      <c r="X581" s="127">
        <v>0</v>
      </c>
      <c r="Y581" s="127">
        <v>0</v>
      </c>
      <c r="Z581" s="127">
        <v>0</v>
      </c>
      <c r="AA581" s="127" t="s">
        <v>2510</v>
      </c>
      <c r="AB581" s="131" t="s">
        <v>1369</v>
      </c>
      <c r="AC581" s="127" t="s">
        <v>2192</v>
      </c>
      <c r="AD581" s="131" t="s">
        <v>8</v>
      </c>
      <c r="AE581" s="131" t="e">
        <v>#N/A</v>
      </c>
      <c r="AF581" s="131" t="e">
        <v>#N/A</v>
      </c>
      <c r="AG581" s="131" t="e">
        <v>#REF!</v>
      </c>
    </row>
    <row r="582" spans="1:33" s="131" customFormat="1" ht="18" customHeight="1" x14ac:dyDescent="0.25">
      <c r="A582" s="125">
        <v>581</v>
      </c>
      <c r="B582" s="126" t="s">
        <v>395</v>
      </c>
      <c r="C582" s="126" t="s">
        <v>3168</v>
      </c>
      <c r="D582" s="126" t="s">
        <v>2943</v>
      </c>
      <c r="E582" s="127" t="s">
        <v>339</v>
      </c>
      <c r="F582" s="128" t="s">
        <v>2411</v>
      </c>
      <c r="G582" s="128" t="s">
        <v>3290</v>
      </c>
      <c r="H582" s="125"/>
      <c r="I582" s="125" t="s">
        <v>934</v>
      </c>
      <c r="J582" s="132"/>
      <c r="K582" s="130"/>
      <c r="L582" s="129"/>
      <c r="M582" s="127" t="s">
        <v>759</v>
      </c>
      <c r="N582" s="127" t="s">
        <v>770</v>
      </c>
      <c r="O582" s="127" t="s">
        <v>1553</v>
      </c>
      <c r="P582" s="127" t="s">
        <v>1554</v>
      </c>
      <c r="Q582" s="127">
        <v>2</v>
      </c>
      <c r="R582" s="127" t="s">
        <v>1518</v>
      </c>
      <c r="S582" s="127" t="s">
        <v>395</v>
      </c>
      <c r="T582" s="127">
        <v>0</v>
      </c>
      <c r="U582" s="127">
        <v>0</v>
      </c>
      <c r="V582" s="127">
        <v>0</v>
      </c>
      <c r="W582" s="127">
        <v>0</v>
      </c>
      <c r="X582" s="127">
        <v>0</v>
      </c>
      <c r="Y582" s="127">
        <v>0</v>
      </c>
      <c r="Z582" s="127" t="s">
        <v>1568</v>
      </c>
      <c r="AA582" s="127" t="s">
        <v>2510</v>
      </c>
      <c r="AB582" s="131" t="s">
        <v>1370</v>
      </c>
      <c r="AC582" s="127" t="s">
        <v>2193</v>
      </c>
      <c r="AD582" s="131" t="s">
        <v>339</v>
      </c>
      <c r="AE582" s="131" t="e">
        <v>#N/A</v>
      </c>
      <c r="AF582" s="131" t="e">
        <v>#N/A</v>
      </c>
      <c r="AG582" s="131" t="e">
        <v>#REF!</v>
      </c>
    </row>
    <row r="583" spans="1:33" s="131" customFormat="1" ht="18" customHeight="1" x14ac:dyDescent="0.25">
      <c r="A583" s="125">
        <v>582</v>
      </c>
      <c r="B583" s="126" t="s">
        <v>413</v>
      </c>
      <c r="C583" s="126" t="s">
        <v>3169</v>
      </c>
      <c r="D583" s="126" t="s">
        <v>2646</v>
      </c>
      <c r="E583" s="127" t="s">
        <v>8</v>
      </c>
      <c r="F583" s="128"/>
      <c r="G583" s="128" t="s">
        <v>3290</v>
      </c>
      <c r="H583" s="125"/>
      <c r="I583" s="125"/>
      <c r="J583" s="129" t="s">
        <v>1641</v>
      </c>
      <c r="K583" s="130"/>
      <c r="L583" s="129"/>
      <c r="M583" s="127" t="s">
        <v>759</v>
      </c>
      <c r="N583" s="127" t="s">
        <v>1641</v>
      </c>
      <c r="O583" s="127" t="s">
        <v>1427</v>
      </c>
      <c r="P583" s="127">
        <v>0</v>
      </c>
      <c r="Q583" s="127">
        <v>0</v>
      </c>
      <c r="R583" s="127">
        <v>0</v>
      </c>
      <c r="S583" s="127">
        <v>0</v>
      </c>
      <c r="T583" s="127">
        <v>2</v>
      </c>
      <c r="U583" s="127" t="s">
        <v>1600</v>
      </c>
      <c r="V583" s="127" t="s">
        <v>413</v>
      </c>
      <c r="W583" s="127" t="s">
        <v>1530</v>
      </c>
      <c r="X583" s="127" t="s">
        <v>413</v>
      </c>
      <c r="Y583" s="127" t="s">
        <v>1436</v>
      </c>
      <c r="Z583" s="127" t="s">
        <v>1568</v>
      </c>
      <c r="AA583" s="127" t="s">
        <v>2511</v>
      </c>
      <c r="AB583" s="131" t="s">
        <v>1371</v>
      </c>
      <c r="AC583" s="127" t="s">
        <v>2194</v>
      </c>
      <c r="AD583" s="131" t="s">
        <v>8</v>
      </c>
      <c r="AE583" s="131" t="e">
        <v>#N/A</v>
      </c>
      <c r="AF583" s="131" t="e">
        <v>#N/A</v>
      </c>
      <c r="AG583" s="131" t="e">
        <v>#REF!</v>
      </c>
    </row>
    <row r="584" spans="1:33" s="131" customFormat="1" ht="18" customHeight="1" x14ac:dyDescent="0.25">
      <c r="A584" s="125">
        <v>583</v>
      </c>
      <c r="B584" s="126" t="s">
        <v>414</v>
      </c>
      <c r="C584" s="126" t="s">
        <v>3170</v>
      </c>
      <c r="D584" s="126" t="s">
        <v>3137</v>
      </c>
      <c r="E584" s="127" t="s">
        <v>8</v>
      </c>
      <c r="F584" s="128" t="s">
        <v>2410</v>
      </c>
      <c r="G584" s="128" t="s">
        <v>3294</v>
      </c>
      <c r="H584" s="125" t="s">
        <v>925</v>
      </c>
      <c r="I584" s="125"/>
      <c r="J584" s="129"/>
      <c r="K584" s="130" t="s">
        <v>279</v>
      </c>
      <c r="L584" s="129"/>
      <c r="M584" s="127" t="s">
        <v>761</v>
      </c>
      <c r="N584" s="127" t="s">
        <v>1639</v>
      </c>
      <c r="O584" s="127" t="s">
        <v>1427</v>
      </c>
      <c r="P584" s="127">
        <v>0</v>
      </c>
      <c r="Q584" s="127">
        <v>0</v>
      </c>
      <c r="R584" s="127">
        <v>0</v>
      </c>
      <c r="S584" s="127">
        <v>0</v>
      </c>
      <c r="T584" s="127">
        <v>2</v>
      </c>
      <c r="U584" s="127" t="s">
        <v>1539</v>
      </c>
      <c r="V584" s="127" t="s">
        <v>414</v>
      </c>
      <c r="W584" s="127" t="s">
        <v>1467</v>
      </c>
      <c r="X584" s="127" t="s">
        <v>414</v>
      </c>
      <c r="Y584" s="127" t="s">
        <v>1436</v>
      </c>
      <c r="Z584" s="127">
        <v>0</v>
      </c>
      <c r="AA584" s="127" t="s">
        <v>2511</v>
      </c>
      <c r="AB584" s="131" t="s">
        <v>1372</v>
      </c>
      <c r="AC584" s="127" t="s">
        <v>2195</v>
      </c>
      <c r="AD584" s="131" t="s">
        <v>8</v>
      </c>
      <c r="AE584" s="131" t="e">
        <v>#N/A</v>
      </c>
      <c r="AF584" s="131" t="e">
        <v>#N/A</v>
      </c>
      <c r="AG584" s="131" t="e">
        <v>#REF!</v>
      </c>
    </row>
    <row r="585" spans="1:33" s="131" customFormat="1" ht="18" customHeight="1" x14ac:dyDescent="0.25">
      <c r="A585" s="125">
        <v>584</v>
      </c>
      <c r="B585" s="126" t="s">
        <v>409</v>
      </c>
      <c r="C585" s="126" t="s">
        <v>3171</v>
      </c>
      <c r="D585" s="126" t="s">
        <v>3144</v>
      </c>
      <c r="E585" s="127" t="s">
        <v>339</v>
      </c>
      <c r="F585" s="128"/>
      <c r="G585" s="128" t="s">
        <v>3290</v>
      </c>
      <c r="H585" s="125" t="s">
        <v>1086</v>
      </c>
      <c r="I585" s="125"/>
      <c r="J585" s="129"/>
      <c r="K585" s="130"/>
      <c r="L585" s="129"/>
      <c r="M585" s="127" t="s">
        <v>761</v>
      </c>
      <c r="N585" s="127" t="s">
        <v>1639</v>
      </c>
      <c r="O585" s="127" t="s">
        <v>1427</v>
      </c>
      <c r="P585" s="127">
        <v>0</v>
      </c>
      <c r="Q585" s="127">
        <v>0</v>
      </c>
      <c r="R585" s="127">
        <v>0</v>
      </c>
      <c r="S585" s="127">
        <v>0</v>
      </c>
      <c r="T585" s="127">
        <v>2</v>
      </c>
      <c r="U585" s="127" t="s">
        <v>1518</v>
      </c>
      <c r="V585" s="127" t="s">
        <v>409</v>
      </c>
      <c r="W585" s="127" t="s">
        <v>1467</v>
      </c>
      <c r="X585" s="127" t="s">
        <v>409</v>
      </c>
      <c r="Y585" s="127" t="s">
        <v>1454</v>
      </c>
      <c r="Z585" s="127" t="s">
        <v>1568</v>
      </c>
      <c r="AA585" s="127" t="s">
        <v>2510</v>
      </c>
      <c r="AB585" s="131" t="s">
        <v>1373</v>
      </c>
      <c r="AC585" s="127" t="s">
        <v>2196</v>
      </c>
      <c r="AD585" s="131" t="s">
        <v>339</v>
      </c>
      <c r="AE585" s="131" t="e">
        <v>#N/A</v>
      </c>
      <c r="AF585" s="131" t="e">
        <v>#N/A</v>
      </c>
      <c r="AG585" s="131" t="e">
        <v>#REF!</v>
      </c>
    </row>
    <row r="586" spans="1:33" s="131" customFormat="1" ht="18" customHeight="1" x14ac:dyDescent="0.25">
      <c r="A586" s="125">
        <v>585</v>
      </c>
      <c r="B586" s="126" t="s">
        <v>481</v>
      </c>
      <c r="C586" s="126" t="s">
        <v>3172</v>
      </c>
      <c r="D586" s="126" t="s">
        <v>3137</v>
      </c>
      <c r="E586" s="127" t="s">
        <v>8</v>
      </c>
      <c r="F586" s="128" t="s">
        <v>2410</v>
      </c>
      <c r="G586" s="128" t="s">
        <v>3294</v>
      </c>
      <c r="H586" s="125" t="s">
        <v>998</v>
      </c>
      <c r="I586" s="125"/>
      <c r="J586" s="129"/>
      <c r="K586" s="130" t="s">
        <v>279</v>
      </c>
      <c r="L586" s="129"/>
      <c r="M586" s="127" t="s">
        <v>759</v>
      </c>
      <c r="N586" s="127" t="s">
        <v>1639</v>
      </c>
      <c r="O586" s="127" t="s">
        <v>1427</v>
      </c>
      <c r="P586" s="127">
        <v>0</v>
      </c>
      <c r="Q586" s="127">
        <v>0</v>
      </c>
      <c r="R586" s="127">
        <v>0</v>
      </c>
      <c r="S586" s="127">
        <v>0</v>
      </c>
      <c r="T586" s="127">
        <v>2</v>
      </c>
      <c r="U586" s="127" t="s">
        <v>1539</v>
      </c>
      <c r="V586" s="127" t="s">
        <v>481</v>
      </c>
      <c r="W586" s="127">
        <v>0</v>
      </c>
      <c r="X586" s="127">
        <v>0</v>
      </c>
      <c r="Y586" s="127">
        <v>0</v>
      </c>
      <c r="Z586" s="127">
        <v>0</v>
      </c>
      <c r="AA586" s="127" t="s">
        <v>2511</v>
      </c>
      <c r="AB586" s="131" t="s">
        <v>712</v>
      </c>
      <c r="AC586" s="127" t="s">
        <v>2197</v>
      </c>
      <c r="AD586" s="131" t="s">
        <v>8</v>
      </c>
      <c r="AE586" s="131" t="s">
        <v>279</v>
      </c>
      <c r="AF586" s="131" t="b">
        <v>1</v>
      </c>
      <c r="AG586" s="131" t="e">
        <v>#REF!</v>
      </c>
    </row>
    <row r="587" spans="1:33" s="131" customFormat="1" ht="18" customHeight="1" x14ac:dyDescent="0.25">
      <c r="A587" s="125">
        <v>586</v>
      </c>
      <c r="B587" s="126" t="s">
        <v>491</v>
      </c>
      <c r="C587" s="126" t="s">
        <v>3173</v>
      </c>
      <c r="D587" s="126" t="s">
        <v>3144</v>
      </c>
      <c r="E587" s="127" t="s">
        <v>8</v>
      </c>
      <c r="F587" s="128" t="s">
        <v>2411</v>
      </c>
      <c r="G587" s="128" t="s">
        <v>3289</v>
      </c>
      <c r="H587" s="125" t="s">
        <v>2394</v>
      </c>
      <c r="I587" s="125"/>
      <c r="J587" s="129"/>
      <c r="K587" s="130"/>
      <c r="L587" s="129"/>
      <c r="M587" s="127" t="s">
        <v>759</v>
      </c>
      <c r="N587" s="127" t="s">
        <v>1639</v>
      </c>
      <c r="O587" s="127" t="s">
        <v>3321</v>
      </c>
      <c r="P587" s="127" t="s">
        <v>812</v>
      </c>
      <c r="Q587" s="127">
        <v>0</v>
      </c>
      <c r="R587" s="127">
        <v>0</v>
      </c>
      <c r="S587" s="127">
        <v>0</v>
      </c>
      <c r="T587" s="127">
        <v>0</v>
      </c>
      <c r="U587" s="127">
        <v>0</v>
      </c>
      <c r="V587" s="127">
        <v>0</v>
      </c>
      <c r="W587" s="127">
        <v>0</v>
      </c>
      <c r="X587" s="127">
        <v>0</v>
      </c>
      <c r="Y587" s="127">
        <v>0</v>
      </c>
      <c r="Z587" s="127">
        <v>0</v>
      </c>
      <c r="AA587" s="127" t="s">
        <v>2511</v>
      </c>
      <c r="AB587" s="131" t="s">
        <v>713</v>
      </c>
      <c r="AC587" s="127" t="s">
        <v>2202</v>
      </c>
      <c r="AD587" s="131" t="s">
        <v>8</v>
      </c>
      <c r="AE587" s="131" t="e">
        <v>#N/A</v>
      </c>
      <c r="AF587" s="131" t="e">
        <v>#N/A</v>
      </c>
      <c r="AG587" s="131" t="e">
        <v>#REF!</v>
      </c>
    </row>
    <row r="588" spans="1:33" s="131" customFormat="1" ht="18" customHeight="1" x14ac:dyDescent="0.25">
      <c r="A588" s="125">
        <v>587</v>
      </c>
      <c r="B588" s="126" t="s">
        <v>492</v>
      </c>
      <c r="C588" s="126" t="s">
        <v>3174</v>
      </c>
      <c r="D588" s="126" t="s">
        <v>3144</v>
      </c>
      <c r="E588" s="127" t="s">
        <v>8</v>
      </c>
      <c r="F588" s="128" t="s">
        <v>2411</v>
      </c>
      <c r="G588" s="128" t="s">
        <v>3289</v>
      </c>
      <c r="H588" s="125" t="s">
        <v>2394</v>
      </c>
      <c r="I588" s="125"/>
      <c r="J588" s="129"/>
      <c r="K588" s="130"/>
      <c r="L588" s="129"/>
      <c r="M588" s="127" t="s">
        <v>759</v>
      </c>
      <c r="N588" s="127" t="s">
        <v>1639</v>
      </c>
      <c r="O588" s="127" t="s">
        <v>1535</v>
      </c>
      <c r="P588" s="127" t="s">
        <v>812</v>
      </c>
      <c r="Q588" s="127">
        <v>0</v>
      </c>
      <c r="R588" s="127">
        <v>0</v>
      </c>
      <c r="S588" s="127">
        <v>0</v>
      </c>
      <c r="T588" s="127">
        <v>0</v>
      </c>
      <c r="U588" s="127">
        <v>0</v>
      </c>
      <c r="V588" s="127">
        <v>0</v>
      </c>
      <c r="W588" s="127">
        <v>0</v>
      </c>
      <c r="X588" s="127">
        <v>0</v>
      </c>
      <c r="Y588" s="127">
        <v>0</v>
      </c>
      <c r="Z588" s="127">
        <v>0</v>
      </c>
      <c r="AA588" s="127" t="s">
        <v>2511</v>
      </c>
      <c r="AB588" s="131" t="s">
        <v>714</v>
      </c>
      <c r="AC588" s="127" t="s">
        <v>2198</v>
      </c>
      <c r="AD588" s="131" t="s">
        <v>8</v>
      </c>
      <c r="AE588" s="131" t="e">
        <v>#N/A</v>
      </c>
      <c r="AF588" s="131" t="e">
        <v>#N/A</v>
      </c>
      <c r="AG588" s="131" t="e">
        <v>#REF!</v>
      </c>
    </row>
    <row r="589" spans="1:33" s="131" customFormat="1" ht="18" customHeight="1" x14ac:dyDescent="0.25">
      <c r="A589" s="125">
        <v>588</v>
      </c>
      <c r="B589" s="126" t="s">
        <v>545</v>
      </c>
      <c r="C589" s="126" t="s">
        <v>3175</v>
      </c>
      <c r="D589" s="126" t="s">
        <v>3144</v>
      </c>
      <c r="E589" s="127" t="s">
        <v>8</v>
      </c>
      <c r="F589" s="128"/>
      <c r="G589" s="128" t="s">
        <v>3290</v>
      </c>
      <c r="H589" s="125"/>
      <c r="I589" s="125"/>
      <c r="J589" s="129" t="s">
        <v>1641</v>
      </c>
      <c r="K589" s="130"/>
      <c r="L589" s="129"/>
      <c r="M589" s="127" t="s">
        <v>757</v>
      </c>
      <c r="N589" s="127" t="s">
        <v>1641</v>
      </c>
      <c r="O589" s="127" t="s">
        <v>1427</v>
      </c>
      <c r="P589" s="127">
        <v>0</v>
      </c>
      <c r="Q589" s="127">
        <v>0</v>
      </c>
      <c r="R589" s="127">
        <v>0</v>
      </c>
      <c r="S589" s="127">
        <v>0</v>
      </c>
      <c r="T589" s="127">
        <v>2</v>
      </c>
      <c r="U589" s="127" t="s">
        <v>1540</v>
      </c>
      <c r="V589" s="127" t="s">
        <v>545</v>
      </c>
      <c r="W589" s="127" t="s">
        <v>1540</v>
      </c>
      <c r="X589" s="127" t="s">
        <v>545</v>
      </c>
      <c r="Y589" s="127" t="s">
        <v>1573</v>
      </c>
      <c r="Z589" s="127">
        <v>0</v>
      </c>
      <c r="AA589" s="127" t="s">
        <v>2511</v>
      </c>
      <c r="AB589" s="131" t="s">
        <v>715</v>
      </c>
      <c r="AC589" s="127" t="s">
        <v>2200</v>
      </c>
      <c r="AD589" s="131" t="s">
        <v>8</v>
      </c>
      <c r="AE589" s="131" t="e">
        <v>#N/A</v>
      </c>
      <c r="AF589" s="131" t="e">
        <v>#N/A</v>
      </c>
      <c r="AG589" s="131" t="e">
        <v>#REF!</v>
      </c>
    </row>
    <row r="590" spans="1:33" s="131" customFormat="1" ht="18" customHeight="1" x14ac:dyDescent="0.25">
      <c r="A590" s="125">
        <v>589</v>
      </c>
      <c r="B590" s="126" t="s">
        <v>508</v>
      </c>
      <c r="C590" s="126" t="s">
        <v>3176</v>
      </c>
      <c r="D590" s="126" t="s">
        <v>3144</v>
      </c>
      <c r="E590" s="127" t="s">
        <v>8</v>
      </c>
      <c r="F590" s="128" t="s">
        <v>2410</v>
      </c>
      <c r="G590" s="128" t="s">
        <v>3294</v>
      </c>
      <c r="H590" s="125" t="s">
        <v>2394</v>
      </c>
      <c r="I590" s="125"/>
      <c r="J590" s="129"/>
      <c r="K590" s="130" t="s">
        <v>283</v>
      </c>
      <c r="L590" s="129"/>
      <c r="M590" s="127" t="s">
        <v>759</v>
      </c>
      <c r="N590" s="127" t="s">
        <v>1639</v>
      </c>
      <c r="O590" s="127" t="s">
        <v>1553</v>
      </c>
      <c r="P590" s="127">
        <v>0</v>
      </c>
      <c r="Q590" s="127">
        <v>2</v>
      </c>
      <c r="R590" s="127" t="s">
        <v>811</v>
      </c>
      <c r="S590" s="127" t="s">
        <v>508</v>
      </c>
      <c r="T590" s="127">
        <v>0</v>
      </c>
      <c r="U590" s="127">
        <v>0</v>
      </c>
      <c r="V590" s="127">
        <v>0</v>
      </c>
      <c r="W590" s="127">
        <v>0</v>
      </c>
      <c r="X590" s="127">
        <v>0</v>
      </c>
      <c r="Y590" s="127">
        <v>0</v>
      </c>
      <c r="Z590" s="127">
        <v>0</v>
      </c>
      <c r="AA590" s="127" t="s">
        <v>2511</v>
      </c>
      <c r="AB590" s="131" t="s">
        <v>716</v>
      </c>
      <c r="AC590" s="127" t="s">
        <v>2201</v>
      </c>
      <c r="AD590" s="131" t="s">
        <v>8</v>
      </c>
      <c r="AE590" s="131" t="s">
        <v>283</v>
      </c>
      <c r="AF590" s="131" t="b">
        <v>1</v>
      </c>
      <c r="AG590" s="131" t="e">
        <v>#REF!</v>
      </c>
    </row>
    <row r="591" spans="1:33" s="131" customFormat="1" ht="18" customHeight="1" x14ac:dyDescent="0.25">
      <c r="A591" s="125">
        <v>590</v>
      </c>
      <c r="B591" s="126" t="s">
        <v>493</v>
      </c>
      <c r="C591" s="126" t="s">
        <v>3177</v>
      </c>
      <c r="D591" s="126" t="s">
        <v>2646</v>
      </c>
      <c r="E591" s="127" t="s">
        <v>8</v>
      </c>
      <c r="F591" s="128" t="s">
        <v>2410</v>
      </c>
      <c r="G591" s="128" t="s">
        <v>3294</v>
      </c>
      <c r="H591" s="125" t="s">
        <v>2394</v>
      </c>
      <c r="I591" s="125"/>
      <c r="J591" s="129"/>
      <c r="K591" s="130" t="s">
        <v>232</v>
      </c>
      <c r="L591" s="129"/>
      <c r="M591" s="127" t="s">
        <v>759</v>
      </c>
      <c r="N591" s="127" t="s">
        <v>1639</v>
      </c>
      <c r="O591" s="127" t="s">
        <v>1553</v>
      </c>
      <c r="P591" s="127">
        <v>0</v>
      </c>
      <c r="Q591" s="127">
        <v>2</v>
      </c>
      <c r="R591" s="127" t="s">
        <v>1469</v>
      </c>
      <c r="S591" s="127" t="s">
        <v>493</v>
      </c>
      <c r="T591" s="127">
        <v>0</v>
      </c>
      <c r="U591" s="127">
        <v>0</v>
      </c>
      <c r="V591" s="127">
        <v>0</v>
      </c>
      <c r="W591" s="127">
        <v>0</v>
      </c>
      <c r="X591" s="127">
        <v>0</v>
      </c>
      <c r="Y591" s="127">
        <v>0</v>
      </c>
      <c r="Z591" s="127">
        <v>0</v>
      </c>
      <c r="AA591" s="127" t="s">
        <v>2511</v>
      </c>
      <c r="AB591" s="131" t="s">
        <v>717</v>
      </c>
      <c r="AC591" s="127" t="s">
        <v>2199</v>
      </c>
      <c r="AD591" s="131" t="s">
        <v>8</v>
      </c>
      <c r="AE591" s="131" t="s">
        <v>232</v>
      </c>
      <c r="AF591" s="131" t="b">
        <v>1</v>
      </c>
      <c r="AG591" s="131" t="e">
        <v>#REF!</v>
      </c>
    </row>
    <row r="592" spans="1:33" s="131" customFormat="1" ht="18" customHeight="1" x14ac:dyDescent="0.25">
      <c r="A592" s="125">
        <v>591</v>
      </c>
      <c r="B592" s="126" t="s">
        <v>509</v>
      </c>
      <c r="C592" s="126" t="s">
        <v>3178</v>
      </c>
      <c r="D592" s="126" t="s">
        <v>3131</v>
      </c>
      <c r="E592" s="127" t="s">
        <v>8</v>
      </c>
      <c r="F592" s="128" t="s">
        <v>2410</v>
      </c>
      <c r="G592" s="128" t="s">
        <v>3294</v>
      </c>
      <c r="H592" s="125"/>
      <c r="I592" s="125"/>
      <c r="J592" s="129" t="s">
        <v>1641</v>
      </c>
      <c r="K592" s="130" t="s">
        <v>271</v>
      </c>
      <c r="L592" s="129"/>
      <c r="M592" s="127" t="s">
        <v>759</v>
      </c>
      <c r="N592" s="127" t="s">
        <v>1641</v>
      </c>
      <c r="O592" s="127" t="s">
        <v>1553</v>
      </c>
      <c r="P592" s="127">
        <v>0</v>
      </c>
      <c r="Q592" s="127">
        <v>2</v>
      </c>
      <c r="R592" s="127" t="s">
        <v>1534</v>
      </c>
      <c r="S592" s="127" t="s">
        <v>509</v>
      </c>
      <c r="T592" s="127">
        <v>0</v>
      </c>
      <c r="U592" s="127">
        <v>0</v>
      </c>
      <c r="V592" s="127">
        <v>0</v>
      </c>
      <c r="W592" s="127">
        <v>0</v>
      </c>
      <c r="X592" s="127">
        <v>0</v>
      </c>
      <c r="Y592" s="127">
        <v>0</v>
      </c>
      <c r="Z592" s="127">
        <v>0</v>
      </c>
      <c r="AA592" s="127" t="s">
        <v>2511</v>
      </c>
      <c r="AB592" s="131" t="s">
        <v>718</v>
      </c>
      <c r="AC592" s="127" t="s">
        <v>2204</v>
      </c>
      <c r="AD592" s="131" t="s">
        <v>8</v>
      </c>
      <c r="AE592" s="131" t="e">
        <v>#N/A</v>
      </c>
      <c r="AF592" s="131" t="e">
        <v>#N/A</v>
      </c>
      <c r="AG592" s="131" t="e">
        <v>#REF!</v>
      </c>
    </row>
    <row r="593" spans="1:33" s="131" customFormat="1" ht="18" customHeight="1" x14ac:dyDescent="0.25">
      <c r="A593" s="125">
        <v>592</v>
      </c>
      <c r="B593" s="126" t="s">
        <v>514</v>
      </c>
      <c r="C593" s="126" t="s">
        <v>3179</v>
      </c>
      <c r="D593" s="126" t="s">
        <v>3137</v>
      </c>
      <c r="E593" s="127" t="s">
        <v>8</v>
      </c>
      <c r="F593" s="128" t="s">
        <v>2410</v>
      </c>
      <c r="G593" s="128" t="s">
        <v>3294</v>
      </c>
      <c r="H593" s="125" t="s">
        <v>1325</v>
      </c>
      <c r="I593" s="125"/>
      <c r="J593" s="129"/>
      <c r="K593" s="130" t="s">
        <v>570</v>
      </c>
      <c r="L593" s="129"/>
      <c r="M593" s="127" t="s">
        <v>759</v>
      </c>
      <c r="N593" s="127" t="s">
        <v>1639</v>
      </c>
      <c r="O593" s="127" t="s">
        <v>1427</v>
      </c>
      <c r="P593" s="127">
        <v>0</v>
      </c>
      <c r="Q593" s="127">
        <v>0</v>
      </c>
      <c r="R593" s="127">
        <v>0</v>
      </c>
      <c r="S593" s="127">
        <v>0</v>
      </c>
      <c r="T593" s="127">
        <v>2</v>
      </c>
      <c r="U593" s="127" t="s">
        <v>1537</v>
      </c>
      <c r="V593" s="127" t="s">
        <v>514</v>
      </c>
      <c r="W593" s="127">
        <v>0</v>
      </c>
      <c r="X593" s="127">
        <v>0</v>
      </c>
      <c r="Y593" s="127">
        <v>0</v>
      </c>
      <c r="Z593" s="127">
        <v>0</v>
      </c>
      <c r="AA593" s="127" t="s">
        <v>2511</v>
      </c>
      <c r="AB593" s="131" t="s">
        <v>719</v>
      </c>
      <c r="AC593" s="127" t="s">
        <v>2300</v>
      </c>
      <c r="AD593" s="131" t="s">
        <v>8</v>
      </c>
      <c r="AE593" s="131">
        <v>0</v>
      </c>
      <c r="AF593" s="131" t="b">
        <v>0</v>
      </c>
      <c r="AG593" s="131" t="e">
        <v>#REF!</v>
      </c>
    </row>
    <row r="594" spans="1:33" s="131" customFormat="1" ht="18" customHeight="1" x14ac:dyDescent="0.25">
      <c r="A594" s="125">
        <v>593</v>
      </c>
      <c r="B594" s="126" t="s">
        <v>549</v>
      </c>
      <c r="C594" s="126" t="s">
        <v>3180</v>
      </c>
      <c r="D594" s="126" t="s">
        <v>3137</v>
      </c>
      <c r="E594" s="127" t="s">
        <v>8</v>
      </c>
      <c r="F594" s="128" t="s">
        <v>2410</v>
      </c>
      <c r="G594" s="128" t="s">
        <v>3294</v>
      </c>
      <c r="H594" s="125" t="s">
        <v>1223</v>
      </c>
      <c r="I594" s="125"/>
      <c r="J594" s="129"/>
      <c r="K594" s="130" t="s">
        <v>389</v>
      </c>
      <c r="L594" s="129"/>
      <c r="M594" s="127" t="s">
        <v>757</v>
      </c>
      <c r="N594" s="127" t="s">
        <v>1639</v>
      </c>
      <c r="O594" s="127" t="s">
        <v>1427</v>
      </c>
      <c r="P594" s="127">
        <v>0</v>
      </c>
      <c r="Q594" s="127">
        <v>0</v>
      </c>
      <c r="R594" s="127">
        <v>0</v>
      </c>
      <c r="S594" s="127">
        <v>0</v>
      </c>
      <c r="T594" s="127">
        <v>2</v>
      </c>
      <c r="U594" s="127" t="s">
        <v>1533</v>
      </c>
      <c r="V594" s="127" t="s">
        <v>549</v>
      </c>
      <c r="W594" s="127">
        <v>0</v>
      </c>
      <c r="X594" s="127">
        <v>0</v>
      </c>
      <c r="Y594" s="127">
        <v>0</v>
      </c>
      <c r="Z594" s="127">
        <v>0</v>
      </c>
      <c r="AA594" s="127" t="s">
        <v>2511</v>
      </c>
      <c r="AB594" s="131" t="s">
        <v>720</v>
      </c>
      <c r="AC594" s="127" t="s">
        <v>2205</v>
      </c>
      <c r="AD594" s="131" t="s">
        <v>8</v>
      </c>
      <c r="AE594" s="131">
        <v>0</v>
      </c>
      <c r="AF594" s="131" t="b">
        <v>0</v>
      </c>
      <c r="AG594" s="131" t="e">
        <v>#REF!</v>
      </c>
    </row>
    <row r="595" spans="1:33" s="131" customFormat="1" ht="18" customHeight="1" x14ac:dyDescent="0.25">
      <c r="A595" s="125">
        <v>594</v>
      </c>
      <c r="B595" s="126" t="s">
        <v>550</v>
      </c>
      <c r="C595" s="126" t="s">
        <v>3181</v>
      </c>
      <c r="D595" s="126" t="s">
        <v>3144</v>
      </c>
      <c r="E595" s="127" t="s">
        <v>8</v>
      </c>
      <c r="F595" s="128"/>
      <c r="G595" s="128" t="s">
        <v>3290</v>
      </c>
      <c r="H595" s="125"/>
      <c r="I595" s="125"/>
      <c r="J595" s="129" t="s">
        <v>1641</v>
      </c>
      <c r="K595" s="130"/>
      <c r="L595" s="129"/>
      <c r="M595" s="127" t="s">
        <v>757</v>
      </c>
      <c r="N595" s="127" t="s">
        <v>1641</v>
      </c>
      <c r="O595" s="127" t="s">
        <v>1461</v>
      </c>
      <c r="P595" s="127">
        <v>0</v>
      </c>
      <c r="Q595" s="127">
        <v>0</v>
      </c>
      <c r="R595" s="127">
        <v>0</v>
      </c>
      <c r="S595" s="127">
        <v>0</v>
      </c>
      <c r="T595" s="127">
        <v>0</v>
      </c>
      <c r="U595" s="127">
        <v>0</v>
      </c>
      <c r="V595" s="127">
        <v>0</v>
      </c>
      <c r="W595" s="127" t="s">
        <v>1535</v>
      </c>
      <c r="X595" s="127" t="s">
        <v>550</v>
      </c>
      <c r="Y595" s="127" t="s">
        <v>1461</v>
      </c>
      <c r="Z595" s="127">
        <v>0</v>
      </c>
      <c r="AA595" s="127" t="s">
        <v>2511</v>
      </c>
      <c r="AB595" s="131" t="s">
        <v>721</v>
      </c>
      <c r="AC595" s="127" t="s">
        <v>2206</v>
      </c>
      <c r="AD595" s="131" t="s">
        <v>8</v>
      </c>
      <c r="AE595" s="131" t="e">
        <v>#N/A</v>
      </c>
      <c r="AF595" s="131" t="e">
        <v>#N/A</v>
      </c>
      <c r="AG595" s="131" t="e">
        <v>#REF!</v>
      </c>
    </row>
    <row r="596" spans="1:33" s="131" customFormat="1" ht="18" customHeight="1" x14ac:dyDescent="0.25">
      <c r="A596" s="125">
        <v>595</v>
      </c>
      <c r="B596" s="126" t="s">
        <v>551</v>
      </c>
      <c r="C596" s="126" t="s">
        <v>3182</v>
      </c>
      <c r="D596" s="126" t="s">
        <v>3137</v>
      </c>
      <c r="E596" s="127" t="s">
        <v>8</v>
      </c>
      <c r="F596" s="128" t="s">
        <v>2410</v>
      </c>
      <c r="G596" s="128" t="s">
        <v>3294</v>
      </c>
      <c r="H596" s="125" t="s">
        <v>1732</v>
      </c>
      <c r="I596" s="125"/>
      <c r="J596" s="129"/>
      <c r="K596" s="130" t="s">
        <v>279</v>
      </c>
      <c r="L596" s="129"/>
      <c r="M596" s="127" t="s">
        <v>757</v>
      </c>
      <c r="N596" s="127" t="s">
        <v>1639</v>
      </c>
      <c r="O596" s="127" t="s">
        <v>1427</v>
      </c>
      <c r="P596" s="127">
        <v>0</v>
      </c>
      <c r="Q596" s="127">
        <v>0</v>
      </c>
      <c r="R596" s="127">
        <v>0</v>
      </c>
      <c r="S596" s="127">
        <v>0</v>
      </c>
      <c r="T596" s="127">
        <v>2</v>
      </c>
      <c r="U596" s="127" t="s">
        <v>1539</v>
      </c>
      <c r="V596" s="127" t="s">
        <v>551</v>
      </c>
      <c r="W596" s="127">
        <v>0</v>
      </c>
      <c r="X596" s="127">
        <v>0</v>
      </c>
      <c r="Y596" s="127">
        <v>0</v>
      </c>
      <c r="Z596" s="127">
        <v>0</v>
      </c>
      <c r="AA596" s="127" t="s">
        <v>2511</v>
      </c>
      <c r="AB596" s="131" t="s">
        <v>722</v>
      </c>
      <c r="AC596" s="127" t="s">
        <v>2207</v>
      </c>
      <c r="AD596" s="131" t="s">
        <v>8</v>
      </c>
      <c r="AE596" s="131" t="s">
        <v>279</v>
      </c>
      <c r="AF596" s="131" t="b">
        <v>1</v>
      </c>
      <c r="AG596" s="131" t="e">
        <v>#REF!</v>
      </c>
    </row>
    <row r="597" spans="1:33" s="131" customFormat="1" ht="18" customHeight="1" x14ac:dyDescent="0.25">
      <c r="A597" s="125">
        <v>596</v>
      </c>
      <c r="B597" s="126" t="s">
        <v>552</v>
      </c>
      <c r="C597" s="126" t="s">
        <v>3183</v>
      </c>
      <c r="D597" s="126" t="s">
        <v>3137</v>
      </c>
      <c r="E597" s="127" t="s">
        <v>8</v>
      </c>
      <c r="F597" s="128" t="s">
        <v>2410</v>
      </c>
      <c r="G597" s="128" t="s">
        <v>3294</v>
      </c>
      <c r="H597" s="125" t="s">
        <v>2391</v>
      </c>
      <c r="I597" s="125"/>
      <c r="J597" s="129"/>
      <c r="K597" s="130" t="s">
        <v>570</v>
      </c>
      <c r="L597" s="129"/>
      <c r="M597" s="127" t="s">
        <v>757</v>
      </c>
      <c r="N597" s="127" t="s">
        <v>1639</v>
      </c>
      <c r="O597" s="127" t="s">
        <v>1427</v>
      </c>
      <c r="P597" s="127">
        <v>0</v>
      </c>
      <c r="Q597" s="127">
        <v>0</v>
      </c>
      <c r="R597" s="127">
        <v>0</v>
      </c>
      <c r="S597" s="127">
        <v>0</v>
      </c>
      <c r="T597" s="127">
        <v>2</v>
      </c>
      <c r="U597" s="127" t="s">
        <v>1537</v>
      </c>
      <c r="V597" s="127" t="s">
        <v>552</v>
      </c>
      <c r="W597" s="127">
        <v>0</v>
      </c>
      <c r="X597" s="127">
        <v>0</v>
      </c>
      <c r="Y597" s="127">
        <v>0</v>
      </c>
      <c r="Z597" s="127">
        <v>0</v>
      </c>
      <c r="AA597" s="127" t="s">
        <v>2511</v>
      </c>
      <c r="AB597" s="131" t="s">
        <v>723</v>
      </c>
      <c r="AC597" s="127" t="s">
        <v>2208</v>
      </c>
      <c r="AD597" s="131" t="s">
        <v>8</v>
      </c>
      <c r="AE597" s="131">
        <v>0</v>
      </c>
      <c r="AF597" s="131" t="b">
        <v>0</v>
      </c>
      <c r="AG597" s="131" t="e">
        <v>#REF!</v>
      </c>
    </row>
    <row r="598" spans="1:33" s="131" customFormat="1" ht="18" customHeight="1" x14ac:dyDescent="0.25">
      <c r="A598" s="125">
        <v>597</v>
      </c>
      <c r="B598" s="126" t="s">
        <v>553</v>
      </c>
      <c r="C598" s="126" t="s">
        <v>3184</v>
      </c>
      <c r="D598" s="126" t="s">
        <v>3144</v>
      </c>
      <c r="E598" s="127" t="s">
        <v>8</v>
      </c>
      <c r="F598" s="128" t="s">
        <v>2410</v>
      </c>
      <c r="G598" s="128" t="s">
        <v>3294</v>
      </c>
      <c r="H598" s="125"/>
      <c r="I598" s="125"/>
      <c r="J598" s="129" t="s">
        <v>1641</v>
      </c>
      <c r="K598" s="130" t="s">
        <v>278</v>
      </c>
      <c r="L598" s="129"/>
      <c r="M598" s="127" t="s">
        <v>757</v>
      </c>
      <c r="N598" s="127" t="s">
        <v>1641</v>
      </c>
      <c r="O598" s="127" t="s">
        <v>1427</v>
      </c>
      <c r="P598" s="127">
        <v>0</v>
      </c>
      <c r="Q598" s="127">
        <v>0</v>
      </c>
      <c r="R598" s="127">
        <v>0</v>
      </c>
      <c r="S598" s="127">
        <v>0</v>
      </c>
      <c r="T598" s="127">
        <v>2</v>
      </c>
      <c r="U598" s="127" t="s">
        <v>1518</v>
      </c>
      <c r="V598" s="127" t="s">
        <v>553</v>
      </c>
      <c r="W598" s="127" t="s">
        <v>1518</v>
      </c>
      <c r="X598" s="127" t="s">
        <v>553</v>
      </c>
      <c r="Y598" s="127" t="s">
        <v>1573</v>
      </c>
      <c r="Z598" s="127">
        <v>0</v>
      </c>
      <c r="AA598" s="127" t="s">
        <v>2511</v>
      </c>
      <c r="AB598" s="131" t="s">
        <v>724</v>
      </c>
      <c r="AC598" s="127" t="s">
        <v>2209</v>
      </c>
      <c r="AD598" s="131" t="s">
        <v>8</v>
      </c>
      <c r="AE598" s="131" t="e">
        <v>#N/A</v>
      </c>
      <c r="AF598" s="131" t="e">
        <v>#N/A</v>
      </c>
      <c r="AG598" s="131" t="e">
        <v>#REF!</v>
      </c>
    </row>
    <row r="599" spans="1:33" s="131" customFormat="1" ht="18" customHeight="1" x14ac:dyDescent="0.25">
      <c r="A599" s="125">
        <v>598</v>
      </c>
      <c r="B599" s="126" t="s">
        <v>570</v>
      </c>
      <c r="C599" s="126" t="s">
        <v>3185</v>
      </c>
      <c r="D599" s="126" t="s">
        <v>3137</v>
      </c>
      <c r="E599" s="127" t="s">
        <v>8</v>
      </c>
      <c r="F599" s="128" t="s">
        <v>2411</v>
      </c>
      <c r="G599" s="128" t="s">
        <v>3289</v>
      </c>
      <c r="H599" s="125" t="s">
        <v>2394</v>
      </c>
      <c r="I599" s="125"/>
      <c r="J599" s="129"/>
      <c r="K599" s="130"/>
      <c r="L599" s="129"/>
      <c r="M599" s="127" t="s">
        <v>759</v>
      </c>
      <c r="N599" s="127" t="s">
        <v>1639</v>
      </c>
      <c r="O599" s="127" t="s">
        <v>1537</v>
      </c>
      <c r="P599" s="127" t="s">
        <v>812</v>
      </c>
      <c r="Q599" s="127">
        <v>0</v>
      </c>
      <c r="R599" s="127">
        <v>0</v>
      </c>
      <c r="S599" s="127">
        <v>0</v>
      </c>
      <c r="T599" s="127">
        <v>0</v>
      </c>
      <c r="U599" s="127">
        <v>0</v>
      </c>
      <c r="V599" s="127">
        <v>0</v>
      </c>
      <c r="W599" s="127">
        <v>0</v>
      </c>
      <c r="X599" s="127">
        <v>0</v>
      </c>
      <c r="Y599" s="127">
        <v>0</v>
      </c>
      <c r="Z599" s="127">
        <v>0</v>
      </c>
      <c r="AA599" s="127" t="s">
        <v>2511</v>
      </c>
      <c r="AB599" s="131" t="s">
        <v>725</v>
      </c>
      <c r="AC599" s="127" t="s">
        <v>2203</v>
      </c>
      <c r="AD599" s="131" t="s">
        <v>8</v>
      </c>
      <c r="AE599" s="131" t="e">
        <v>#N/A</v>
      </c>
      <c r="AF599" s="131" t="e">
        <v>#N/A</v>
      </c>
      <c r="AG599" s="131" t="e">
        <v>#REF!</v>
      </c>
    </row>
    <row r="600" spans="1:33" s="131" customFormat="1" ht="18" customHeight="1" x14ac:dyDescent="0.25">
      <c r="A600" s="125">
        <v>599</v>
      </c>
      <c r="B600" s="126" t="s">
        <v>586</v>
      </c>
      <c r="C600" s="126" t="s">
        <v>3186</v>
      </c>
      <c r="D600" s="126" t="s">
        <v>3131</v>
      </c>
      <c r="E600" s="127" t="s">
        <v>8</v>
      </c>
      <c r="F600" s="128" t="s">
        <v>2410</v>
      </c>
      <c r="G600" s="128" t="s">
        <v>3290</v>
      </c>
      <c r="H600" s="125" t="s">
        <v>925</v>
      </c>
      <c r="I600" s="125"/>
      <c r="J600" s="129"/>
      <c r="K600" s="130" t="s">
        <v>264</v>
      </c>
      <c r="L600" s="129"/>
      <c r="M600" s="127" t="s">
        <v>759</v>
      </c>
      <c r="N600" s="127" t="s">
        <v>1639</v>
      </c>
      <c r="O600" s="127" t="s">
        <v>1427</v>
      </c>
      <c r="P600" s="127">
        <v>0</v>
      </c>
      <c r="Q600" s="127">
        <v>0</v>
      </c>
      <c r="R600" s="127">
        <v>0</v>
      </c>
      <c r="S600" s="127">
        <v>0</v>
      </c>
      <c r="T600" s="127">
        <v>2</v>
      </c>
      <c r="U600" s="127" t="s">
        <v>1532</v>
      </c>
      <c r="V600" s="127" t="s">
        <v>586</v>
      </c>
      <c r="W600" s="127">
        <v>0</v>
      </c>
      <c r="X600" s="127">
        <v>0</v>
      </c>
      <c r="Y600" s="127">
        <v>0</v>
      </c>
      <c r="Z600" s="127">
        <v>0</v>
      </c>
      <c r="AA600" s="127" t="s">
        <v>2511</v>
      </c>
      <c r="AB600" s="131" t="s">
        <v>726</v>
      </c>
      <c r="AC600" s="127" t="s">
        <v>2210</v>
      </c>
      <c r="AD600" s="131" t="s">
        <v>8</v>
      </c>
      <c r="AE600" s="131" t="s">
        <v>264</v>
      </c>
      <c r="AF600" s="131" t="b">
        <v>1</v>
      </c>
      <c r="AG600" s="131" t="e">
        <v>#REF!</v>
      </c>
    </row>
    <row r="601" spans="1:33" s="131" customFormat="1" ht="18" customHeight="1" x14ac:dyDescent="0.25">
      <c r="A601" s="125">
        <v>600</v>
      </c>
      <c r="B601" s="133" t="s">
        <v>594</v>
      </c>
      <c r="C601" s="126" t="s">
        <v>3187</v>
      </c>
      <c r="D601" s="126" t="s">
        <v>3137</v>
      </c>
      <c r="E601" s="127" t="s">
        <v>8</v>
      </c>
      <c r="F601" s="134" t="s">
        <v>2410</v>
      </c>
      <c r="G601" s="128" t="s">
        <v>3294</v>
      </c>
      <c r="H601" s="125" t="s">
        <v>1732</v>
      </c>
      <c r="I601" s="125"/>
      <c r="J601" s="129"/>
      <c r="K601" s="130" t="s">
        <v>570</v>
      </c>
      <c r="L601" s="129"/>
      <c r="M601" s="127" t="s">
        <v>759</v>
      </c>
      <c r="N601" s="127" t="s">
        <v>1639</v>
      </c>
      <c r="O601" s="127" t="s">
        <v>1427</v>
      </c>
      <c r="P601" s="127">
        <v>0</v>
      </c>
      <c r="Q601" s="127">
        <v>0</v>
      </c>
      <c r="R601" s="127">
        <v>0</v>
      </c>
      <c r="S601" s="127">
        <v>0</v>
      </c>
      <c r="T601" s="127">
        <v>2</v>
      </c>
      <c r="U601" s="127" t="s">
        <v>1537</v>
      </c>
      <c r="V601" s="127" t="s">
        <v>594</v>
      </c>
      <c r="W601" s="127">
        <v>0</v>
      </c>
      <c r="X601" s="127">
        <v>0</v>
      </c>
      <c r="Y601" s="127">
        <v>0</v>
      </c>
      <c r="Z601" s="127">
        <v>0</v>
      </c>
      <c r="AA601" s="127" t="s">
        <v>2511</v>
      </c>
      <c r="AB601" s="131" t="s">
        <v>736</v>
      </c>
      <c r="AC601" s="127" t="s">
        <v>2211</v>
      </c>
      <c r="AD601" s="131" t="s">
        <v>8</v>
      </c>
      <c r="AE601" s="131">
        <v>0</v>
      </c>
      <c r="AF601" s="131" t="b">
        <v>0</v>
      </c>
      <c r="AG601" s="131" t="e">
        <v>#REF!</v>
      </c>
    </row>
    <row r="602" spans="1:33" s="131" customFormat="1" ht="15.75" x14ac:dyDescent="0.25">
      <c r="A602" s="125">
        <v>601</v>
      </c>
      <c r="B602" s="126" t="s">
        <v>874</v>
      </c>
      <c r="C602" s="126" t="s">
        <v>3188</v>
      </c>
      <c r="D602" s="126" t="s">
        <v>3131</v>
      </c>
      <c r="E602" s="127" t="s">
        <v>8</v>
      </c>
      <c r="F602" s="134" t="s">
        <v>2410</v>
      </c>
      <c r="G602" s="128" t="s">
        <v>3294</v>
      </c>
      <c r="H602" s="125" t="s">
        <v>1732</v>
      </c>
      <c r="I602" s="125"/>
      <c r="J602" s="129"/>
      <c r="K602" s="130" t="s">
        <v>271</v>
      </c>
      <c r="L602" s="129"/>
      <c r="M602" s="127" t="s">
        <v>759</v>
      </c>
      <c r="N602" s="127" t="s">
        <v>1639</v>
      </c>
      <c r="O602" s="127" t="s">
        <v>1427</v>
      </c>
      <c r="P602" s="127">
        <v>0</v>
      </c>
      <c r="Q602" s="127">
        <v>0</v>
      </c>
      <c r="R602" s="127">
        <v>0</v>
      </c>
      <c r="S602" s="127">
        <v>0</v>
      </c>
      <c r="T602" s="127">
        <v>2</v>
      </c>
      <c r="U602" s="127" t="s">
        <v>1534</v>
      </c>
      <c r="V602" s="127" t="s">
        <v>874</v>
      </c>
      <c r="W602" s="127">
        <v>0</v>
      </c>
      <c r="X602" s="127">
        <v>0</v>
      </c>
      <c r="Y602" s="127">
        <v>0</v>
      </c>
      <c r="Z602" s="127">
        <v>0</v>
      </c>
      <c r="AA602" s="127" t="s">
        <v>2511</v>
      </c>
      <c r="AB602" s="131" t="s">
        <v>815</v>
      </c>
      <c r="AC602" s="127" t="s">
        <v>2212</v>
      </c>
      <c r="AD602" s="131" t="s">
        <v>8</v>
      </c>
      <c r="AE602" s="131">
        <v>0</v>
      </c>
      <c r="AF602" s="131" t="b">
        <v>0</v>
      </c>
      <c r="AG602" s="131" t="e">
        <v>#REF!</v>
      </c>
    </row>
    <row r="603" spans="1:33" s="131" customFormat="1" ht="18" customHeight="1" x14ac:dyDescent="0.25">
      <c r="A603" s="125">
        <v>602</v>
      </c>
      <c r="B603" s="126" t="s">
        <v>876</v>
      </c>
      <c r="C603" s="126" t="s">
        <v>3189</v>
      </c>
      <c r="D603" s="126" t="s">
        <v>3131</v>
      </c>
      <c r="E603" s="127" t="s">
        <v>8</v>
      </c>
      <c r="F603" s="134" t="s">
        <v>2410</v>
      </c>
      <c r="G603" s="128" t="s">
        <v>3294</v>
      </c>
      <c r="H603" s="125"/>
      <c r="I603" s="125"/>
      <c r="J603" s="129" t="s">
        <v>1641</v>
      </c>
      <c r="K603" s="130" t="s">
        <v>378</v>
      </c>
      <c r="L603" s="129"/>
      <c r="M603" s="127" t="s">
        <v>759</v>
      </c>
      <c r="N603" s="127" t="s">
        <v>1641</v>
      </c>
      <c r="O603" s="127" t="s">
        <v>1427</v>
      </c>
      <c r="P603" s="127">
        <v>0</v>
      </c>
      <c r="Q603" s="127">
        <v>0</v>
      </c>
      <c r="R603" s="127">
        <v>0</v>
      </c>
      <c r="S603" s="127">
        <v>0</v>
      </c>
      <c r="T603" s="127">
        <v>2</v>
      </c>
      <c r="U603" s="127" t="s">
        <v>1530</v>
      </c>
      <c r="V603" s="127" t="s">
        <v>876</v>
      </c>
      <c r="W603" s="127">
        <v>0</v>
      </c>
      <c r="X603" s="127">
        <v>0</v>
      </c>
      <c r="Y603" s="127">
        <v>0</v>
      </c>
      <c r="Z603" s="127">
        <v>0</v>
      </c>
      <c r="AA603" s="127" t="s">
        <v>2511</v>
      </c>
      <c r="AB603" s="131" t="s">
        <v>1675</v>
      </c>
      <c r="AC603" s="127" t="s">
        <v>2302</v>
      </c>
      <c r="AD603" s="131" t="s">
        <v>8</v>
      </c>
      <c r="AE603" s="131">
        <v>0</v>
      </c>
      <c r="AF603" s="131" t="b">
        <v>0</v>
      </c>
      <c r="AG603" s="131" t="e">
        <v>#REF!</v>
      </c>
    </row>
    <row r="604" spans="1:33" s="131" customFormat="1" ht="18" customHeight="1" x14ac:dyDescent="0.25">
      <c r="A604" s="125">
        <v>603</v>
      </c>
      <c r="B604" s="126" t="s">
        <v>875</v>
      </c>
      <c r="C604" s="126" t="s">
        <v>3190</v>
      </c>
      <c r="D604" s="126" t="s">
        <v>3137</v>
      </c>
      <c r="E604" s="127" t="s">
        <v>8</v>
      </c>
      <c r="F604" s="134" t="s">
        <v>2410</v>
      </c>
      <c r="G604" s="128" t="s">
        <v>3294</v>
      </c>
      <c r="H604" s="125" t="s">
        <v>1732</v>
      </c>
      <c r="I604" s="125"/>
      <c r="J604" s="129"/>
      <c r="K604" s="130" t="s">
        <v>570</v>
      </c>
      <c r="L604" s="129"/>
      <c r="M604" s="127" t="s">
        <v>759</v>
      </c>
      <c r="N604" s="127" t="s">
        <v>1639</v>
      </c>
      <c r="O604" s="127" t="s">
        <v>1427</v>
      </c>
      <c r="P604" s="127">
        <v>0</v>
      </c>
      <c r="Q604" s="127">
        <v>0</v>
      </c>
      <c r="R604" s="127">
        <v>0</v>
      </c>
      <c r="S604" s="127">
        <v>0</v>
      </c>
      <c r="T604" s="127">
        <v>2</v>
      </c>
      <c r="U604" s="127" t="s">
        <v>1537</v>
      </c>
      <c r="V604" s="127" t="s">
        <v>875</v>
      </c>
      <c r="W604" s="127">
        <v>0</v>
      </c>
      <c r="X604" s="127">
        <v>0</v>
      </c>
      <c r="Y604" s="127">
        <v>0</v>
      </c>
      <c r="Z604" s="127">
        <v>0</v>
      </c>
      <c r="AA604" s="127" t="s">
        <v>2511</v>
      </c>
      <c r="AB604" s="131" t="s">
        <v>1676</v>
      </c>
      <c r="AC604" s="127" t="s">
        <v>2303</v>
      </c>
      <c r="AD604" s="131" t="s">
        <v>8</v>
      </c>
      <c r="AE604" s="131">
        <v>0</v>
      </c>
      <c r="AF604" s="131" t="b">
        <v>0</v>
      </c>
      <c r="AG604" s="131" t="e">
        <v>#REF!</v>
      </c>
    </row>
    <row r="605" spans="1:33" s="131" customFormat="1" ht="18" customHeight="1" x14ac:dyDescent="0.25">
      <c r="A605" s="125">
        <v>604</v>
      </c>
      <c r="B605" s="126" t="s">
        <v>2326</v>
      </c>
      <c r="C605" s="126" t="s">
        <v>3191</v>
      </c>
      <c r="D605" s="126" t="s">
        <v>2943</v>
      </c>
      <c r="E605" s="127" t="s">
        <v>339</v>
      </c>
      <c r="F605" s="134" t="s">
        <v>2410</v>
      </c>
      <c r="G605" s="128" t="s">
        <v>3289</v>
      </c>
      <c r="H605" s="125"/>
      <c r="I605" s="125"/>
      <c r="J605" s="129" t="s">
        <v>1641</v>
      </c>
      <c r="K605" s="130" t="s">
        <v>7</v>
      </c>
      <c r="L605" s="129"/>
      <c r="M605" s="127" t="s">
        <v>759</v>
      </c>
      <c r="N605" s="127" t="s">
        <v>1641</v>
      </c>
      <c r="O605" s="127" t="s">
        <v>1427</v>
      </c>
      <c r="P605" s="127">
        <v>0</v>
      </c>
      <c r="Q605" s="127">
        <v>0</v>
      </c>
      <c r="R605" s="127">
        <v>0</v>
      </c>
      <c r="S605" s="127">
        <v>0</v>
      </c>
      <c r="T605" s="127">
        <v>2</v>
      </c>
      <c r="U605" s="127" t="s">
        <v>7</v>
      </c>
      <c r="V605" s="127" t="s">
        <v>2326</v>
      </c>
      <c r="W605" s="127">
        <v>0</v>
      </c>
      <c r="X605" s="127">
        <v>0</v>
      </c>
      <c r="Y605" s="127">
        <v>0</v>
      </c>
      <c r="Z605" s="127">
        <v>0</v>
      </c>
      <c r="AA605" s="127" t="s">
        <v>2511</v>
      </c>
      <c r="AB605" s="131" t="s">
        <v>2348</v>
      </c>
      <c r="AC605" s="127"/>
      <c r="AD605" s="131" t="s">
        <v>339</v>
      </c>
      <c r="AE605" s="131" t="e">
        <v>#N/A</v>
      </c>
      <c r="AF605" s="131" t="e">
        <v>#N/A</v>
      </c>
      <c r="AG605" s="131" t="e">
        <v>#REF!</v>
      </c>
    </row>
    <row r="606" spans="1:33" s="131" customFormat="1" ht="18" customHeight="1" x14ac:dyDescent="0.25">
      <c r="A606" s="125">
        <v>605</v>
      </c>
      <c r="B606" s="126" t="s">
        <v>2415</v>
      </c>
      <c r="C606" s="126" t="s">
        <v>3192</v>
      </c>
      <c r="D606" s="126" t="s">
        <v>3137</v>
      </c>
      <c r="E606" s="127" t="s">
        <v>8</v>
      </c>
      <c r="F606" s="134"/>
      <c r="G606" s="128" t="s">
        <v>3294</v>
      </c>
      <c r="H606" s="125"/>
      <c r="I606" s="125"/>
      <c r="J606" s="132" t="s">
        <v>1641</v>
      </c>
      <c r="K606" s="130"/>
      <c r="L606" s="129"/>
      <c r="M606" s="127" t="s">
        <v>759</v>
      </c>
      <c r="N606" s="127" t="s">
        <v>1641</v>
      </c>
      <c r="O606" s="127"/>
      <c r="P606" s="127"/>
      <c r="Q606" s="127">
        <v>0</v>
      </c>
      <c r="R606" s="127">
        <v>0</v>
      </c>
      <c r="S606" s="127">
        <v>0</v>
      </c>
      <c r="T606" s="127">
        <v>2</v>
      </c>
      <c r="U606" s="127" t="s">
        <v>280</v>
      </c>
      <c r="V606" s="127" t="s">
        <v>2415</v>
      </c>
      <c r="W606" s="127"/>
      <c r="X606" s="127"/>
      <c r="Y606" s="127"/>
      <c r="Z606" s="127"/>
      <c r="AA606" s="127" t="s">
        <v>2511</v>
      </c>
      <c r="AB606" s="131" t="s">
        <v>1681</v>
      </c>
      <c r="AC606" s="127"/>
      <c r="AG606" s="131" t="e">
        <v>#REF!</v>
      </c>
    </row>
    <row r="607" spans="1:33" s="131" customFormat="1" ht="18" customHeight="1" x14ac:dyDescent="0.25">
      <c r="A607" s="125">
        <v>606</v>
      </c>
      <c r="B607" s="126" t="s">
        <v>1620</v>
      </c>
      <c r="C607" s="126" t="s">
        <v>3193</v>
      </c>
      <c r="D607" s="126" t="s">
        <v>2943</v>
      </c>
      <c r="E607" s="127" t="s">
        <v>339</v>
      </c>
      <c r="F607" s="134" t="s">
        <v>2410</v>
      </c>
      <c r="G607" s="128" t="s">
        <v>3294</v>
      </c>
      <c r="H607" s="125"/>
      <c r="I607" s="125"/>
      <c r="J607" s="132" t="s">
        <v>1641</v>
      </c>
      <c r="K607" s="130" t="s">
        <v>277</v>
      </c>
      <c r="L607" s="129"/>
      <c r="M607" s="127" t="s">
        <v>759</v>
      </c>
      <c r="N607" s="127" t="s">
        <v>1641</v>
      </c>
      <c r="O607" s="127" t="s">
        <v>1427</v>
      </c>
      <c r="P607" s="127">
        <v>0</v>
      </c>
      <c r="Q607" s="127">
        <v>0</v>
      </c>
      <c r="R607" s="127">
        <v>0</v>
      </c>
      <c r="S607" s="127">
        <v>0</v>
      </c>
      <c r="T607" s="127">
        <v>2</v>
      </c>
      <c r="U607" s="127" t="s">
        <v>277</v>
      </c>
      <c r="V607" s="127" t="s">
        <v>1620</v>
      </c>
      <c r="W607" s="127">
        <v>0</v>
      </c>
      <c r="X607" s="127">
        <v>0</v>
      </c>
      <c r="Y607" s="127">
        <v>0</v>
      </c>
      <c r="Z607" s="127">
        <v>0</v>
      </c>
      <c r="AA607" s="127" t="s">
        <v>2511</v>
      </c>
      <c r="AB607" s="131" t="s">
        <v>1691</v>
      </c>
      <c r="AC607" s="127" t="s">
        <v>2310</v>
      </c>
      <c r="AD607" s="131" t="s">
        <v>339</v>
      </c>
      <c r="AE607" s="131" t="s">
        <v>3297</v>
      </c>
      <c r="AF607" s="131" t="b">
        <v>0</v>
      </c>
      <c r="AG607" s="131" t="e">
        <v>#REF!</v>
      </c>
    </row>
    <row r="608" spans="1:33" s="131" customFormat="1" ht="18" customHeight="1" x14ac:dyDescent="0.25">
      <c r="A608" s="125">
        <v>607</v>
      </c>
      <c r="B608" s="136" t="s">
        <v>1626</v>
      </c>
      <c r="C608" s="126" t="s">
        <v>3194</v>
      </c>
      <c r="D608" s="126" t="s">
        <v>3144</v>
      </c>
      <c r="E608" s="127" t="s">
        <v>8</v>
      </c>
      <c r="F608" s="134" t="s">
        <v>2410</v>
      </c>
      <c r="G608" s="128" t="s">
        <v>3294</v>
      </c>
      <c r="H608" s="125"/>
      <c r="I608" s="125"/>
      <c r="J608" s="132" t="s">
        <v>1641</v>
      </c>
      <c r="K608" s="130" t="s">
        <v>273</v>
      </c>
      <c r="L608" s="129"/>
      <c r="M608" s="127" t="s">
        <v>759</v>
      </c>
      <c r="N608" s="127" t="s">
        <v>1641</v>
      </c>
      <c r="O608" s="127" t="s">
        <v>1427</v>
      </c>
      <c r="P608" s="127">
        <v>0</v>
      </c>
      <c r="Q608" s="127">
        <v>0</v>
      </c>
      <c r="R608" s="127">
        <v>0</v>
      </c>
      <c r="S608" s="127">
        <v>0</v>
      </c>
      <c r="T608" s="127">
        <v>2</v>
      </c>
      <c r="U608" s="127" t="s">
        <v>273</v>
      </c>
      <c r="V608" s="127" t="s">
        <v>1626</v>
      </c>
      <c r="W608" s="127">
        <v>0</v>
      </c>
      <c r="X608" s="127">
        <v>0</v>
      </c>
      <c r="Y608" s="127">
        <v>0</v>
      </c>
      <c r="Z608" s="127">
        <v>0</v>
      </c>
      <c r="AA608" s="127" t="s">
        <v>2511</v>
      </c>
      <c r="AB608" s="131" t="s">
        <v>1697</v>
      </c>
      <c r="AC608" s="127" t="s">
        <v>2314</v>
      </c>
      <c r="AD608" s="131" t="s">
        <v>8</v>
      </c>
      <c r="AE608" s="131" t="s">
        <v>3297</v>
      </c>
      <c r="AF608" s="131" t="b">
        <v>0</v>
      </c>
      <c r="AG608" s="131" t="e">
        <v>#REF!</v>
      </c>
    </row>
    <row r="609" spans="1:33" s="131" customFormat="1" ht="18" customHeight="1" x14ac:dyDescent="0.25">
      <c r="A609" s="125">
        <v>608</v>
      </c>
      <c r="B609" s="136" t="s">
        <v>1627</v>
      </c>
      <c r="C609" s="126" t="s">
        <v>3195</v>
      </c>
      <c r="D609" s="126" t="s">
        <v>3131</v>
      </c>
      <c r="E609" s="127" t="s">
        <v>8</v>
      </c>
      <c r="F609" s="134" t="s">
        <v>2410</v>
      </c>
      <c r="G609" s="128" t="s">
        <v>3294</v>
      </c>
      <c r="H609" s="125"/>
      <c r="I609" s="125"/>
      <c r="J609" s="132" t="s">
        <v>1641</v>
      </c>
      <c r="K609" s="130" t="s">
        <v>327</v>
      </c>
      <c r="L609" s="129"/>
      <c r="M609" s="127" t="s">
        <v>759</v>
      </c>
      <c r="N609" s="127" t="s">
        <v>1641</v>
      </c>
      <c r="O609" s="127" t="s">
        <v>1427</v>
      </c>
      <c r="P609" s="127">
        <v>0</v>
      </c>
      <c r="Q609" s="127">
        <v>0</v>
      </c>
      <c r="R609" s="127">
        <v>0</v>
      </c>
      <c r="S609" s="127">
        <v>0</v>
      </c>
      <c r="T609" s="127">
        <v>2</v>
      </c>
      <c r="U609" s="127" t="s">
        <v>327</v>
      </c>
      <c r="V609" s="127" t="s">
        <v>1627</v>
      </c>
      <c r="W609" s="127">
        <v>0</v>
      </c>
      <c r="X609" s="127">
        <v>0</v>
      </c>
      <c r="Y609" s="127">
        <v>0</v>
      </c>
      <c r="Z609" s="127">
        <v>0</v>
      </c>
      <c r="AA609" s="127" t="s">
        <v>2511</v>
      </c>
      <c r="AB609" s="131" t="s">
        <v>1698</v>
      </c>
      <c r="AC609" s="127" t="s">
        <v>2315</v>
      </c>
      <c r="AD609" s="131" t="s">
        <v>8</v>
      </c>
      <c r="AE609" s="131" t="s">
        <v>3297</v>
      </c>
      <c r="AF609" s="131" t="b">
        <v>0</v>
      </c>
      <c r="AG609" s="131" t="e">
        <v>#REF!</v>
      </c>
    </row>
    <row r="610" spans="1:33" s="131" customFormat="1" ht="18" customHeight="1" x14ac:dyDescent="0.25">
      <c r="A610" s="125">
        <v>609</v>
      </c>
      <c r="B610" s="136" t="s">
        <v>1628</v>
      </c>
      <c r="C610" s="126" t="s">
        <v>3196</v>
      </c>
      <c r="D610" s="126" t="s">
        <v>3144</v>
      </c>
      <c r="E610" s="127" t="s">
        <v>339</v>
      </c>
      <c r="F610" s="134" t="s">
        <v>2410</v>
      </c>
      <c r="G610" s="128" t="s">
        <v>3294</v>
      </c>
      <c r="H610" s="125"/>
      <c r="I610" s="125"/>
      <c r="J610" s="132" t="s">
        <v>1641</v>
      </c>
      <c r="K610" s="130" t="s">
        <v>274</v>
      </c>
      <c r="L610" s="129"/>
      <c r="M610" s="127" t="s">
        <v>759</v>
      </c>
      <c r="N610" s="127" t="s">
        <v>1641</v>
      </c>
      <c r="O610" s="127" t="s">
        <v>1427</v>
      </c>
      <c r="P610" s="127">
        <v>0</v>
      </c>
      <c r="Q610" s="127">
        <v>0</v>
      </c>
      <c r="R610" s="127">
        <v>0</v>
      </c>
      <c r="S610" s="127">
        <v>0</v>
      </c>
      <c r="T610" s="127">
        <v>2</v>
      </c>
      <c r="U610" s="127" t="s">
        <v>274</v>
      </c>
      <c r="V610" s="127" t="s">
        <v>1628</v>
      </c>
      <c r="W610" s="127">
        <v>0</v>
      </c>
      <c r="X610" s="127">
        <v>0</v>
      </c>
      <c r="Y610" s="127">
        <v>0</v>
      </c>
      <c r="Z610" s="127">
        <v>0</v>
      </c>
      <c r="AA610" s="127" t="s">
        <v>2511</v>
      </c>
      <c r="AB610" s="131" t="s">
        <v>1699</v>
      </c>
      <c r="AC610" s="127" t="e">
        <v>#N/A</v>
      </c>
      <c r="AD610" s="131" t="s">
        <v>339</v>
      </c>
      <c r="AE610" s="131" t="s">
        <v>3297</v>
      </c>
      <c r="AF610" s="131" t="b">
        <v>0</v>
      </c>
      <c r="AG610" s="131" t="e">
        <v>#REF!</v>
      </c>
    </row>
    <row r="611" spans="1:33" s="131" customFormat="1" ht="18" customHeight="1" x14ac:dyDescent="0.25">
      <c r="A611" s="125">
        <v>610</v>
      </c>
      <c r="B611" s="137" t="s">
        <v>290</v>
      </c>
      <c r="C611" s="126"/>
      <c r="D611" s="126"/>
      <c r="E611" s="127" t="s">
        <v>407</v>
      </c>
      <c r="F611" s="128" t="s">
        <v>2411</v>
      </c>
      <c r="G611" s="128" t="s">
        <v>3290</v>
      </c>
      <c r="H611" s="125" t="s">
        <v>1732</v>
      </c>
      <c r="I611" s="125"/>
      <c r="J611" s="129"/>
      <c r="K611" s="130"/>
      <c r="L611" s="129"/>
      <c r="M611" s="127" t="s">
        <v>759</v>
      </c>
      <c r="N611" s="127" t="s">
        <v>1639</v>
      </c>
      <c r="O611" s="127" t="s">
        <v>1553</v>
      </c>
      <c r="P611" s="127" t="s">
        <v>1554</v>
      </c>
      <c r="Q611" s="127">
        <v>2</v>
      </c>
      <c r="R611" s="127" t="s">
        <v>1541</v>
      </c>
      <c r="S611" s="127" t="s">
        <v>290</v>
      </c>
      <c r="T611" s="127">
        <v>0</v>
      </c>
      <c r="U611" s="127">
        <v>0</v>
      </c>
      <c r="V611" s="127">
        <v>0</v>
      </c>
      <c r="W611" s="127" t="s">
        <v>1530</v>
      </c>
      <c r="X611" s="127" t="s">
        <v>290</v>
      </c>
      <c r="Y611" s="127" t="s">
        <v>1570</v>
      </c>
      <c r="Z611" s="127">
        <v>0</v>
      </c>
      <c r="AA611" s="127" t="s">
        <v>2511</v>
      </c>
      <c r="AB611" s="131" t="s">
        <v>1374</v>
      </c>
      <c r="AC611" s="127" t="s">
        <v>2213</v>
      </c>
      <c r="AD611" s="131" t="s">
        <v>407</v>
      </c>
      <c r="AE611" s="131" t="e">
        <v>#N/A</v>
      </c>
      <c r="AF611" s="131" t="e">
        <v>#N/A</v>
      </c>
      <c r="AG611" s="131" t="e">
        <v>#REF!</v>
      </c>
    </row>
    <row r="612" spans="1:33" s="131" customFormat="1" ht="18" customHeight="1" x14ac:dyDescent="0.25">
      <c r="A612" s="125">
        <v>611</v>
      </c>
      <c r="B612" s="137" t="s">
        <v>291</v>
      </c>
      <c r="C612" s="126" t="s">
        <v>3197</v>
      </c>
      <c r="D612" s="126" t="s">
        <v>3140</v>
      </c>
      <c r="E612" s="127" t="s">
        <v>407</v>
      </c>
      <c r="F612" s="128" t="s">
        <v>2411</v>
      </c>
      <c r="G612" s="128" t="s">
        <v>3289</v>
      </c>
      <c r="H612" s="125" t="s">
        <v>927</v>
      </c>
      <c r="I612" s="125"/>
      <c r="J612" s="129"/>
      <c r="K612" s="130"/>
      <c r="L612" s="129"/>
      <c r="M612" s="127" t="s">
        <v>761</v>
      </c>
      <c r="N612" s="127" t="s">
        <v>1639</v>
      </c>
      <c r="O612" s="127" t="s">
        <v>1546</v>
      </c>
      <c r="P612" s="127" t="s">
        <v>812</v>
      </c>
      <c r="Q612" s="127">
        <v>0</v>
      </c>
      <c r="R612" s="127">
        <v>0</v>
      </c>
      <c r="S612" s="127">
        <v>0</v>
      </c>
      <c r="T612" s="127">
        <v>0</v>
      </c>
      <c r="U612" s="127">
        <v>0</v>
      </c>
      <c r="V612" s="127">
        <v>0</v>
      </c>
      <c r="W612" s="127">
        <v>0</v>
      </c>
      <c r="X612" s="127">
        <v>0</v>
      </c>
      <c r="Y612" s="127">
        <v>0</v>
      </c>
      <c r="Z612" s="127">
        <v>0</v>
      </c>
      <c r="AA612" s="127" t="s">
        <v>2511</v>
      </c>
      <c r="AB612" s="131" t="s">
        <v>1375</v>
      </c>
      <c r="AC612" s="127" t="s">
        <v>2214</v>
      </c>
      <c r="AD612" s="131" t="s">
        <v>407</v>
      </c>
      <c r="AE612" s="131" t="e">
        <v>#N/A</v>
      </c>
      <c r="AF612" s="131" t="e">
        <v>#N/A</v>
      </c>
      <c r="AG612" s="131" t="e">
        <v>#REF!</v>
      </c>
    </row>
    <row r="613" spans="1:33" s="131" customFormat="1" ht="18" customHeight="1" x14ac:dyDescent="0.25">
      <c r="A613" s="125">
        <v>612</v>
      </c>
      <c r="B613" s="137" t="s">
        <v>292</v>
      </c>
      <c r="C613" s="126" t="s">
        <v>3198</v>
      </c>
      <c r="D613" s="126" t="s">
        <v>3199</v>
      </c>
      <c r="E613" s="127" t="s">
        <v>407</v>
      </c>
      <c r="F613" s="128" t="s">
        <v>2521</v>
      </c>
      <c r="G613" s="128" t="s">
        <v>3289</v>
      </c>
      <c r="H613" s="125"/>
      <c r="I613" s="125"/>
      <c r="J613" s="132" t="s">
        <v>2520</v>
      </c>
      <c r="K613" s="130"/>
      <c r="L613" s="129"/>
      <c r="M613" s="127" t="s">
        <v>758</v>
      </c>
      <c r="N613" s="127" t="s">
        <v>2520</v>
      </c>
      <c r="O613" s="127" t="s">
        <v>2371</v>
      </c>
      <c r="P613" s="127" t="s">
        <v>812</v>
      </c>
      <c r="Q613" s="127">
        <v>0</v>
      </c>
      <c r="R613" s="127">
        <v>0</v>
      </c>
      <c r="S613" s="127">
        <v>0</v>
      </c>
      <c r="T613" s="127">
        <v>0</v>
      </c>
      <c r="U613" s="127">
        <v>0</v>
      </c>
      <c r="V613" s="127">
        <v>0</v>
      </c>
      <c r="W613" s="127">
        <v>0</v>
      </c>
      <c r="X613" s="127">
        <v>0</v>
      </c>
      <c r="Y613" s="127">
        <v>0</v>
      </c>
      <c r="Z613" s="127" t="s">
        <v>1568</v>
      </c>
      <c r="AA613" s="127" t="s">
        <v>2511</v>
      </c>
      <c r="AB613" s="131" t="s">
        <v>1376</v>
      </c>
      <c r="AC613" s="127" t="s">
        <v>2215</v>
      </c>
      <c r="AD613" s="131" t="s">
        <v>407</v>
      </c>
      <c r="AE613" s="131" t="e">
        <v>#N/A</v>
      </c>
      <c r="AF613" s="131" t="e">
        <v>#N/A</v>
      </c>
      <c r="AG613" s="131" t="e">
        <v>#REF!</v>
      </c>
    </row>
    <row r="614" spans="1:33" s="131" customFormat="1" ht="18" customHeight="1" x14ac:dyDescent="0.25">
      <c r="A614" s="125">
        <v>613</v>
      </c>
      <c r="B614" s="137" t="s">
        <v>293</v>
      </c>
      <c r="C614" s="126" t="s">
        <v>3200</v>
      </c>
      <c r="D614" s="126" t="s">
        <v>2648</v>
      </c>
      <c r="E614" s="127" t="s">
        <v>407</v>
      </c>
      <c r="F614" s="128" t="s">
        <v>2411</v>
      </c>
      <c r="G614" s="128" t="s">
        <v>3289</v>
      </c>
      <c r="H614" s="125" t="s">
        <v>965</v>
      </c>
      <c r="I614" s="125"/>
      <c r="J614" s="129"/>
      <c r="K614" s="130"/>
      <c r="L614" s="129"/>
      <c r="M614" s="127" t="s">
        <v>761</v>
      </c>
      <c r="N614" s="127" t="s">
        <v>1639</v>
      </c>
      <c r="O614" s="127" t="s">
        <v>1543</v>
      </c>
      <c r="P614" s="127" t="s">
        <v>812</v>
      </c>
      <c r="Q614" s="127">
        <v>0</v>
      </c>
      <c r="R614" s="127">
        <v>0</v>
      </c>
      <c r="S614" s="127">
        <v>0</v>
      </c>
      <c r="T614" s="127">
        <v>0</v>
      </c>
      <c r="U614" s="127">
        <v>0</v>
      </c>
      <c r="V614" s="127">
        <v>0</v>
      </c>
      <c r="W614" s="127">
        <v>0</v>
      </c>
      <c r="X614" s="127">
        <v>0</v>
      </c>
      <c r="Y614" s="127">
        <v>0</v>
      </c>
      <c r="Z614" s="127">
        <v>0</v>
      </c>
      <c r="AA614" s="127" t="s">
        <v>2511</v>
      </c>
      <c r="AB614" s="131" t="s">
        <v>1377</v>
      </c>
      <c r="AC614" s="127" t="s">
        <v>2216</v>
      </c>
      <c r="AD614" s="131" t="s">
        <v>407</v>
      </c>
      <c r="AE614" s="131" t="e">
        <v>#N/A</v>
      </c>
      <c r="AF614" s="131" t="e">
        <v>#N/A</v>
      </c>
      <c r="AG614" s="131" t="e">
        <v>#REF!</v>
      </c>
    </row>
    <row r="615" spans="1:33" s="131" customFormat="1" ht="18" customHeight="1" x14ac:dyDescent="0.25">
      <c r="A615" s="125">
        <v>614</v>
      </c>
      <c r="B615" s="137" t="s">
        <v>294</v>
      </c>
      <c r="C615" s="126" t="s">
        <v>3201</v>
      </c>
      <c r="D615" s="126" t="s">
        <v>3202</v>
      </c>
      <c r="E615" s="127" t="s">
        <v>407</v>
      </c>
      <c r="F615" s="128" t="s">
        <v>2411</v>
      </c>
      <c r="G615" s="128" t="s">
        <v>3289</v>
      </c>
      <c r="H615" s="125" t="s">
        <v>965</v>
      </c>
      <c r="I615" s="125"/>
      <c r="J615" s="129"/>
      <c r="K615" s="130"/>
      <c r="L615" s="129"/>
      <c r="M615" s="127" t="s">
        <v>761</v>
      </c>
      <c r="N615" s="127" t="s">
        <v>1639</v>
      </c>
      <c r="O615" s="127" t="s">
        <v>1542</v>
      </c>
      <c r="P615" s="127" t="s">
        <v>812</v>
      </c>
      <c r="Q615" s="127">
        <v>0</v>
      </c>
      <c r="R615" s="127">
        <v>0</v>
      </c>
      <c r="S615" s="127">
        <v>0</v>
      </c>
      <c r="T615" s="127">
        <v>0</v>
      </c>
      <c r="U615" s="127">
        <v>0</v>
      </c>
      <c r="V615" s="127">
        <v>0</v>
      </c>
      <c r="W615" s="127">
        <v>0</v>
      </c>
      <c r="X615" s="127">
        <v>0</v>
      </c>
      <c r="Y615" s="127">
        <v>0</v>
      </c>
      <c r="Z615" s="127">
        <v>0</v>
      </c>
      <c r="AA615" s="127" t="s">
        <v>2511</v>
      </c>
      <c r="AB615" s="131" t="s">
        <v>1378</v>
      </c>
      <c r="AC615" s="127" t="s">
        <v>2217</v>
      </c>
      <c r="AD615" s="131" t="s">
        <v>407</v>
      </c>
      <c r="AE615" s="131" t="e">
        <v>#N/A</v>
      </c>
      <c r="AF615" s="131" t="e">
        <v>#N/A</v>
      </c>
      <c r="AG615" s="131" t="e">
        <v>#REF!</v>
      </c>
    </row>
    <row r="616" spans="1:33" s="131" customFormat="1" ht="18" customHeight="1" x14ac:dyDescent="0.25">
      <c r="A616" s="125">
        <v>615</v>
      </c>
      <c r="B616" s="137" t="s">
        <v>295</v>
      </c>
      <c r="C616" s="126" t="s">
        <v>3203</v>
      </c>
      <c r="D616" s="126" t="s">
        <v>3202</v>
      </c>
      <c r="E616" s="127" t="s">
        <v>407</v>
      </c>
      <c r="F616" s="128" t="s">
        <v>2411</v>
      </c>
      <c r="G616" s="128" t="s">
        <v>3289</v>
      </c>
      <c r="H616" s="125"/>
      <c r="I616" s="125"/>
      <c r="J616" s="132"/>
      <c r="K616" s="130"/>
      <c r="L616" s="129"/>
      <c r="M616" s="127" t="s">
        <v>758</v>
      </c>
      <c r="N616" s="127" t="s">
        <v>765</v>
      </c>
      <c r="O616" s="127" t="s">
        <v>3322</v>
      </c>
      <c r="P616" s="127" t="s">
        <v>812</v>
      </c>
      <c r="Q616" s="127">
        <v>0</v>
      </c>
      <c r="R616" s="127">
        <v>0</v>
      </c>
      <c r="S616" s="127">
        <v>0</v>
      </c>
      <c r="T616" s="127">
        <v>0</v>
      </c>
      <c r="U616" s="127">
        <v>0</v>
      </c>
      <c r="V616" s="127">
        <v>0</v>
      </c>
      <c r="W616" s="127">
        <v>0</v>
      </c>
      <c r="X616" s="127">
        <v>0</v>
      </c>
      <c r="Y616" s="127">
        <v>0</v>
      </c>
      <c r="Z616" s="127">
        <v>0</v>
      </c>
      <c r="AA616" s="127" t="s">
        <v>2511</v>
      </c>
      <c r="AB616" s="131" t="s">
        <v>1379</v>
      </c>
      <c r="AC616" s="127" t="s">
        <v>2218</v>
      </c>
      <c r="AD616" s="131" t="s">
        <v>407</v>
      </c>
      <c r="AE616" s="131" t="e">
        <v>#N/A</v>
      </c>
      <c r="AF616" s="131" t="e">
        <v>#N/A</v>
      </c>
      <c r="AG616" s="131" t="e">
        <v>#REF!</v>
      </c>
    </row>
    <row r="617" spans="1:33" s="131" customFormat="1" ht="18" customHeight="1" x14ac:dyDescent="0.25">
      <c r="A617" s="125">
        <v>616</v>
      </c>
      <c r="B617" s="137" t="s">
        <v>296</v>
      </c>
      <c r="C617" s="126" t="s">
        <v>3204</v>
      </c>
      <c r="D617" s="126" t="s">
        <v>2648</v>
      </c>
      <c r="E617" s="127" t="s">
        <v>407</v>
      </c>
      <c r="F617" s="128" t="s">
        <v>2521</v>
      </c>
      <c r="G617" s="128" t="s">
        <v>3290</v>
      </c>
      <c r="H617" s="125"/>
      <c r="I617" s="125"/>
      <c r="J617" s="132" t="s">
        <v>2520</v>
      </c>
      <c r="K617" s="130"/>
      <c r="L617" s="129"/>
      <c r="M617" s="127" t="s">
        <v>778</v>
      </c>
      <c r="N617" s="127" t="s">
        <v>2520</v>
      </c>
      <c r="O617" s="127" t="s">
        <v>1553</v>
      </c>
      <c r="P617" s="127" t="s">
        <v>1554</v>
      </c>
      <c r="Q617" s="127">
        <v>2</v>
      </c>
      <c r="R617" s="127" t="s">
        <v>1543</v>
      </c>
      <c r="S617" s="127" t="s">
        <v>296</v>
      </c>
      <c r="T617" s="127">
        <v>0</v>
      </c>
      <c r="U617" s="127">
        <v>0</v>
      </c>
      <c r="V617" s="127">
        <v>0</v>
      </c>
      <c r="W617" s="127">
        <v>0</v>
      </c>
      <c r="X617" s="127">
        <v>0</v>
      </c>
      <c r="Y617" s="127">
        <v>0</v>
      </c>
      <c r="Z617" s="127" t="s">
        <v>1568</v>
      </c>
      <c r="AA617" s="127" t="s">
        <v>2510</v>
      </c>
      <c r="AB617" s="131" t="s">
        <v>1380</v>
      </c>
      <c r="AC617" s="127" t="s">
        <v>2219</v>
      </c>
      <c r="AD617" s="131" t="s">
        <v>407</v>
      </c>
      <c r="AE617" s="131" t="e">
        <v>#N/A</v>
      </c>
      <c r="AF617" s="131" t="e">
        <v>#N/A</v>
      </c>
      <c r="AG617" s="131" t="e">
        <v>#REF!</v>
      </c>
    </row>
    <row r="618" spans="1:33" s="131" customFormat="1" ht="18" customHeight="1" x14ac:dyDescent="0.25">
      <c r="A618" s="125">
        <v>617</v>
      </c>
      <c r="B618" s="137" t="s">
        <v>297</v>
      </c>
      <c r="C618" s="126" t="s">
        <v>3205</v>
      </c>
      <c r="D618" s="126" t="s">
        <v>3202</v>
      </c>
      <c r="E618" s="127" t="s">
        <v>407</v>
      </c>
      <c r="F618" s="128" t="s">
        <v>2411</v>
      </c>
      <c r="G618" s="128" t="s">
        <v>3289</v>
      </c>
      <c r="H618" s="125" t="s">
        <v>1420</v>
      </c>
      <c r="I618" s="125"/>
      <c r="J618" s="129"/>
      <c r="K618" s="130"/>
      <c r="L618" s="129"/>
      <c r="M618" s="127" t="s">
        <v>761</v>
      </c>
      <c r="N618" s="127" t="s">
        <v>1639</v>
      </c>
      <c r="O618" s="127" t="s">
        <v>1602</v>
      </c>
      <c r="P618" s="127" t="s">
        <v>812</v>
      </c>
      <c r="Q618" s="127">
        <v>0</v>
      </c>
      <c r="R618" s="127">
        <v>0</v>
      </c>
      <c r="S618" s="127">
        <v>0</v>
      </c>
      <c r="T618" s="127">
        <v>0</v>
      </c>
      <c r="U618" s="127">
        <v>0</v>
      </c>
      <c r="V618" s="127">
        <v>0</v>
      </c>
      <c r="W618" s="127">
        <v>0</v>
      </c>
      <c r="X618" s="127">
        <v>0</v>
      </c>
      <c r="Y618" s="127">
        <v>0</v>
      </c>
      <c r="Z618" s="127" t="s">
        <v>1568</v>
      </c>
      <c r="AA618" s="127" t="s">
        <v>2511</v>
      </c>
      <c r="AB618" s="131" t="s">
        <v>1381</v>
      </c>
      <c r="AC618" s="127" t="s">
        <v>2220</v>
      </c>
      <c r="AD618" s="131" t="s">
        <v>407</v>
      </c>
      <c r="AE618" s="131" t="e">
        <v>#N/A</v>
      </c>
      <c r="AF618" s="131" t="e">
        <v>#N/A</v>
      </c>
      <c r="AG618" s="131" t="e">
        <v>#REF!</v>
      </c>
    </row>
    <row r="619" spans="1:33" s="131" customFormat="1" ht="18" customHeight="1" x14ac:dyDescent="0.25">
      <c r="A619" s="125">
        <v>618</v>
      </c>
      <c r="B619" s="137" t="s">
        <v>298</v>
      </c>
      <c r="C619" s="126" t="s">
        <v>3206</v>
      </c>
      <c r="D619" s="126" t="s">
        <v>3202</v>
      </c>
      <c r="E619" s="127" t="s">
        <v>407</v>
      </c>
      <c r="F619" s="128" t="s">
        <v>2521</v>
      </c>
      <c r="G619" s="128" t="s">
        <v>3289</v>
      </c>
      <c r="H619" s="125"/>
      <c r="I619" s="125"/>
      <c r="J619" s="132" t="s">
        <v>2520</v>
      </c>
      <c r="K619" s="130"/>
      <c r="L619" s="129"/>
      <c r="M619" s="127" t="s">
        <v>778</v>
      </c>
      <c r="N619" s="127" t="s">
        <v>2520</v>
      </c>
      <c r="O619" s="127" t="s">
        <v>2372</v>
      </c>
      <c r="P619" s="127" t="s">
        <v>812</v>
      </c>
      <c r="Q619" s="127">
        <v>0</v>
      </c>
      <c r="R619" s="127">
        <v>0</v>
      </c>
      <c r="S619" s="127">
        <v>0</v>
      </c>
      <c r="T619" s="127">
        <v>0</v>
      </c>
      <c r="U619" s="127">
        <v>0</v>
      </c>
      <c r="V619" s="127">
        <v>0</v>
      </c>
      <c r="W619" s="127">
        <v>0</v>
      </c>
      <c r="X619" s="127">
        <v>0</v>
      </c>
      <c r="Y619" s="127">
        <v>0</v>
      </c>
      <c r="Z619" s="127" t="s">
        <v>1568</v>
      </c>
      <c r="AA619" s="127" t="s">
        <v>2511</v>
      </c>
      <c r="AB619" s="131" t="s">
        <v>1382</v>
      </c>
      <c r="AC619" s="127" t="s">
        <v>2221</v>
      </c>
      <c r="AD619" s="131" t="s">
        <v>407</v>
      </c>
      <c r="AE619" s="131" t="e">
        <v>#N/A</v>
      </c>
      <c r="AF619" s="131" t="e">
        <v>#N/A</v>
      </c>
      <c r="AG619" s="131" t="e">
        <v>#REF!</v>
      </c>
    </row>
    <row r="620" spans="1:33" s="131" customFormat="1" ht="18" customHeight="1" x14ac:dyDescent="0.25">
      <c r="A620" s="125">
        <v>619</v>
      </c>
      <c r="B620" s="137" t="s">
        <v>299</v>
      </c>
      <c r="C620" s="126" t="s">
        <v>3207</v>
      </c>
      <c r="D620" s="126" t="s">
        <v>2648</v>
      </c>
      <c r="E620" s="127" t="s">
        <v>407</v>
      </c>
      <c r="F620" s="128" t="s">
        <v>2521</v>
      </c>
      <c r="G620" s="128" t="s">
        <v>3294</v>
      </c>
      <c r="H620" s="125"/>
      <c r="I620" s="125"/>
      <c r="J620" s="132" t="s">
        <v>2520</v>
      </c>
      <c r="K620" s="130"/>
      <c r="L620" s="129"/>
      <c r="M620" s="127" t="s">
        <v>778</v>
      </c>
      <c r="N620" s="127" t="s">
        <v>2520</v>
      </c>
      <c r="O620" s="127" t="s">
        <v>1553</v>
      </c>
      <c r="P620" s="127" t="s">
        <v>1554</v>
      </c>
      <c r="Q620" s="127">
        <v>2</v>
      </c>
      <c r="R620" s="127" t="s">
        <v>1544</v>
      </c>
      <c r="S620" s="127" t="s">
        <v>299</v>
      </c>
      <c r="T620" s="127">
        <v>0</v>
      </c>
      <c r="U620" s="127">
        <v>0</v>
      </c>
      <c r="V620" s="127">
        <v>0</v>
      </c>
      <c r="W620" s="127">
        <v>0</v>
      </c>
      <c r="X620" s="127">
        <v>0</v>
      </c>
      <c r="Y620" s="127">
        <v>0</v>
      </c>
      <c r="Z620" s="127" t="s">
        <v>1568</v>
      </c>
      <c r="AA620" s="127" t="s">
        <v>2511</v>
      </c>
      <c r="AB620" s="131" t="s">
        <v>1383</v>
      </c>
      <c r="AC620" s="127" t="s">
        <v>2222</v>
      </c>
      <c r="AD620" s="131" t="s">
        <v>407</v>
      </c>
      <c r="AE620" s="131" t="e">
        <v>#N/A</v>
      </c>
      <c r="AF620" s="131" t="e">
        <v>#N/A</v>
      </c>
      <c r="AG620" s="131" t="e">
        <v>#REF!</v>
      </c>
    </row>
    <row r="621" spans="1:33" s="131" customFormat="1" ht="18" customHeight="1" x14ac:dyDescent="0.25">
      <c r="A621" s="125">
        <v>620</v>
      </c>
      <c r="B621" s="137" t="s">
        <v>300</v>
      </c>
      <c r="C621" s="126" t="s">
        <v>3208</v>
      </c>
      <c r="D621" s="126" t="s">
        <v>3202</v>
      </c>
      <c r="E621" s="127" t="s">
        <v>407</v>
      </c>
      <c r="F621" s="128" t="s">
        <v>2411</v>
      </c>
      <c r="G621" s="128" t="s">
        <v>3289</v>
      </c>
      <c r="H621" s="125"/>
      <c r="I621" s="125"/>
      <c r="J621" s="132"/>
      <c r="K621" s="130"/>
      <c r="L621" s="129"/>
      <c r="M621" s="127" t="s">
        <v>778</v>
      </c>
      <c r="N621" s="127" t="s">
        <v>765</v>
      </c>
      <c r="O621" s="127" t="s">
        <v>1549</v>
      </c>
      <c r="P621" s="127" t="s">
        <v>812</v>
      </c>
      <c r="Q621" s="127">
        <v>0</v>
      </c>
      <c r="R621" s="127">
        <v>0</v>
      </c>
      <c r="S621" s="127">
        <v>0</v>
      </c>
      <c r="T621" s="127">
        <v>0</v>
      </c>
      <c r="U621" s="127">
        <v>0</v>
      </c>
      <c r="V621" s="127">
        <v>0</v>
      </c>
      <c r="W621" s="127">
        <v>0</v>
      </c>
      <c r="X621" s="127">
        <v>0</v>
      </c>
      <c r="Y621" s="127">
        <v>0</v>
      </c>
      <c r="Z621" s="127">
        <v>0</v>
      </c>
      <c r="AA621" s="127" t="s">
        <v>2511</v>
      </c>
      <c r="AB621" s="131" t="s">
        <v>1384</v>
      </c>
      <c r="AC621" s="127" t="s">
        <v>2223</v>
      </c>
      <c r="AD621" s="131" t="s">
        <v>407</v>
      </c>
      <c r="AE621" s="131" t="e">
        <v>#N/A</v>
      </c>
      <c r="AF621" s="131" t="e">
        <v>#N/A</v>
      </c>
      <c r="AG621" s="131" t="e">
        <v>#REF!</v>
      </c>
    </row>
    <row r="622" spans="1:33" s="131" customFormat="1" ht="18" customHeight="1" x14ac:dyDescent="0.25">
      <c r="A622" s="125">
        <v>621</v>
      </c>
      <c r="B622" s="137" t="s">
        <v>301</v>
      </c>
      <c r="C622" s="126" t="s">
        <v>3209</v>
      </c>
      <c r="D622" s="126" t="s">
        <v>3202</v>
      </c>
      <c r="E622" s="127" t="s">
        <v>407</v>
      </c>
      <c r="F622" s="128" t="s">
        <v>2411</v>
      </c>
      <c r="G622" s="128" t="s">
        <v>3289</v>
      </c>
      <c r="H622" s="125"/>
      <c r="I622" s="125"/>
      <c r="J622" s="132"/>
      <c r="K622" s="130"/>
      <c r="L622" s="129"/>
      <c r="M622" s="127" t="s">
        <v>778</v>
      </c>
      <c r="N622" s="127" t="s">
        <v>765</v>
      </c>
      <c r="O622" s="127" t="s">
        <v>1545</v>
      </c>
      <c r="P622" s="127" t="s">
        <v>812</v>
      </c>
      <c r="Q622" s="127">
        <v>0</v>
      </c>
      <c r="R622" s="127">
        <v>0</v>
      </c>
      <c r="S622" s="127">
        <v>0</v>
      </c>
      <c r="T622" s="127">
        <v>0</v>
      </c>
      <c r="U622" s="127">
        <v>0</v>
      </c>
      <c r="V622" s="127">
        <v>0</v>
      </c>
      <c r="W622" s="127">
        <v>0</v>
      </c>
      <c r="X622" s="127">
        <v>0</v>
      </c>
      <c r="Y622" s="127">
        <v>0</v>
      </c>
      <c r="Z622" s="127">
        <v>0</v>
      </c>
      <c r="AA622" s="127" t="s">
        <v>2511</v>
      </c>
      <c r="AB622" s="131" t="s">
        <v>1385</v>
      </c>
      <c r="AC622" s="127" t="s">
        <v>2224</v>
      </c>
      <c r="AD622" s="131" t="s">
        <v>407</v>
      </c>
      <c r="AE622" s="131" t="e">
        <v>#N/A</v>
      </c>
      <c r="AF622" s="131" t="e">
        <v>#N/A</v>
      </c>
      <c r="AG622" s="131" t="e">
        <v>#REF!</v>
      </c>
    </row>
    <row r="623" spans="1:33" s="131" customFormat="1" ht="18" customHeight="1" x14ac:dyDescent="0.25">
      <c r="A623" s="125">
        <v>622</v>
      </c>
      <c r="B623" s="137" t="s">
        <v>302</v>
      </c>
      <c r="C623" s="126" t="s">
        <v>3210</v>
      </c>
      <c r="D623" s="126" t="s">
        <v>2648</v>
      </c>
      <c r="E623" s="127" t="s">
        <v>407</v>
      </c>
      <c r="F623" s="128"/>
      <c r="G623" s="128" t="s">
        <v>3294</v>
      </c>
      <c r="H623" s="125"/>
      <c r="I623" s="125"/>
      <c r="J623" s="129" t="s">
        <v>1641</v>
      </c>
      <c r="K623" s="130"/>
      <c r="L623" s="129"/>
      <c r="M623" s="127" t="s">
        <v>2356</v>
      </c>
      <c r="N623" s="127" t="s">
        <v>1641</v>
      </c>
      <c r="O623" s="127" t="s">
        <v>1427</v>
      </c>
      <c r="P623" s="127">
        <v>0</v>
      </c>
      <c r="Q623" s="127">
        <v>0</v>
      </c>
      <c r="R623" s="127">
        <v>0</v>
      </c>
      <c r="S623" s="127">
        <v>0</v>
      </c>
      <c r="T623" s="127">
        <v>2</v>
      </c>
      <c r="U623" s="127" t="s">
        <v>1601</v>
      </c>
      <c r="V623" s="127" t="s">
        <v>302</v>
      </c>
      <c r="W623" s="127" t="s">
        <v>1543</v>
      </c>
      <c r="X623" s="127" t="s">
        <v>302</v>
      </c>
      <c r="Y623" s="127" t="s">
        <v>1461</v>
      </c>
      <c r="Z623" s="127">
        <v>0</v>
      </c>
      <c r="AA623" s="127" t="s">
        <v>2511</v>
      </c>
      <c r="AB623" s="131" t="s">
        <v>1386</v>
      </c>
      <c r="AC623" s="127" t="s">
        <v>2225</v>
      </c>
      <c r="AD623" s="131" t="s">
        <v>407</v>
      </c>
      <c r="AE623" s="131" t="e">
        <v>#N/A</v>
      </c>
      <c r="AF623" s="131" t="e">
        <v>#N/A</v>
      </c>
      <c r="AG623" s="131" t="e">
        <v>#REF!</v>
      </c>
    </row>
    <row r="624" spans="1:33" s="131" customFormat="1" ht="18" customHeight="1" x14ac:dyDescent="0.25">
      <c r="A624" s="125">
        <v>623</v>
      </c>
      <c r="B624" s="137" t="s">
        <v>303</v>
      </c>
      <c r="C624" s="126" t="s">
        <v>3211</v>
      </c>
      <c r="D624" s="126" t="s">
        <v>3202</v>
      </c>
      <c r="E624" s="127" t="s">
        <v>407</v>
      </c>
      <c r="F624" s="128"/>
      <c r="G624" s="128" t="s">
        <v>3290</v>
      </c>
      <c r="H624" s="125"/>
      <c r="I624" s="125"/>
      <c r="J624" s="132" t="s">
        <v>2520</v>
      </c>
      <c r="K624" s="130"/>
      <c r="L624" s="129"/>
      <c r="M624" s="127" t="s">
        <v>779</v>
      </c>
      <c r="N624" s="127" t="s">
        <v>2520</v>
      </c>
      <c r="O624" s="127" t="s">
        <v>1427</v>
      </c>
      <c r="P624" s="127">
        <v>0</v>
      </c>
      <c r="Q624" s="127">
        <v>0</v>
      </c>
      <c r="R624" s="127">
        <v>0</v>
      </c>
      <c r="S624" s="127">
        <v>0</v>
      </c>
      <c r="T624" s="127">
        <v>2</v>
      </c>
      <c r="U624" s="127" t="s">
        <v>1543</v>
      </c>
      <c r="V624" s="127" t="s">
        <v>303</v>
      </c>
      <c r="W624" s="127" t="s">
        <v>1543</v>
      </c>
      <c r="X624" s="127" t="s">
        <v>303</v>
      </c>
      <c r="Y624" s="127" t="s">
        <v>1461</v>
      </c>
      <c r="Z624" s="127" t="s">
        <v>1568</v>
      </c>
      <c r="AA624" s="127" t="s">
        <v>2510</v>
      </c>
      <c r="AB624" s="131" t="s">
        <v>1387</v>
      </c>
      <c r="AC624" s="127" t="s">
        <v>2226</v>
      </c>
      <c r="AD624" s="131" t="s">
        <v>407</v>
      </c>
      <c r="AE624" s="131" t="e">
        <v>#N/A</v>
      </c>
      <c r="AF624" s="131" t="e">
        <v>#N/A</v>
      </c>
      <c r="AG624" s="131" t="e">
        <v>#REF!</v>
      </c>
    </row>
    <row r="625" spans="1:33" s="131" customFormat="1" ht="18" customHeight="1" x14ac:dyDescent="0.25">
      <c r="A625" s="125">
        <v>624</v>
      </c>
      <c r="B625" s="137" t="s">
        <v>304</v>
      </c>
      <c r="C625" s="126" t="s">
        <v>3212</v>
      </c>
      <c r="D625" s="126" t="s">
        <v>3202</v>
      </c>
      <c r="E625" s="127" t="s">
        <v>407</v>
      </c>
      <c r="F625" s="128"/>
      <c r="G625" s="128" t="s">
        <v>3290</v>
      </c>
      <c r="H625" s="125"/>
      <c r="I625" s="125"/>
      <c r="J625" s="132" t="s">
        <v>2520</v>
      </c>
      <c r="K625" s="130"/>
      <c r="L625" s="129"/>
      <c r="M625" s="127" t="s">
        <v>779</v>
      </c>
      <c r="N625" s="127" t="s">
        <v>2520</v>
      </c>
      <c r="O625" s="127" t="s">
        <v>1427</v>
      </c>
      <c r="P625" s="127">
        <v>0</v>
      </c>
      <c r="Q625" s="127">
        <v>0</v>
      </c>
      <c r="R625" s="127">
        <v>0</v>
      </c>
      <c r="S625" s="127">
        <v>0</v>
      </c>
      <c r="T625" s="127">
        <v>2</v>
      </c>
      <c r="U625" s="127" t="s">
        <v>1602</v>
      </c>
      <c r="V625" s="127" t="s">
        <v>304</v>
      </c>
      <c r="W625" s="127" t="s">
        <v>1542</v>
      </c>
      <c r="X625" s="127" t="s">
        <v>304</v>
      </c>
      <c r="Y625" s="127" t="s">
        <v>1461</v>
      </c>
      <c r="Z625" s="127" t="s">
        <v>1568</v>
      </c>
      <c r="AA625" s="127" t="s">
        <v>2511</v>
      </c>
      <c r="AB625" s="131" t="s">
        <v>1388</v>
      </c>
      <c r="AC625" s="127" t="s">
        <v>2227</v>
      </c>
      <c r="AD625" s="131" t="s">
        <v>407</v>
      </c>
      <c r="AE625" s="131" t="e">
        <v>#N/A</v>
      </c>
      <c r="AF625" s="131" t="e">
        <v>#N/A</v>
      </c>
      <c r="AG625" s="131" t="e">
        <v>#REF!</v>
      </c>
    </row>
    <row r="626" spans="1:33" s="131" customFormat="1" ht="18" customHeight="1" x14ac:dyDescent="0.25">
      <c r="A626" s="125">
        <v>625</v>
      </c>
      <c r="B626" s="137" t="s">
        <v>305</v>
      </c>
      <c r="C626" s="126" t="s">
        <v>3213</v>
      </c>
      <c r="D626" s="126" t="s">
        <v>3140</v>
      </c>
      <c r="E626" s="127" t="s">
        <v>407</v>
      </c>
      <c r="F626" s="128" t="s">
        <v>2411</v>
      </c>
      <c r="G626" s="128" t="s">
        <v>3289</v>
      </c>
      <c r="H626" s="125"/>
      <c r="I626" s="125"/>
      <c r="J626" s="132" t="s">
        <v>2520</v>
      </c>
      <c r="K626" s="130"/>
      <c r="L626" s="129"/>
      <c r="M626" s="127" t="s">
        <v>779</v>
      </c>
      <c r="N626" s="127" t="s">
        <v>2520</v>
      </c>
      <c r="O626" s="127" t="s">
        <v>1531</v>
      </c>
      <c r="P626" s="127" t="s">
        <v>812</v>
      </c>
      <c r="Q626" s="127">
        <v>0</v>
      </c>
      <c r="R626" s="127">
        <v>0</v>
      </c>
      <c r="S626" s="127">
        <v>0</v>
      </c>
      <c r="T626" s="127">
        <v>0</v>
      </c>
      <c r="U626" s="127">
        <v>0</v>
      </c>
      <c r="V626" s="127">
        <v>0</v>
      </c>
      <c r="W626" s="127">
        <v>0</v>
      </c>
      <c r="X626" s="127">
        <v>0</v>
      </c>
      <c r="Y626" s="127">
        <v>0</v>
      </c>
      <c r="Z626" s="127">
        <v>0</v>
      </c>
      <c r="AA626" s="127" t="s">
        <v>2511</v>
      </c>
      <c r="AB626" s="131" t="s">
        <v>1389</v>
      </c>
      <c r="AC626" s="127" t="s">
        <v>2228</v>
      </c>
      <c r="AD626" s="131" t="s">
        <v>407</v>
      </c>
      <c r="AE626" s="131" t="e">
        <v>#N/A</v>
      </c>
      <c r="AF626" s="131" t="e">
        <v>#N/A</v>
      </c>
      <c r="AG626" s="131" t="e">
        <v>#REF!</v>
      </c>
    </row>
    <row r="627" spans="1:33" s="131" customFormat="1" ht="18" customHeight="1" x14ac:dyDescent="0.25">
      <c r="A627" s="125">
        <v>626</v>
      </c>
      <c r="B627" s="137" t="s">
        <v>306</v>
      </c>
      <c r="C627" s="126" t="s">
        <v>3214</v>
      </c>
      <c r="D627" s="126" t="s">
        <v>3140</v>
      </c>
      <c r="E627" s="127" t="s">
        <v>407</v>
      </c>
      <c r="F627" s="128" t="s">
        <v>2521</v>
      </c>
      <c r="G627" s="128" t="s">
        <v>3290</v>
      </c>
      <c r="H627" s="125"/>
      <c r="I627" s="125"/>
      <c r="J627" s="132" t="s">
        <v>2520</v>
      </c>
      <c r="K627" s="130"/>
      <c r="L627" s="129"/>
      <c r="M627" s="127" t="s">
        <v>779</v>
      </c>
      <c r="N627" s="127" t="s">
        <v>2520</v>
      </c>
      <c r="O627" s="127" t="s">
        <v>1553</v>
      </c>
      <c r="P627" s="127" t="s">
        <v>1554</v>
      </c>
      <c r="Q627" s="127">
        <v>2</v>
      </c>
      <c r="R627" s="127" t="s">
        <v>1541</v>
      </c>
      <c r="S627" s="127" t="s">
        <v>306</v>
      </c>
      <c r="T627" s="127">
        <v>0</v>
      </c>
      <c r="U627" s="127">
        <v>0</v>
      </c>
      <c r="V627" s="127">
        <v>0</v>
      </c>
      <c r="W627" s="127">
        <v>0</v>
      </c>
      <c r="X627" s="127">
        <v>0</v>
      </c>
      <c r="Y627" s="127">
        <v>0</v>
      </c>
      <c r="Z627" s="127" t="s">
        <v>1568</v>
      </c>
      <c r="AA627" s="127" t="s">
        <v>2511</v>
      </c>
      <c r="AB627" s="131" t="s">
        <v>1390</v>
      </c>
      <c r="AC627" s="127" t="s">
        <v>2229</v>
      </c>
      <c r="AD627" s="131" t="s">
        <v>407</v>
      </c>
      <c r="AE627" s="131" t="e">
        <v>#N/A</v>
      </c>
      <c r="AF627" s="131" t="e">
        <v>#N/A</v>
      </c>
      <c r="AG627" s="131" t="e">
        <v>#REF!</v>
      </c>
    </row>
    <row r="628" spans="1:33" s="131" customFormat="1" ht="18" customHeight="1" x14ac:dyDescent="0.25">
      <c r="A628" s="125">
        <v>627</v>
      </c>
      <c r="B628" s="137" t="s">
        <v>307</v>
      </c>
      <c r="C628" s="126" t="s">
        <v>3215</v>
      </c>
      <c r="D628" s="126" t="s">
        <v>3199</v>
      </c>
      <c r="E628" s="127" t="s">
        <v>407</v>
      </c>
      <c r="F628" s="128"/>
      <c r="G628" s="128" t="s">
        <v>3290</v>
      </c>
      <c r="H628" s="125"/>
      <c r="I628" s="125"/>
      <c r="J628" s="132" t="s">
        <v>2520</v>
      </c>
      <c r="K628" s="130"/>
      <c r="L628" s="129"/>
      <c r="M628" s="127" t="s">
        <v>779</v>
      </c>
      <c r="N628" s="127" t="s">
        <v>2520</v>
      </c>
      <c r="O628" s="127" t="s">
        <v>1427</v>
      </c>
      <c r="P628" s="127">
        <v>0</v>
      </c>
      <c r="Q628" s="127">
        <v>0</v>
      </c>
      <c r="R628" s="127">
        <v>0</v>
      </c>
      <c r="S628" s="127">
        <v>0</v>
      </c>
      <c r="T628" s="127">
        <v>2</v>
      </c>
      <c r="U628" s="127" t="s">
        <v>2371</v>
      </c>
      <c r="V628" s="127" t="s">
        <v>307</v>
      </c>
      <c r="W628" s="127" t="s">
        <v>1602</v>
      </c>
      <c r="X628" s="127" t="s">
        <v>307</v>
      </c>
      <c r="Y628" s="127" t="s">
        <v>1461</v>
      </c>
      <c r="Z628" s="127" t="s">
        <v>1568</v>
      </c>
      <c r="AA628" s="127" t="s">
        <v>2511</v>
      </c>
      <c r="AB628" s="131" t="s">
        <v>1391</v>
      </c>
      <c r="AC628" s="127" t="s">
        <v>2230</v>
      </c>
      <c r="AD628" s="131" t="s">
        <v>407</v>
      </c>
      <c r="AE628" s="131" t="e">
        <v>#N/A</v>
      </c>
      <c r="AF628" s="131" t="e">
        <v>#N/A</v>
      </c>
      <c r="AG628" s="131" t="e">
        <v>#REF!</v>
      </c>
    </row>
    <row r="629" spans="1:33" s="131" customFormat="1" ht="18" customHeight="1" x14ac:dyDescent="0.25">
      <c r="A629" s="125">
        <v>628</v>
      </c>
      <c r="B629" s="137" t="s">
        <v>308</v>
      </c>
      <c r="C629" s="126" t="s">
        <v>3216</v>
      </c>
      <c r="D629" s="126" t="s">
        <v>3202</v>
      </c>
      <c r="E629" s="127" t="s">
        <v>407</v>
      </c>
      <c r="F629" s="128"/>
      <c r="G629" s="128" t="s">
        <v>3290</v>
      </c>
      <c r="H629" s="125"/>
      <c r="I629" s="125"/>
      <c r="J629" s="132" t="s">
        <v>2520</v>
      </c>
      <c r="K629" s="130"/>
      <c r="L629" s="129"/>
      <c r="M629" s="127" t="s">
        <v>779</v>
      </c>
      <c r="N629" s="127" t="s">
        <v>2520</v>
      </c>
      <c r="O629" s="127" t="s">
        <v>1427</v>
      </c>
      <c r="P629" s="127">
        <v>0</v>
      </c>
      <c r="Q629" s="127">
        <v>0</v>
      </c>
      <c r="R629" s="127">
        <v>0</v>
      </c>
      <c r="S629" s="127">
        <v>0</v>
      </c>
      <c r="T629" s="127">
        <v>2</v>
      </c>
      <c r="U629" s="127" t="s">
        <v>1542</v>
      </c>
      <c r="V629" s="127" t="s">
        <v>308</v>
      </c>
      <c r="W629" s="127" t="s">
        <v>1542</v>
      </c>
      <c r="X629" s="127" t="s">
        <v>308</v>
      </c>
      <c r="Y629" s="127" t="s">
        <v>1461</v>
      </c>
      <c r="Z629" s="127" t="s">
        <v>1568</v>
      </c>
      <c r="AA629" s="127" t="s">
        <v>2511</v>
      </c>
      <c r="AB629" s="131" t="s">
        <v>1392</v>
      </c>
      <c r="AC629" s="127" t="s">
        <v>2231</v>
      </c>
      <c r="AD629" s="131" t="s">
        <v>407</v>
      </c>
      <c r="AE629" s="131" t="e">
        <v>#N/A</v>
      </c>
      <c r="AF629" s="131" t="e">
        <v>#N/A</v>
      </c>
      <c r="AG629" s="131" t="e">
        <v>#REF!</v>
      </c>
    </row>
    <row r="630" spans="1:33" s="131" customFormat="1" ht="18" customHeight="1" x14ac:dyDescent="0.25">
      <c r="A630" s="125">
        <v>629</v>
      </c>
      <c r="B630" s="137" t="s">
        <v>309</v>
      </c>
      <c r="C630" s="126" t="s">
        <v>3217</v>
      </c>
      <c r="D630" s="126" t="s">
        <v>3199</v>
      </c>
      <c r="E630" s="127" t="s">
        <v>407</v>
      </c>
      <c r="F630" s="128"/>
      <c r="G630" s="128" t="s">
        <v>3290</v>
      </c>
      <c r="H630" s="125"/>
      <c r="I630" s="125"/>
      <c r="J630" s="132" t="s">
        <v>2520</v>
      </c>
      <c r="K630" s="130"/>
      <c r="L630" s="129"/>
      <c r="M630" s="127" t="s">
        <v>779</v>
      </c>
      <c r="N630" s="127" t="s">
        <v>2520</v>
      </c>
      <c r="O630" s="127" t="s">
        <v>1427</v>
      </c>
      <c r="P630" s="127">
        <v>0</v>
      </c>
      <c r="Q630" s="127">
        <v>0</v>
      </c>
      <c r="R630" s="127">
        <v>0</v>
      </c>
      <c r="S630" s="127">
        <v>0</v>
      </c>
      <c r="T630" s="127">
        <v>2</v>
      </c>
      <c r="U630" s="127" t="s">
        <v>1602</v>
      </c>
      <c r="V630" s="127" t="s">
        <v>309</v>
      </c>
      <c r="W630" s="127" t="s">
        <v>1603</v>
      </c>
      <c r="X630" s="127" t="s">
        <v>309</v>
      </c>
      <c r="Y630" s="127" t="s">
        <v>1461</v>
      </c>
      <c r="Z630" s="127" t="s">
        <v>1568</v>
      </c>
      <c r="AA630" s="127" t="s">
        <v>2511</v>
      </c>
      <c r="AB630" s="131" t="s">
        <v>1393</v>
      </c>
      <c r="AC630" s="127" t="s">
        <v>2232</v>
      </c>
      <c r="AD630" s="131" t="s">
        <v>407</v>
      </c>
      <c r="AE630" s="131" t="e">
        <v>#N/A</v>
      </c>
      <c r="AF630" s="131" t="e">
        <v>#N/A</v>
      </c>
      <c r="AG630" s="131" t="e">
        <v>#REF!</v>
      </c>
    </row>
    <row r="631" spans="1:33" s="131" customFormat="1" ht="18" customHeight="1" x14ac:dyDescent="0.25">
      <c r="A631" s="125">
        <v>630</v>
      </c>
      <c r="B631" s="137" t="s">
        <v>310</v>
      </c>
      <c r="C631" s="126" t="s">
        <v>3218</v>
      </c>
      <c r="D631" s="126" t="s">
        <v>3202</v>
      </c>
      <c r="E631" s="127" t="s">
        <v>407</v>
      </c>
      <c r="F631" s="128"/>
      <c r="G631" s="128" t="s">
        <v>3290</v>
      </c>
      <c r="H631" s="125"/>
      <c r="I631" s="125"/>
      <c r="J631" s="132" t="s">
        <v>2520</v>
      </c>
      <c r="K631" s="130"/>
      <c r="L631" s="129"/>
      <c r="M631" s="127" t="s">
        <v>779</v>
      </c>
      <c r="N631" s="127" t="s">
        <v>2520</v>
      </c>
      <c r="O631" s="127" t="s">
        <v>1427</v>
      </c>
      <c r="P631" s="127">
        <v>0</v>
      </c>
      <c r="Q631" s="127">
        <v>0</v>
      </c>
      <c r="R631" s="127">
        <v>0</v>
      </c>
      <c r="S631" s="127">
        <v>0</v>
      </c>
      <c r="T631" s="127">
        <v>2</v>
      </c>
      <c r="U631" s="127" t="s">
        <v>2373</v>
      </c>
      <c r="V631" s="127" t="s">
        <v>310</v>
      </c>
      <c r="W631" s="127" t="s">
        <v>1542</v>
      </c>
      <c r="X631" s="127" t="s">
        <v>310</v>
      </c>
      <c r="Y631" s="127" t="s">
        <v>1461</v>
      </c>
      <c r="Z631" s="127" t="s">
        <v>1568</v>
      </c>
      <c r="AA631" s="127" t="s">
        <v>2511</v>
      </c>
      <c r="AB631" s="131" t="s">
        <v>1394</v>
      </c>
      <c r="AC631" s="127" t="s">
        <v>2233</v>
      </c>
      <c r="AD631" s="131" t="s">
        <v>407</v>
      </c>
      <c r="AE631" s="131" t="e">
        <v>#N/A</v>
      </c>
      <c r="AF631" s="131" t="e">
        <v>#N/A</v>
      </c>
      <c r="AG631" s="131" t="e">
        <v>#REF!</v>
      </c>
    </row>
    <row r="632" spans="1:33" s="131" customFormat="1" ht="18" customHeight="1" x14ac:dyDescent="0.25">
      <c r="A632" s="125">
        <v>631</v>
      </c>
      <c r="B632" s="137" t="s">
        <v>311</v>
      </c>
      <c r="C632" s="126" t="s">
        <v>3219</v>
      </c>
      <c r="D632" s="126" t="s">
        <v>3199</v>
      </c>
      <c r="E632" s="127" t="s">
        <v>407</v>
      </c>
      <c r="F632" s="128"/>
      <c r="G632" s="128" t="s">
        <v>3290</v>
      </c>
      <c r="H632" s="125"/>
      <c r="I632" s="125"/>
      <c r="J632" s="132" t="s">
        <v>2520</v>
      </c>
      <c r="K632" s="130"/>
      <c r="L632" s="129"/>
      <c r="M632" s="127" t="s">
        <v>779</v>
      </c>
      <c r="N632" s="127" t="s">
        <v>2520</v>
      </c>
      <c r="O632" s="127" t="s">
        <v>1427</v>
      </c>
      <c r="P632" s="127">
        <v>0</v>
      </c>
      <c r="Q632" s="127">
        <v>0</v>
      </c>
      <c r="R632" s="127">
        <v>0</v>
      </c>
      <c r="S632" s="127">
        <v>0</v>
      </c>
      <c r="T632" s="127">
        <v>2</v>
      </c>
      <c r="U632" s="127" t="s">
        <v>2371</v>
      </c>
      <c r="V632" s="127" t="s">
        <v>311</v>
      </c>
      <c r="W632" s="127" t="s">
        <v>1542</v>
      </c>
      <c r="X632" s="127" t="s">
        <v>311</v>
      </c>
      <c r="Y632" s="127" t="s">
        <v>1461</v>
      </c>
      <c r="Z632" s="127" t="s">
        <v>1568</v>
      </c>
      <c r="AA632" s="127" t="s">
        <v>2511</v>
      </c>
      <c r="AB632" s="131" t="s">
        <v>1395</v>
      </c>
      <c r="AC632" s="127" t="s">
        <v>2234</v>
      </c>
      <c r="AD632" s="131" t="s">
        <v>407</v>
      </c>
      <c r="AE632" s="131" t="e">
        <v>#N/A</v>
      </c>
      <c r="AF632" s="131" t="e">
        <v>#N/A</v>
      </c>
      <c r="AG632" s="131" t="e">
        <v>#REF!</v>
      </c>
    </row>
    <row r="633" spans="1:33" s="131" customFormat="1" ht="18" customHeight="1" x14ac:dyDescent="0.25">
      <c r="A633" s="125">
        <v>632</v>
      </c>
      <c r="B633" s="137" t="s">
        <v>312</v>
      </c>
      <c r="C633" s="126" t="s">
        <v>3220</v>
      </c>
      <c r="D633" s="126" t="s">
        <v>3202</v>
      </c>
      <c r="E633" s="127" t="s">
        <v>407</v>
      </c>
      <c r="F633" s="128"/>
      <c r="G633" s="128" t="s">
        <v>3290</v>
      </c>
      <c r="H633" s="125"/>
      <c r="I633" s="125"/>
      <c r="J633" s="132" t="s">
        <v>2520</v>
      </c>
      <c r="K633" s="130"/>
      <c r="L633" s="129"/>
      <c r="M633" s="127" t="s">
        <v>758</v>
      </c>
      <c r="N633" s="127" t="s">
        <v>2520</v>
      </c>
      <c r="O633" s="127" t="s">
        <v>1427</v>
      </c>
      <c r="P633" s="127">
        <v>0</v>
      </c>
      <c r="Q633" s="127">
        <v>0</v>
      </c>
      <c r="R633" s="127">
        <v>0</v>
      </c>
      <c r="S633" s="127">
        <v>0</v>
      </c>
      <c r="T633" s="127">
        <v>2</v>
      </c>
      <c r="U633" s="127" t="s">
        <v>2373</v>
      </c>
      <c r="V633" s="127" t="s">
        <v>312</v>
      </c>
      <c r="W633" s="127" t="s">
        <v>1542</v>
      </c>
      <c r="X633" s="127" t="s">
        <v>312</v>
      </c>
      <c r="Y633" s="127" t="s">
        <v>1454</v>
      </c>
      <c r="Z633" s="127" t="s">
        <v>1568</v>
      </c>
      <c r="AA633" s="127" t="s">
        <v>2511</v>
      </c>
      <c r="AB633" s="131" t="s">
        <v>1396</v>
      </c>
      <c r="AC633" s="127" t="s">
        <v>2235</v>
      </c>
      <c r="AD633" s="131" t="s">
        <v>407</v>
      </c>
      <c r="AE633" s="131" t="e">
        <v>#N/A</v>
      </c>
      <c r="AF633" s="131" t="e">
        <v>#N/A</v>
      </c>
      <c r="AG633" s="131" t="e">
        <v>#REF!</v>
      </c>
    </row>
    <row r="634" spans="1:33" s="131" customFormat="1" ht="18" customHeight="1" x14ac:dyDescent="0.25">
      <c r="A634" s="125">
        <v>633</v>
      </c>
      <c r="B634" s="137" t="s">
        <v>313</v>
      </c>
      <c r="C634" s="126" t="s">
        <v>3221</v>
      </c>
      <c r="D634" s="126" t="s">
        <v>3199</v>
      </c>
      <c r="E634" s="127" t="s">
        <v>407</v>
      </c>
      <c r="F634" s="128" t="s">
        <v>2411</v>
      </c>
      <c r="G634" s="128" t="s">
        <v>3289</v>
      </c>
      <c r="H634" s="125"/>
      <c r="I634" s="125" t="s">
        <v>934</v>
      </c>
      <c r="J634" s="132"/>
      <c r="K634" s="130"/>
      <c r="L634" s="129"/>
      <c r="M634" s="127" t="s">
        <v>759</v>
      </c>
      <c r="N634" s="127" t="s">
        <v>770</v>
      </c>
      <c r="O634" s="127" t="s">
        <v>2374</v>
      </c>
      <c r="P634" s="127" t="s">
        <v>812</v>
      </c>
      <c r="Q634" s="127">
        <v>0</v>
      </c>
      <c r="R634" s="127">
        <v>0</v>
      </c>
      <c r="S634" s="127">
        <v>0</v>
      </c>
      <c r="T634" s="127">
        <v>0</v>
      </c>
      <c r="U634" s="127">
        <v>0</v>
      </c>
      <c r="V634" s="127">
        <v>0</v>
      </c>
      <c r="W634" s="127">
        <v>0</v>
      </c>
      <c r="X634" s="127">
        <v>0</v>
      </c>
      <c r="Y634" s="127">
        <v>0</v>
      </c>
      <c r="Z634" s="127" t="s">
        <v>1568</v>
      </c>
      <c r="AA634" s="127" t="s">
        <v>2511</v>
      </c>
      <c r="AB634" s="131" t="s">
        <v>1397</v>
      </c>
      <c r="AC634" s="127" t="s">
        <v>2304</v>
      </c>
      <c r="AD634" s="131" t="s">
        <v>407</v>
      </c>
      <c r="AE634" s="131" t="e">
        <v>#N/A</v>
      </c>
      <c r="AF634" s="131" t="e">
        <v>#N/A</v>
      </c>
      <c r="AG634" s="131" t="e">
        <v>#REF!</v>
      </c>
    </row>
    <row r="635" spans="1:33" s="131" customFormat="1" ht="18" customHeight="1" x14ac:dyDescent="0.25">
      <c r="A635" s="125">
        <v>634</v>
      </c>
      <c r="B635" s="137" t="s">
        <v>314</v>
      </c>
      <c r="C635" s="126" t="s">
        <v>3222</v>
      </c>
      <c r="D635" s="126" t="s">
        <v>3199</v>
      </c>
      <c r="E635" s="127" t="s">
        <v>407</v>
      </c>
      <c r="F635" s="128" t="s">
        <v>2521</v>
      </c>
      <c r="G635" s="128" t="s">
        <v>3290</v>
      </c>
      <c r="H635" s="125"/>
      <c r="I635" s="125"/>
      <c r="J635" s="132" t="s">
        <v>2520</v>
      </c>
      <c r="K635" s="130"/>
      <c r="L635" s="129"/>
      <c r="M635" s="127" t="s">
        <v>758</v>
      </c>
      <c r="N635" s="127" t="s">
        <v>2520</v>
      </c>
      <c r="O635" s="127" t="s">
        <v>1427</v>
      </c>
      <c r="P635" s="127" t="s">
        <v>1554</v>
      </c>
      <c r="Q635" s="127">
        <v>0</v>
      </c>
      <c r="R635" s="127">
        <v>0</v>
      </c>
      <c r="S635" s="127">
        <v>0</v>
      </c>
      <c r="T635" s="127">
        <v>2</v>
      </c>
      <c r="U635" s="127" t="s">
        <v>1545</v>
      </c>
      <c r="V635" s="127" t="s">
        <v>314</v>
      </c>
      <c r="W635" s="127">
        <v>0</v>
      </c>
      <c r="X635" s="127">
        <v>0</v>
      </c>
      <c r="Y635" s="127">
        <v>0</v>
      </c>
      <c r="Z635" s="127" t="s">
        <v>1568</v>
      </c>
      <c r="AA635" s="127" t="s">
        <v>2511</v>
      </c>
      <c r="AB635" s="131" t="s">
        <v>1398</v>
      </c>
      <c r="AC635" s="127" t="s">
        <v>2236</v>
      </c>
      <c r="AD635" s="131" t="s">
        <v>407</v>
      </c>
      <c r="AE635" s="131" t="e">
        <v>#N/A</v>
      </c>
      <c r="AF635" s="131" t="e">
        <v>#N/A</v>
      </c>
      <c r="AG635" s="131" t="e">
        <v>#REF!</v>
      </c>
    </row>
    <row r="636" spans="1:33" s="131" customFormat="1" ht="18" customHeight="1" x14ac:dyDescent="0.25">
      <c r="A636" s="125">
        <v>635</v>
      </c>
      <c r="B636" s="137" t="s">
        <v>315</v>
      </c>
      <c r="C636" s="126" t="s">
        <v>3223</v>
      </c>
      <c r="D636" s="126" t="s">
        <v>2648</v>
      </c>
      <c r="E636" s="127" t="s">
        <v>407</v>
      </c>
      <c r="F636" s="128" t="s">
        <v>2521</v>
      </c>
      <c r="G636" s="128" t="s">
        <v>3290</v>
      </c>
      <c r="H636" s="125"/>
      <c r="I636" s="125"/>
      <c r="J636" s="132" t="s">
        <v>2520</v>
      </c>
      <c r="K636" s="130"/>
      <c r="L636" s="129"/>
      <c r="M636" s="127" t="s">
        <v>758</v>
      </c>
      <c r="N636" s="127" t="s">
        <v>2520</v>
      </c>
      <c r="O636" s="127" t="s">
        <v>1553</v>
      </c>
      <c r="P636" s="127" t="s">
        <v>1554</v>
      </c>
      <c r="Q636" s="127">
        <v>2</v>
      </c>
      <c r="R636" s="127" t="s">
        <v>1544</v>
      </c>
      <c r="S636" s="127" t="s">
        <v>315</v>
      </c>
      <c r="T636" s="127">
        <v>0</v>
      </c>
      <c r="U636" s="127">
        <v>0</v>
      </c>
      <c r="V636" s="127">
        <v>0</v>
      </c>
      <c r="W636" s="127" t="s">
        <v>1465</v>
      </c>
      <c r="X636" s="127" t="s">
        <v>315</v>
      </c>
      <c r="Y636" s="127" t="s">
        <v>1436</v>
      </c>
      <c r="Z636" s="127">
        <v>0</v>
      </c>
      <c r="AA636" s="127" t="s">
        <v>2511</v>
      </c>
      <c r="AB636" s="131" t="s">
        <v>1399</v>
      </c>
      <c r="AC636" s="127" t="s">
        <v>2237</v>
      </c>
      <c r="AD636" s="131" t="s">
        <v>407</v>
      </c>
      <c r="AE636" s="131" t="e">
        <v>#N/A</v>
      </c>
      <c r="AF636" s="131" t="e">
        <v>#N/A</v>
      </c>
      <c r="AG636" s="131" t="e">
        <v>#REF!</v>
      </c>
    </row>
    <row r="637" spans="1:33" s="131" customFormat="1" ht="18" customHeight="1" x14ac:dyDescent="0.25">
      <c r="A637" s="125">
        <v>636</v>
      </c>
      <c r="B637" s="126" t="s">
        <v>319</v>
      </c>
      <c r="C637" s="126" t="s">
        <v>3224</v>
      </c>
      <c r="D637" s="126" t="s">
        <v>3140</v>
      </c>
      <c r="E637" s="127" t="s">
        <v>407</v>
      </c>
      <c r="F637" s="128"/>
      <c r="G637" s="128" t="s">
        <v>3290</v>
      </c>
      <c r="H637" s="125" t="s">
        <v>927</v>
      </c>
      <c r="I637" s="125"/>
      <c r="J637" s="129"/>
      <c r="K637" s="130"/>
      <c r="L637" s="129"/>
      <c r="M637" s="127" t="s">
        <v>761</v>
      </c>
      <c r="N637" s="127" t="s">
        <v>1639</v>
      </c>
      <c r="O637" s="127" t="s">
        <v>1427</v>
      </c>
      <c r="P637" s="127">
        <v>0</v>
      </c>
      <c r="Q637" s="127">
        <v>0</v>
      </c>
      <c r="R637" s="127">
        <v>0</v>
      </c>
      <c r="S637" s="127">
        <v>0</v>
      </c>
      <c r="T637" s="127">
        <v>2</v>
      </c>
      <c r="U637" s="127" t="s">
        <v>1531</v>
      </c>
      <c r="V637" s="127" t="s">
        <v>319</v>
      </c>
      <c r="W637" s="127" t="s">
        <v>1530</v>
      </c>
      <c r="X637" s="127" t="s">
        <v>319</v>
      </c>
      <c r="Y637" s="127" t="s">
        <v>1436</v>
      </c>
      <c r="Z637" s="127" t="s">
        <v>1568</v>
      </c>
      <c r="AA637" s="127" t="s">
        <v>2511</v>
      </c>
      <c r="AB637" s="131" t="s">
        <v>1400</v>
      </c>
      <c r="AC637" s="127" t="s">
        <v>2238</v>
      </c>
      <c r="AD637" s="131" t="s">
        <v>407</v>
      </c>
      <c r="AE637" s="131" t="e">
        <v>#N/A</v>
      </c>
      <c r="AF637" s="131" t="e">
        <v>#N/A</v>
      </c>
      <c r="AG637" s="131" t="e">
        <v>#REF!</v>
      </c>
    </row>
    <row r="638" spans="1:33" s="131" customFormat="1" ht="18" customHeight="1" x14ac:dyDescent="0.25">
      <c r="A638" s="125">
        <v>637</v>
      </c>
      <c r="B638" s="126" t="s">
        <v>323</v>
      </c>
      <c r="C638" s="126" t="s">
        <v>3225</v>
      </c>
      <c r="D638" s="126" t="s">
        <v>2648</v>
      </c>
      <c r="E638" s="127" t="s">
        <v>407</v>
      </c>
      <c r="F638" s="128" t="s">
        <v>2411</v>
      </c>
      <c r="G638" s="128" t="s">
        <v>3289</v>
      </c>
      <c r="H638" s="125" t="s">
        <v>1732</v>
      </c>
      <c r="I638" s="125"/>
      <c r="J638" s="129"/>
      <c r="K638" s="130"/>
      <c r="L638" s="129"/>
      <c r="M638" s="127" t="s">
        <v>761</v>
      </c>
      <c r="N638" s="127" t="s">
        <v>1639</v>
      </c>
      <c r="O638" s="127" t="s">
        <v>1544</v>
      </c>
      <c r="P638" s="127" t="s">
        <v>812</v>
      </c>
      <c r="Q638" s="127">
        <v>0</v>
      </c>
      <c r="R638" s="127">
        <v>0</v>
      </c>
      <c r="S638" s="127">
        <v>0</v>
      </c>
      <c r="T638" s="127">
        <v>0</v>
      </c>
      <c r="U638" s="127">
        <v>0</v>
      </c>
      <c r="V638" s="127">
        <v>0</v>
      </c>
      <c r="W638" s="127">
        <v>0</v>
      </c>
      <c r="X638" s="127">
        <v>0</v>
      </c>
      <c r="Y638" s="127">
        <v>0</v>
      </c>
      <c r="Z638" s="127">
        <v>0</v>
      </c>
      <c r="AA638" s="127" t="s">
        <v>2511</v>
      </c>
      <c r="AB638" s="131" t="s">
        <v>1401</v>
      </c>
      <c r="AC638" s="127" t="s">
        <v>2239</v>
      </c>
      <c r="AD638" s="131" t="s">
        <v>407</v>
      </c>
      <c r="AE638" s="131" t="e">
        <v>#N/A</v>
      </c>
      <c r="AF638" s="131" t="e">
        <v>#N/A</v>
      </c>
      <c r="AG638" s="131" t="e">
        <v>#REF!</v>
      </c>
    </row>
    <row r="639" spans="1:33" s="131" customFormat="1" ht="18" customHeight="1" x14ac:dyDescent="0.25">
      <c r="A639" s="125">
        <v>638</v>
      </c>
      <c r="B639" s="126" t="s">
        <v>320</v>
      </c>
      <c r="C639" s="126" t="s">
        <v>3226</v>
      </c>
      <c r="D639" s="126" t="s">
        <v>3202</v>
      </c>
      <c r="E639" s="127" t="s">
        <v>407</v>
      </c>
      <c r="F639" s="128" t="s">
        <v>2411</v>
      </c>
      <c r="G639" s="128" t="s">
        <v>3290</v>
      </c>
      <c r="H639" s="125" t="s">
        <v>986</v>
      </c>
      <c r="I639" s="125"/>
      <c r="J639" s="129"/>
      <c r="K639" s="130"/>
      <c r="L639" s="129"/>
      <c r="M639" s="127" t="s">
        <v>761</v>
      </c>
      <c r="N639" s="127" t="s">
        <v>1639</v>
      </c>
      <c r="O639" s="127" t="s">
        <v>1427</v>
      </c>
      <c r="P639" s="127" t="s">
        <v>1554</v>
      </c>
      <c r="Q639" s="127">
        <v>0</v>
      </c>
      <c r="R639" s="127">
        <v>0</v>
      </c>
      <c r="S639" s="127">
        <v>0</v>
      </c>
      <c r="T639" s="127">
        <v>2</v>
      </c>
      <c r="U639" s="127" t="s">
        <v>1542</v>
      </c>
      <c r="V639" s="127" t="s">
        <v>320</v>
      </c>
      <c r="W639" s="127">
        <v>0</v>
      </c>
      <c r="X639" s="127">
        <v>0</v>
      </c>
      <c r="Y639" s="127">
        <v>0</v>
      </c>
      <c r="Z639" s="127" t="s">
        <v>1568</v>
      </c>
      <c r="AA639" s="127" t="s">
        <v>2511</v>
      </c>
      <c r="AB639" s="131" t="s">
        <v>1402</v>
      </c>
      <c r="AC639" s="127" t="s">
        <v>2240</v>
      </c>
      <c r="AD639" s="131" t="s">
        <v>407</v>
      </c>
      <c r="AE639" s="131" t="e">
        <v>#N/A</v>
      </c>
      <c r="AF639" s="131" t="e">
        <v>#N/A</v>
      </c>
      <c r="AG639" s="131" t="e">
        <v>#REF!</v>
      </c>
    </row>
    <row r="640" spans="1:33" s="131" customFormat="1" ht="18" customHeight="1" x14ac:dyDescent="0.25">
      <c r="A640" s="125">
        <v>639</v>
      </c>
      <c r="B640" s="126" t="s">
        <v>321</v>
      </c>
      <c r="C640" s="126" t="s">
        <v>3227</v>
      </c>
      <c r="D640" s="126" t="s">
        <v>3202</v>
      </c>
      <c r="E640" s="127" t="s">
        <v>407</v>
      </c>
      <c r="F640" s="128" t="s">
        <v>2411</v>
      </c>
      <c r="G640" s="128" t="s">
        <v>3289</v>
      </c>
      <c r="H640" s="125" t="s">
        <v>927</v>
      </c>
      <c r="I640" s="125"/>
      <c r="J640" s="129"/>
      <c r="K640" s="130"/>
      <c r="L640" s="129"/>
      <c r="M640" s="127" t="s">
        <v>761</v>
      </c>
      <c r="N640" s="127" t="s">
        <v>1639</v>
      </c>
      <c r="O640" s="127" t="s">
        <v>2373</v>
      </c>
      <c r="P640" s="127" t="s">
        <v>812</v>
      </c>
      <c r="Q640" s="127">
        <v>0</v>
      </c>
      <c r="R640" s="127">
        <v>0</v>
      </c>
      <c r="S640" s="127">
        <v>0</v>
      </c>
      <c r="T640" s="127">
        <v>0</v>
      </c>
      <c r="U640" s="127">
        <v>0</v>
      </c>
      <c r="V640" s="127">
        <v>0</v>
      </c>
      <c r="W640" s="127">
        <v>0</v>
      </c>
      <c r="X640" s="127">
        <v>0</v>
      </c>
      <c r="Y640" s="127">
        <v>0</v>
      </c>
      <c r="Z640" s="127" t="s">
        <v>1568</v>
      </c>
      <c r="AA640" s="127" t="s">
        <v>2511</v>
      </c>
      <c r="AB640" s="131" t="s">
        <v>1403</v>
      </c>
      <c r="AC640" s="127" t="s">
        <v>2241</v>
      </c>
      <c r="AD640" s="131" t="s">
        <v>407</v>
      </c>
      <c r="AE640" s="131" t="e">
        <v>#N/A</v>
      </c>
      <c r="AF640" s="131" t="e">
        <v>#N/A</v>
      </c>
      <c r="AG640" s="131" t="e">
        <v>#REF!</v>
      </c>
    </row>
    <row r="641" spans="1:33" s="131" customFormat="1" ht="18" customHeight="1" x14ac:dyDescent="0.25">
      <c r="A641" s="125">
        <v>640</v>
      </c>
      <c r="B641" s="126" t="s">
        <v>316</v>
      </c>
      <c r="C641" s="126" t="s">
        <v>3228</v>
      </c>
      <c r="D641" s="126" t="s">
        <v>3140</v>
      </c>
      <c r="E641" s="127" t="s">
        <v>407</v>
      </c>
      <c r="F641" s="128" t="s">
        <v>2411</v>
      </c>
      <c r="G641" s="128" t="s">
        <v>3289</v>
      </c>
      <c r="H641" s="125" t="s">
        <v>1732</v>
      </c>
      <c r="I641" s="125"/>
      <c r="J641" s="129"/>
      <c r="K641" s="130"/>
      <c r="L641" s="129"/>
      <c r="M641" s="127" t="s">
        <v>761</v>
      </c>
      <c r="N641" s="127" t="s">
        <v>1639</v>
      </c>
      <c r="O641" s="127" t="s">
        <v>1541</v>
      </c>
      <c r="P641" s="127" t="s">
        <v>812</v>
      </c>
      <c r="Q641" s="127">
        <v>0</v>
      </c>
      <c r="R641" s="127">
        <v>0</v>
      </c>
      <c r="S641" s="127">
        <v>0</v>
      </c>
      <c r="T641" s="127">
        <v>0</v>
      </c>
      <c r="U641" s="127">
        <v>0</v>
      </c>
      <c r="V641" s="127">
        <v>0</v>
      </c>
      <c r="W641" s="127">
        <v>0</v>
      </c>
      <c r="X641" s="127">
        <v>0</v>
      </c>
      <c r="Y641" s="127">
        <v>0</v>
      </c>
      <c r="Z641" s="127">
        <v>0</v>
      </c>
      <c r="AA641" s="127" t="s">
        <v>2511</v>
      </c>
      <c r="AB641" s="131" t="s">
        <v>1404</v>
      </c>
      <c r="AC641" s="127" t="s">
        <v>2242</v>
      </c>
      <c r="AD641" s="131" t="s">
        <v>407</v>
      </c>
      <c r="AE641" s="131" t="e">
        <v>#N/A</v>
      </c>
      <c r="AF641" s="131" t="e">
        <v>#N/A</v>
      </c>
      <c r="AG641" s="131" t="e">
        <v>#REF!</v>
      </c>
    </row>
    <row r="642" spans="1:33" s="131" customFormat="1" ht="18" customHeight="1" x14ac:dyDescent="0.25">
      <c r="A642" s="125">
        <v>641</v>
      </c>
      <c r="B642" s="126" t="s">
        <v>317</v>
      </c>
      <c r="C642" s="126" t="s">
        <v>3229</v>
      </c>
      <c r="D642" s="126" t="s">
        <v>2648</v>
      </c>
      <c r="E642" s="127" t="s">
        <v>407</v>
      </c>
      <c r="F642" s="128"/>
      <c r="G642" s="128" t="s">
        <v>3290</v>
      </c>
      <c r="H642" s="125" t="s">
        <v>1732</v>
      </c>
      <c r="I642" s="125"/>
      <c r="J642" s="129"/>
      <c r="K642" s="130"/>
      <c r="L642" s="129"/>
      <c r="M642" s="127" t="s">
        <v>761</v>
      </c>
      <c r="N642" s="127" t="s">
        <v>1639</v>
      </c>
      <c r="O642" s="127" t="s">
        <v>1427</v>
      </c>
      <c r="P642" s="127">
        <v>0</v>
      </c>
      <c r="Q642" s="127">
        <v>0</v>
      </c>
      <c r="R642" s="127">
        <v>0</v>
      </c>
      <c r="S642" s="127">
        <v>0</v>
      </c>
      <c r="T642" s="127">
        <v>2</v>
      </c>
      <c r="U642" s="127" t="s">
        <v>1604</v>
      </c>
      <c r="V642" s="127" t="s">
        <v>317</v>
      </c>
      <c r="W642" s="127" t="s">
        <v>1543</v>
      </c>
      <c r="X642" s="127" t="s">
        <v>317</v>
      </c>
      <c r="Y642" s="127" t="s">
        <v>1454</v>
      </c>
      <c r="Z642" s="127" t="s">
        <v>1568</v>
      </c>
      <c r="AA642" s="127" t="s">
        <v>2511</v>
      </c>
      <c r="AB642" s="131" t="s">
        <v>1405</v>
      </c>
      <c r="AC642" s="127" t="s">
        <v>2243</v>
      </c>
      <c r="AD642" s="131" t="s">
        <v>407</v>
      </c>
      <c r="AE642" s="131" t="e">
        <v>#N/A</v>
      </c>
      <c r="AF642" s="131" t="e">
        <v>#N/A</v>
      </c>
      <c r="AG642" s="131" t="e">
        <v>#REF!</v>
      </c>
    </row>
    <row r="643" spans="1:33" s="131" customFormat="1" ht="18" customHeight="1" x14ac:dyDescent="0.25">
      <c r="A643" s="125">
        <v>642</v>
      </c>
      <c r="B643" s="126" t="s">
        <v>318</v>
      </c>
      <c r="C643" s="126" t="s">
        <v>3230</v>
      </c>
      <c r="D643" s="126" t="s">
        <v>3140</v>
      </c>
      <c r="E643" s="127" t="s">
        <v>407</v>
      </c>
      <c r="F643" s="128"/>
      <c r="G643" s="128" t="s">
        <v>3290</v>
      </c>
      <c r="H643" s="125" t="s">
        <v>986</v>
      </c>
      <c r="I643" s="125"/>
      <c r="J643" s="129"/>
      <c r="K643" s="130"/>
      <c r="L643" s="129"/>
      <c r="M643" s="127" t="s">
        <v>761</v>
      </c>
      <c r="N643" s="127" t="s">
        <v>1639</v>
      </c>
      <c r="O643" s="127" t="s">
        <v>1427</v>
      </c>
      <c r="P643" s="127">
        <v>0</v>
      </c>
      <c r="Q643" s="127">
        <v>0</v>
      </c>
      <c r="R643" s="127">
        <v>0</v>
      </c>
      <c r="S643" s="127">
        <v>0</v>
      </c>
      <c r="T643" s="127">
        <v>2</v>
      </c>
      <c r="U643" s="127" t="s">
        <v>1544</v>
      </c>
      <c r="V643" s="127" t="s">
        <v>318</v>
      </c>
      <c r="W643" s="127" t="s">
        <v>1465</v>
      </c>
      <c r="X643" s="127" t="s">
        <v>318</v>
      </c>
      <c r="Y643" s="127" t="s">
        <v>1461</v>
      </c>
      <c r="Z643" s="127" t="s">
        <v>1568</v>
      </c>
      <c r="AA643" s="127" t="s">
        <v>2511</v>
      </c>
      <c r="AB643" s="131" t="s">
        <v>1406</v>
      </c>
      <c r="AC643" s="127" t="s">
        <v>2244</v>
      </c>
      <c r="AD643" s="131" t="s">
        <v>407</v>
      </c>
      <c r="AE643" s="131" t="e">
        <v>#N/A</v>
      </c>
      <c r="AF643" s="131" t="e">
        <v>#N/A</v>
      </c>
      <c r="AG643" s="131" t="e">
        <v>#REF!</v>
      </c>
    </row>
    <row r="644" spans="1:33" s="131" customFormat="1" ht="18" customHeight="1" x14ac:dyDescent="0.25">
      <c r="A644" s="125">
        <v>643</v>
      </c>
      <c r="B644" s="126" t="s">
        <v>322</v>
      </c>
      <c r="C644" s="126" t="s">
        <v>3231</v>
      </c>
      <c r="D644" s="126" t="s">
        <v>2648</v>
      </c>
      <c r="E644" s="127" t="s">
        <v>407</v>
      </c>
      <c r="F644" s="128" t="s">
        <v>2411</v>
      </c>
      <c r="G644" s="128" t="s">
        <v>3290</v>
      </c>
      <c r="H644" s="125" t="s">
        <v>986</v>
      </c>
      <c r="I644" s="125"/>
      <c r="J644" s="129"/>
      <c r="K644" s="130"/>
      <c r="L644" s="129"/>
      <c r="M644" s="127" t="s">
        <v>761</v>
      </c>
      <c r="N644" s="127" t="s">
        <v>1639</v>
      </c>
      <c r="O644" s="127" t="s">
        <v>1553</v>
      </c>
      <c r="P644" s="127" t="s">
        <v>1554</v>
      </c>
      <c r="Q644" s="127">
        <v>2</v>
      </c>
      <c r="R644" s="127" t="s">
        <v>1544</v>
      </c>
      <c r="S644" s="127" t="s">
        <v>322</v>
      </c>
      <c r="T644" s="127">
        <v>0</v>
      </c>
      <c r="U644" s="127">
        <v>0</v>
      </c>
      <c r="V644" s="127">
        <v>0</v>
      </c>
      <c r="W644" s="127">
        <v>0</v>
      </c>
      <c r="X644" s="127">
        <v>0</v>
      </c>
      <c r="Y644" s="127">
        <v>0</v>
      </c>
      <c r="Z644" s="127" t="s">
        <v>1568</v>
      </c>
      <c r="AA644" s="127" t="s">
        <v>2511</v>
      </c>
      <c r="AB644" s="131" t="s">
        <v>1407</v>
      </c>
      <c r="AC644" s="127" t="s">
        <v>2245</v>
      </c>
      <c r="AD644" s="131" t="s">
        <v>407</v>
      </c>
      <c r="AE644" s="131" t="e">
        <v>#N/A</v>
      </c>
      <c r="AF644" s="131" t="e">
        <v>#N/A</v>
      </c>
      <c r="AG644" s="131" t="e">
        <v>#REF!</v>
      </c>
    </row>
    <row r="645" spans="1:33" s="131" customFormat="1" ht="18" customHeight="1" x14ac:dyDescent="0.25">
      <c r="A645" s="125">
        <v>644</v>
      </c>
      <c r="B645" s="126" t="s">
        <v>387</v>
      </c>
      <c r="C645" s="126" t="s">
        <v>3232</v>
      </c>
      <c r="D645" s="126" t="s">
        <v>3199</v>
      </c>
      <c r="E645" s="127" t="s">
        <v>407</v>
      </c>
      <c r="F645" s="128"/>
      <c r="G645" s="128" t="s">
        <v>3290</v>
      </c>
      <c r="H645" s="125"/>
      <c r="I645" s="125" t="s">
        <v>934</v>
      </c>
      <c r="J645" s="132"/>
      <c r="K645" s="130"/>
      <c r="L645" s="129"/>
      <c r="M645" s="127" t="s">
        <v>759</v>
      </c>
      <c r="N645" s="127" t="s">
        <v>770</v>
      </c>
      <c r="O645" s="127" t="s">
        <v>1427</v>
      </c>
      <c r="P645" s="127">
        <v>0</v>
      </c>
      <c r="Q645" s="127">
        <v>0</v>
      </c>
      <c r="R645" s="127">
        <v>0</v>
      </c>
      <c r="S645" s="127">
        <v>0</v>
      </c>
      <c r="T645" s="127">
        <v>2</v>
      </c>
      <c r="U645" s="127" t="s">
        <v>1542</v>
      </c>
      <c r="V645" s="127" t="s">
        <v>387</v>
      </c>
      <c r="W645" s="127" t="s">
        <v>1605</v>
      </c>
      <c r="X645" s="127" t="s">
        <v>387</v>
      </c>
      <c r="Y645" s="127" t="s">
        <v>1461</v>
      </c>
      <c r="Z645" s="127" t="s">
        <v>1568</v>
      </c>
      <c r="AA645" s="127" t="s">
        <v>2510</v>
      </c>
      <c r="AB645" s="131" t="s">
        <v>1408</v>
      </c>
      <c r="AC645" s="127" t="s">
        <v>2246</v>
      </c>
      <c r="AD645" s="131" t="s">
        <v>407</v>
      </c>
      <c r="AE645" s="131" t="e">
        <v>#N/A</v>
      </c>
      <c r="AF645" s="131" t="e">
        <v>#N/A</v>
      </c>
      <c r="AG645" s="131" t="e">
        <v>#REF!</v>
      </c>
    </row>
    <row r="646" spans="1:33" s="131" customFormat="1" ht="18" customHeight="1" x14ac:dyDescent="0.25">
      <c r="A646" s="125">
        <v>645</v>
      </c>
      <c r="B646" s="126" t="s">
        <v>417</v>
      </c>
      <c r="C646" s="126" t="s">
        <v>3233</v>
      </c>
      <c r="D646" s="126" t="s">
        <v>2648</v>
      </c>
      <c r="E646" s="127" t="s">
        <v>407</v>
      </c>
      <c r="F646" s="128" t="s">
        <v>2411</v>
      </c>
      <c r="G646" s="128" t="s">
        <v>3289</v>
      </c>
      <c r="H646" s="125"/>
      <c r="I646" s="125" t="s">
        <v>934</v>
      </c>
      <c r="J646" s="132"/>
      <c r="K646" s="130"/>
      <c r="L646" s="129"/>
      <c r="M646" s="127" t="s">
        <v>759</v>
      </c>
      <c r="N646" s="127" t="s">
        <v>770</v>
      </c>
      <c r="O646" s="127" t="s">
        <v>1551</v>
      </c>
      <c r="P646" s="127" t="s">
        <v>812</v>
      </c>
      <c r="Q646" s="127">
        <v>0</v>
      </c>
      <c r="R646" s="127">
        <v>0</v>
      </c>
      <c r="S646" s="127">
        <v>0</v>
      </c>
      <c r="T646" s="127">
        <v>0</v>
      </c>
      <c r="U646" s="127">
        <v>0</v>
      </c>
      <c r="V646" s="127">
        <v>0</v>
      </c>
      <c r="W646" s="127">
        <v>0</v>
      </c>
      <c r="X646" s="127">
        <v>0</v>
      </c>
      <c r="Y646" s="127">
        <v>0</v>
      </c>
      <c r="Z646" s="127">
        <v>0</v>
      </c>
      <c r="AA646" s="127" t="s">
        <v>2511</v>
      </c>
      <c r="AB646" s="131" t="s">
        <v>1409</v>
      </c>
      <c r="AC646" s="127" t="s">
        <v>2247</v>
      </c>
      <c r="AD646" s="131" t="s">
        <v>407</v>
      </c>
      <c r="AE646" s="131" t="e">
        <v>#N/A</v>
      </c>
      <c r="AF646" s="131" t="e">
        <v>#N/A</v>
      </c>
      <c r="AG646" s="131" t="e">
        <v>#REF!</v>
      </c>
    </row>
    <row r="647" spans="1:33" s="131" customFormat="1" ht="18" customHeight="1" x14ac:dyDescent="0.25">
      <c r="A647" s="125">
        <v>646</v>
      </c>
      <c r="B647" s="126" t="s">
        <v>494</v>
      </c>
      <c r="C647" s="126" t="s">
        <v>3234</v>
      </c>
      <c r="D647" s="126" t="s">
        <v>3140</v>
      </c>
      <c r="E647" s="127" t="s">
        <v>407</v>
      </c>
      <c r="F647" s="134" t="s">
        <v>2410</v>
      </c>
      <c r="G647" s="128" t="s">
        <v>3294</v>
      </c>
      <c r="H647" s="125" t="s">
        <v>986</v>
      </c>
      <c r="I647" s="125"/>
      <c r="J647" s="129"/>
      <c r="K647" s="130" t="s">
        <v>291</v>
      </c>
      <c r="L647" s="129"/>
      <c r="M647" s="127" t="s">
        <v>759</v>
      </c>
      <c r="N647" s="127" t="s">
        <v>1639</v>
      </c>
      <c r="O647" s="127" t="s">
        <v>1553</v>
      </c>
      <c r="P647" s="127">
        <v>0</v>
      </c>
      <c r="Q647" s="127">
        <v>2</v>
      </c>
      <c r="R647" s="127" t="s">
        <v>1546</v>
      </c>
      <c r="S647" s="127" t="s">
        <v>494</v>
      </c>
      <c r="T647" s="127">
        <v>0</v>
      </c>
      <c r="U647" s="127">
        <v>0</v>
      </c>
      <c r="V647" s="127">
        <v>0</v>
      </c>
      <c r="W647" s="127">
        <v>0</v>
      </c>
      <c r="X647" s="127">
        <v>0</v>
      </c>
      <c r="Y647" s="127">
        <v>0</v>
      </c>
      <c r="Z647" s="127">
        <v>0</v>
      </c>
      <c r="AA647" s="127" t="s">
        <v>2511</v>
      </c>
      <c r="AB647" s="131" t="s">
        <v>727</v>
      </c>
      <c r="AC647" s="127" t="s">
        <v>2248</v>
      </c>
      <c r="AD647" s="131" t="s">
        <v>407</v>
      </c>
      <c r="AE647" s="131" t="s">
        <v>291</v>
      </c>
      <c r="AF647" s="131" t="b">
        <v>1</v>
      </c>
      <c r="AG647" s="131" t="e">
        <v>#REF!</v>
      </c>
    </row>
    <row r="648" spans="1:33" s="131" customFormat="1" ht="18" customHeight="1" x14ac:dyDescent="0.25">
      <c r="A648" s="125">
        <v>647</v>
      </c>
      <c r="B648" s="126" t="s">
        <v>495</v>
      </c>
      <c r="C648" s="126" t="s">
        <v>3235</v>
      </c>
      <c r="D648" s="126" t="s">
        <v>3199</v>
      </c>
      <c r="E648" s="127" t="s">
        <v>407</v>
      </c>
      <c r="F648" s="134" t="s">
        <v>2410</v>
      </c>
      <c r="G648" s="128" t="s">
        <v>3294</v>
      </c>
      <c r="H648" s="125" t="s">
        <v>986</v>
      </c>
      <c r="I648" s="125"/>
      <c r="J648" s="129"/>
      <c r="K648" s="130" t="s">
        <v>297</v>
      </c>
      <c r="L648" s="129"/>
      <c r="M648" s="127" t="s">
        <v>759</v>
      </c>
      <c r="N648" s="127" t="s">
        <v>1639</v>
      </c>
      <c r="O648" s="127" t="s">
        <v>1427</v>
      </c>
      <c r="P648" s="127">
        <v>0</v>
      </c>
      <c r="Q648" s="127">
        <v>0</v>
      </c>
      <c r="R648" s="127">
        <v>0</v>
      </c>
      <c r="S648" s="127">
        <v>0</v>
      </c>
      <c r="T648" s="127">
        <v>2</v>
      </c>
      <c r="U648" s="127" t="s">
        <v>1602</v>
      </c>
      <c r="V648" s="127" t="s">
        <v>495</v>
      </c>
      <c r="W648" s="127" t="s">
        <v>1542</v>
      </c>
      <c r="X648" s="127" t="s">
        <v>495</v>
      </c>
      <c r="Y648" s="127" t="s">
        <v>2425</v>
      </c>
      <c r="Z648" s="127">
        <v>0</v>
      </c>
      <c r="AA648" s="127" t="s">
        <v>2511</v>
      </c>
      <c r="AB648" s="131" t="s">
        <v>728</v>
      </c>
      <c r="AC648" s="127" t="s">
        <v>2249</v>
      </c>
      <c r="AD648" s="131" t="s">
        <v>407</v>
      </c>
      <c r="AE648" s="131" t="s">
        <v>297</v>
      </c>
      <c r="AF648" s="131" t="b">
        <v>1</v>
      </c>
      <c r="AG648" s="131" t="e">
        <v>#REF!</v>
      </c>
    </row>
    <row r="649" spans="1:33" s="131" customFormat="1" ht="18" customHeight="1" x14ac:dyDescent="0.25">
      <c r="A649" s="125">
        <v>648</v>
      </c>
      <c r="B649" s="126" t="s">
        <v>482</v>
      </c>
      <c r="C649" s="126" t="s">
        <v>3236</v>
      </c>
      <c r="D649" s="126" t="s">
        <v>3199</v>
      </c>
      <c r="E649" s="127" t="s">
        <v>407</v>
      </c>
      <c r="F649" s="134" t="s">
        <v>2410</v>
      </c>
      <c r="G649" s="128" t="s">
        <v>3294</v>
      </c>
      <c r="H649" s="125"/>
      <c r="I649" s="125"/>
      <c r="J649" s="129" t="s">
        <v>1641</v>
      </c>
      <c r="K649" s="130" t="s">
        <v>297</v>
      </c>
      <c r="L649" s="129"/>
      <c r="M649" s="127" t="s">
        <v>759</v>
      </c>
      <c r="N649" s="127" t="s">
        <v>1641</v>
      </c>
      <c r="O649" s="127" t="s">
        <v>1427</v>
      </c>
      <c r="P649" s="127">
        <v>0</v>
      </c>
      <c r="Q649" s="127">
        <v>0</v>
      </c>
      <c r="R649" s="127">
        <v>0</v>
      </c>
      <c r="S649" s="127">
        <v>0</v>
      </c>
      <c r="T649" s="127">
        <v>2</v>
      </c>
      <c r="U649" s="127" t="s">
        <v>1602</v>
      </c>
      <c r="V649" s="127" t="s">
        <v>482</v>
      </c>
      <c r="W649" s="127">
        <v>0</v>
      </c>
      <c r="X649" s="127">
        <v>0</v>
      </c>
      <c r="Y649" s="127">
        <v>0</v>
      </c>
      <c r="Z649" s="127">
        <v>0</v>
      </c>
      <c r="AA649" s="127" t="s">
        <v>2511</v>
      </c>
      <c r="AB649" s="131" t="s">
        <v>729</v>
      </c>
      <c r="AC649" s="127" t="s">
        <v>2250</v>
      </c>
      <c r="AD649" s="131" t="s">
        <v>407</v>
      </c>
      <c r="AE649" s="131" t="s">
        <v>297</v>
      </c>
      <c r="AF649" s="131" t="b">
        <v>1</v>
      </c>
      <c r="AG649" s="131" t="e">
        <v>#REF!</v>
      </c>
    </row>
    <row r="650" spans="1:33" s="131" customFormat="1" ht="18" customHeight="1" x14ac:dyDescent="0.25">
      <c r="A650" s="125">
        <v>649</v>
      </c>
      <c r="B650" s="126" t="s">
        <v>532</v>
      </c>
      <c r="C650" s="126" t="s">
        <v>3237</v>
      </c>
      <c r="D650" s="126" t="s">
        <v>3202</v>
      </c>
      <c r="E650" s="127" t="s">
        <v>407</v>
      </c>
      <c r="F650" s="134" t="s">
        <v>2410</v>
      </c>
      <c r="G650" s="128" t="s">
        <v>3294</v>
      </c>
      <c r="H650" s="125"/>
      <c r="I650" s="125"/>
      <c r="J650" s="132" t="s">
        <v>1641</v>
      </c>
      <c r="K650" s="130" t="s">
        <v>320</v>
      </c>
      <c r="L650" s="129"/>
      <c r="M650" s="127" t="s">
        <v>759</v>
      </c>
      <c r="N650" s="127" t="s">
        <v>1641</v>
      </c>
      <c r="O650" s="127" t="s">
        <v>1427</v>
      </c>
      <c r="P650" s="127">
        <v>0</v>
      </c>
      <c r="Q650" s="127">
        <v>0</v>
      </c>
      <c r="R650" s="127">
        <v>0</v>
      </c>
      <c r="S650" s="127">
        <v>0</v>
      </c>
      <c r="T650" s="127">
        <v>2</v>
      </c>
      <c r="U650" s="127" t="s">
        <v>1606</v>
      </c>
      <c r="V650" s="127" t="s">
        <v>532</v>
      </c>
      <c r="W650" s="127" t="s">
        <v>1542</v>
      </c>
      <c r="X650" s="127" t="s">
        <v>532</v>
      </c>
      <c r="Y650" s="127" t="s">
        <v>1570</v>
      </c>
      <c r="Z650" s="127">
        <v>0</v>
      </c>
      <c r="AA650" s="127" t="s">
        <v>2511</v>
      </c>
      <c r="AB650" s="131" t="s">
        <v>730</v>
      </c>
      <c r="AC650" s="127" t="s">
        <v>2251</v>
      </c>
      <c r="AD650" s="131" t="s">
        <v>407</v>
      </c>
      <c r="AE650" s="131" t="s">
        <v>313</v>
      </c>
      <c r="AF650" s="131" t="b">
        <v>0</v>
      </c>
      <c r="AG650" s="131" t="e">
        <v>#REF!</v>
      </c>
    </row>
    <row r="651" spans="1:33" s="131" customFormat="1" ht="18" customHeight="1" x14ac:dyDescent="0.25">
      <c r="A651" s="125">
        <v>650</v>
      </c>
      <c r="B651" s="126" t="s">
        <v>531</v>
      </c>
      <c r="C651" s="126" t="s">
        <v>3238</v>
      </c>
      <c r="D651" s="126" t="s">
        <v>3202</v>
      </c>
      <c r="E651" s="127" t="s">
        <v>407</v>
      </c>
      <c r="F651" s="128"/>
      <c r="G651" s="128" t="s">
        <v>3290</v>
      </c>
      <c r="H651" s="125" t="s">
        <v>986</v>
      </c>
      <c r="I651" s="125"/>
      <c r="J651" s="129"/>
      <c r="K651" s="130"/>
      <c r="L651" s="129"/>
      <c r="M651" s="127" t="s">
        <v>759</v>
      </c>
      <c r="N651" s="127" t="s">
        <v>1639</v>
      </c>
      <c r="O651" s="127" t="s">
        <v>1553</v>
      </c>
      <c r="P651" s="127">
        <v>0</v>
      </c>
      <c r="Q651" s="127">
        <v>2</v>
      </c>
      <c r="R651" s="127" t="s">
        <v>1543</v>
      </c>
      <c r="S651" s="127" t="s">
        <v>531</v>
      </c>
      <c r="T651" s="127">
        <v>0</v>
      </c>
      <c r="U651" s="127">
        <v>0</v>
      </c>
      <c r="V651" s="127">
        <v>0</v>
      </c>
      <c r="W651" s="127" t="s">
        <v>1542</v>
      </c>
      <c r="X651" s="127" t="s">
        <v>531</v>
      </c>
      <c r="Y651" s="127" t="s">
        <v>1573</v>
      </c>
      <c r="Z651" s="127">
        <v>0</v>
      </c>
      <c r="AA651" s="127" t="s">
        <v>2511</v>
      </c>
      <c r="AB651" s="131" t="s">
        <v>731</v>
      </c>
      <c r="AC651" s="127" t="s">
        <v>2252</v>
      </c>
      <c r="AD651" s="131" t="s">
        <v>407</v>
      </c>
      <c r="AE651" s="131" t="e">
        <v>#N/A</v>
      </c>
      <c r="AF651" s="131" t="e">
        <v>#N/A</v>
      </c>
      <c r="AG651" s="131" t="e">
        <v>#REF!</v>
      </c>
    </row>
    <row r="652" spans="1:33" s="131" customFormat="1" ht="18" customHeight="1" x14ac:dyDescent="0.25">
      <c r="A652" s="125">
        <v>651</v>
      </c>
      <c r="B652" s="126" t="s">
        <v>571</v>
      </c>
      <c r="C652" s="126" t="s">
        <v>3239</v>
      </c>
      <c r="D652" s="126" t="s">
        <v>3202</v>
      </c>
      <c r="E652" s="127" t="s">
        <v>407</v>
      </c>
      <c r="F652" s="128"/>
      <c r="G652" s="128" t="s">
        <v>3290</v>
      </c>
      <c r="H652" s="125"/>
      <c r="I652" s="125"/>
      <c r="J652" s="129" t="s">
        <v>1641</v>
      </c>
      <c r="K652" s="130"/>
      <c r="L652" s="129"/>
      <c r="M652" s="127" t="s">
        <v>759</v>
      </c>
      <c r="N652" s="127" t="s">
        <v>1641</v>
      </c>
      <c r="O652" s="127" t="s">
        <v>1461</v>
      </c>
      <c r="P652" s="127">
        <v>0</v>
      </c>
      <c r="Q652" s="127">
        <v>0</v>
      </c>
      <c r="R652" s="127">
        <v>0</v>
      </c>
      <c r="S652" s="127">
        <v>0</v>
      </c>
      <c r="T652" s="127">
        <v>0</v>
      </c>
      <c r="U652" s="127">
        <v>0</v>
      </c>
      <c r="V652" s="127">
        <v>0</v>
      </c>
      <c r="W652" s="127" t="s">
        <v>1542</v>
      </c>
      <c r="X652" s="127" t="s">
        <v>571</v>
      </c>
      <c r="Y652" s="127" t="s">
        <v>1461</v>
      </c>
      <c r="Z652" s="127">
        <v>0</v>
      </c>
      <c r="AA652" s="127" t="s">
        <v>2511</v>
      </c>
      <c r="AB652" s="131" t="s">
        <v>732</v>
      </c>
      <c r="AC652" s="127" t="s">
        <v>2253</v>
      </c>
      <c r="AD652" s="131" t="s">
        <v>407</v>
      </c>
      <c r="AE652" s="131" t="e">
        <v>#N/A</v>
      </c>
      <c r="AF652" s="131" t="e">
        <v>#N/A</v>
      </c>
      <c r="AG652" s="131" t="e">
        <v>#REF!</v>
      </c>
    </row>
    <row r="653" spans="1:33" s="131" customFormat="1" ht="18" customHeight="1" x14ac:dyDescent="0.25">
      <c r="A653" s="125">
        <v>652</v>
      </c>
      <c r="B653" s="126" t="s">
        <v>583</v>
      </c>
      <c r="C653" s="126" t="s">
        <v>3240</v>
      </c>
      <c r="D653" s="126" t="s">
        <v>3199</v>
      </c>
      <c r="E653" s="127" t="s">
        <v>407</v>
      </c>
      <c r="F653" s="128"/>
      <c r="G653" s="128" t="s">
        <v>3290</v>
      </c>
      <c r="H653" s="125" t="s">
        <v>986</v>
      </c>
      <c r="I653" s="125"/>
      <c r="J653" s="129"/>
      <c r="K653" s="130"/>
      <c r="L653" s="129"/>
      <c r="M653" s="127" t="s">
        <v>759</v>
      </c>
      <c r="N653" s="127" t="s">
        <v>1639</v>
      </c>
      <c r="O653" s="127" t="s">
        <v>1427</v>
      </c>
      <c r="P653" s="127">
        <v>0</v>
      </c>
      <c r="Q653" s="127">
        <v>0</v>
      </c>
      <c r="R653" s="127">
        <v>0</v>
      </c>
      <c r="S653" s="127">
        <v>0</v>
      </c>
      <c r="T653" s="127">
        <v>2</v>
      </c>
      <c r="U653" s="127" t="s">
        <v>1542</v>
      </c>
      <c r="V653" s="127" t="s">
        <v>583</v>
      </c>
      <c r="W653" s="127">
        <v>0</v>
      </c>
      <c r="X653" s="127">
        <v>0</v>
      </c>
      <c r="Y653" s="127">
        <v>0</v>
      </c>
      <c r="Z653" s="127">
        <v>0</v>
      </c>
      <c r="AA653" s="127" t="s">
        <v>2511</v>
      </c>
      <c r="AB653" s="131" t="s">
        <v>733</v>
      </c>
      <c r="AC653" s="127" t="s">
        <v>2254</v>
      </c>
      <c r="AD653" s="131" t="s">
        <v>407</v>
      </c>
      <c r="AE653" s="131" t="e">
        <v>#N/A</v>
      </c>
      <c r="AF653" s="131" t="e">
        <v>#N/A</v>
      </c>
      <c r="AG653" s="131" t="e">
        <v>#REF!</v>
      </c>
    </row>
    <row r="654" spans="1:33" s="131" customFormat="1" ht="15.75" x14ac:dyDescent="0.25">
      <c r="A654" s="125">
        <v>653</v>
      </c>
      <c r="B654" s="133" t="s">
        <v>816</v>
      </c>
      <c r="C654" s="126" t="s">
        <v>3241</v>
      </c>
      <c r="D654" s="126" t="s">
        <v>3202</v>
      </c>
      <c r="E654" s="127" t="s">
        <v>407</v>
      </c>
      <c r="F654" s="128"/>
      <c r="G654" s="128" t="s">
        <v>3290</v>
      </c>
      <c r="H654" s="125" t="s">
        <v>2393</v>
      </c>
      <c r="I654" s="125"/>
      <c r="J654" s="129" t="s">
        <v>1641</v>
      </c>
      <c r="K654" s="130"/>
      <c r="L654" s="129"/>
      <c r="M654" s="127" t="s">
        <v>759</v>
      </c>
      <c r="N654" s="127" t="s">
        <v>1641</v>
      </c>
      <c r="O654" s="127" t="s">
        <v>1436</v>
      </c>
      <c r="P654" s="127">
        <v>0</v>
      </c>
      <c r="Q654" s="127">
        <v>0</v>
      </c>
      <c r="R654" s="127">
        <v>0</v>
      </c>
      <c r="S654" s="127">
        <v>0</v>
      </c>
      <c r="T654" s="127">
        <v>0</v>
      </c>
      <c r="U654" s="127">
        <v>0</v>
      </c>
      <c r="V654" s="127">
        <v>0</v>
      </c>
      <c r="W654" s="127" t="s">
        <v>1549</v>
      </c>
      <c r="X654" s="127" t="s">
        <v>816</v>
      </c>
      <c r="Y654" s="127" t="s">
        <v>1436</v>
      </c>
      <c r="Z654" s="127">
        <v>0</v>
      </c>
      <c r="AA654" s="127" t="s">
        <v>2511</v>
      </c>
      <c r="AB654" s="131" t="s">
        <v>817</v>
      </c>
      <c r="AC654" s="127" t="s">
        <v>2255</v>
      </c>
      <c r="AD654" s="131" t="s">
        <v>407</v>
      </c>
      <c r="AE654" s="131" t="e">
        <v>#N/A</v>
      </c>
      <c r="AF654" s="131" t="e">
        <v>#N/A</v>
      </c>
      <c r="AG654" s="131" t="e">
        <v>#REF!</v>
      </c>
    </row>
    <row r="655" spans="1:33" s="131" customFormat="1" ht="18" customHeight="1" x14ac:dyDescent="0.25">
      <c r="A655" s="125">
        <v>654</v>
      </c>
      <c r="B655" s="133" t="s">
        <v>821</v>
      </c>
      <c r="C655" s="126" t="s">
        <v>3242</v>
      </c>
      <c r="D655" s="126" t="s">
        <v>3202</v>
      </c>
      <c r="E655" s="127" t="s">
        <v>407</v>
      </c>
      <c r="F655" s="128"/>
      <c r="G655" s="128" t="s">
        <v>3290</v>
      </c>
      <c r="H655" s="125"/>
      <c r="I655" s="125"/>
      <c r="J655" s="132" t="s">
        <v>1641</v>
      </c>
      <c r="K655" s="130"/>
      <c r="L655" s="129"/>
      <c r="M655" s="127" t="s">
        <v>759</v>
      </c>
      <c r="N655" s="127" t="s">
        <v>1641</v>
      </c>
      <c r="O655" s="127" t="s">
        <v>1436</v>
      </c>
      <c r="P655" s="127">
        <v>0</v>
      </c>
      <c r="Q655" s="127">
        <v>0</v>
      </c>
      <c r="R655" s="127">
        <v>0</v>
      </c>
      <c r="S655" s="127">
        <v>0</v>
      </c>
      <c r="T655" s="127">
        <v>0</v>
      </c>
      <c r="U655" s="127">
        <v>0</v>
      </c>
      <c r="V655" s="127">
        <v>0</v>
      </c>
      <c r="W655" s="127" t="s">
        <v>1542</v>
      </c>
      <c r="X655" s="127" t="s">
        <v>821</v>
      </c>
      <c r="Y655" s="127" t="s">
        <v>1436</v>
      </c>
      <c r="Z655" s="127">
        <v>0</v>
      </c>
      <c r="AA655" s="127" t="s">
        <v>2511</v>
      </c>
      <c r="AB655" s="131" t="s">
        <v>822</v>
      </c>
      <c r="AC655" s="127" t="s">
        <v>2305</v>
      </c>
      <c r="AD655" s="131" t="s">
        <v>407</v>
      </c>
      <c r="AE655" s="131" t="e">
        <v>#N/A</v>
      </c>
      <c r="AF655" s="131" t="e">
        <v>#N/A</v>
      </c>
      <c r="AG655" s="131" t="e">
        <v>#REF!</v>
      </c>
    </row>
    <row r="656" spans="1:33" s="131" customFormat="1" ht="18" customHeight="1" x14ac:dyDescent="0.25">
      <c r="A656" s="125">
        <v>655</v>
      </c>
      <c r="B656" s="133" t="s">
        <v>824</v>
      </c>
      <c r="C656" s="126" t="s">
        <v>3243</v>
      </c>
      <c r="D656" s="126" t="s">
        <v>3202</v>
      </c>
      <c r="E656" s="127" t="s">
        <v>407</v>
      </c>
      <c r="F656" s="128"/>
      <c r="G656" s="128" t="s">
        <v>3290</v>
      </c>
      <c r="H656" s="125"/>
      <c r="I656" s="125"/>
      <c r="J656" s="129" t="s">
        <v>1641</v>
      </c>
      <c r="K656" s="130"/>
      <c r="L656" s="129"/>
      <c r="M656" s="127" t="s">
        <v>759</v>
      </c>
      <c r="N656" s="127" t="s">
        <v>1641</v>
      </c>
      <c r="O656" s="127" t="s">
        <v>1436</v>
      </c>
      <c r="P656" s="127">
        <v>0</v>
      </c>
      <c r="Q656" s="127">
        <v>0</v>
      </c>
      <c r="R656" s="127">
        <v>0</v>
      </c>
      <c r="S656" s="127">
        <v>0</v>
      </c>
      <c r="T656" s="127">
        <v>0</v>
      </c>
      <c r="U656" s="127">
        <v>0</v>
      </c>
      <c r="V656" s="127">
        <v>0</v>
      </c>
      <c r="W656" s="127" t="s">
        <v>1545</v>
      </c>
      <c r="X656" s="127" t="s">
        <v>824</v>
      </c>
      <c r="Y656" s="127" t="s">
        <v>1436</v>
      </c>
      <c r="Z656" s="127">
        <v>0</v>
      </c>
      <c r="AA656" s="127" t="s">
        <v>2511</v>
      </c>
      <c r="AB656" s="131" t="s">
        <v>825</v>
      </c>
      <c r="AC656" s="127" t="s">
        <v>2256</v>
      </c>
      <c r="AD656" s="131" t="s">
        <v>407</v>
      </c>
      <c r="AE656" s="131" t="e">
        <v>#N/A</v>
      </c>
      <c r="AF656" s="131" t="e">
        <v>#N/A</v>
      </c>
      <c r="AG656" s="131" t="e">
        <v>#REF!</v>
      </c>
    </row>
    <row r="657" spans="1:33" s="131" customFormat="1" ht="18" customHeight="1" x14ac:dyDescent="0.25">
      <c r="A657" s="125">
        <v>656</v>
      </c>
      <c r="B657" s="126" t="s">
        <v>861</v>
      </c>
      <c r="C657" s="126" t="s">
        <v>3244</v>
      </c>
      <c r="D657" s="126" t="s">
        <v>3202</v>
      </c>
      <c r="E657" s="127" t="s">
        <v>407</v>
      </c>
      <c r="F657" s="128"/>
      <c r="G657" s="128" t="s">
        <v>3290</v>
      </c>
      <c r="H657" s="125"/>
      <c r="I657" s="125"/>
      <c r="J657" s="132" t="s">
        <v>1641</v>
      </c>
      <c r="K657" s="130"/>
      <c r="L657" s="129"/>
      <c r="M657" s="127" t="s">
        <v>759</v>
      </c>
      <c r="N657" s="127" t="s">
        <v>1641</v>
      </c>
      <c r="O657" s="127" t="s">
        <v>1427</v>
      </c>
      <c r="P657" s="127">
        <v>0</v>
      </c>
      <c r="Q657" s="127">
        <v>0</v>
      </c>
      <c r="R657" s="127">
        <v>0</v>
      </c>
      <c r="S657" s="127">
        <v>0</v>
      </c>
      <c r="T657" s="127">
        <v>2</v>
      </c>
      <c r="U657" s="127" t="s">
        <v>2373</v>
      </c>
      <c r="V657" s="127" t="s">
        <v>861</v>
      </c>
      <c r="W657" s="127" t="s">
        <v>1607</v>
      </c>
      <c r="X657" s="127" t="s">
        <v>861</v>
      </c>
      <c r="Y657" s="127" t="s">
        <v>1608</v>
      </c>
      <c r="Z657" s="127">
        <v>0</v>
      </c>
      <c r="AA657" s="127" t="s">
        <v>2511</v>
      </c>
      <c r="AB657" s="131" t="s">
        <v>1662</v>
      </c>
      <c r="AC657" s="127" t="s">
        <v>2306</v>
      </c>
      <c r="AD657" s="131" t="s">
        <v>407</v>
      </c>
      <c r="AE657" s="131" t="e">
        <v>#N/A</v>
      </c>
      <c r="AF657" s="131" t="e">
        <v>#N/A</v>
      </c>
      <c r="AG657" s="131" t="e">
        <v>#REF!</v>
      </c>
    </row>
    <row r="658" spans="1:33" s="131" customFormat="1" ht="18" customHeight="1" x14ac:dyDescent="0.25">
      <c r="A658" s="125">
        <v>657</v>
      </c>
      <c r="B658" s="126" t="s">
        <v>860</v>
      </c>
      <c r="C658" s="126" t="s">
        <v>3245</v>
      </c>
      <c r="D658" s="126" t="s">
        <v>3202</v>
      </c>
      <c r="E658" s="127" t="s">
        <v>407</v>
      </c>
      <c r="F658" s="134" t="s">
        <v>2410</v>
      </c>
      <c r="G658" s="128" t="s">
        <v>3294</v>
      </c>
      <c r="H658" s="125"/>
      <c r="I658" s="125"/>
      <c r="J658" s="132" t="s">
        <v>1641</v>
      </c>
      <c r="K658" s="130" t="s">
        <v>321</v>
      </c>
      <c r="L658" s="129"/>
      <c r="M658" s="127" t="s">
        <v>759</v>
      </c>
      <c r="N658" s="127" t="s">
        <v>1641</v>
      </c>
      <c r="O658" s="127" t="s">
        <v>1427</v>
      </c>
      <c r="P658" s="127">
        <v>0</v>
      </c>
      <c r="Q658" s="127">
        <v>0</v>
      </c>
      <c r="R658" s="127">
        <v>0</v>
      </c>
      <c r="S658" s="127">
        <v>0</v>
      </c>
      <c r="T658" s="127">
        <v>2</v>
      </c>
      <c r="U658" s="127" t="s">
        <v>2373</v>
      </c>
      <c r="V658" s="127" t="s">
        <v>860</v>
      </c>
      <c r="W658" s="127" t="s">
        <v>1603</v>
      </c>
      <c r="X658" s="127" t="s">
        <v>860</v>
      </c>
      <c r="Y658" s="127" t="s">
        <v>1608</v>
      </c>
      <c r="Z658" s="127">
        <v>0</v>
      </c>
      <c r="AA658" s="127" t="s">
        <v>2511</v>
      </c>
      <c r="AB658" s="131" t="s">
        <v>1661</v>
      </c>
      <c r="AC658" s="127" t="s">
        <v>2307</v>
      </c>
      <c r="AD658" s="131" t="s">
        <v>407</v>
      </c>
      <c r="AE658" s="131" t="s">
        <v>150</v>
      </c>
      <c r="AF658" s="131" t="b">
        <v>0</v>
      </c>
      <c r="AG658" s="131" t="e">
        <v>#REF!</v>
      </c>
    </row>
    <row r="659" spans="1:33" s="131" customFormat="1" ht="18" customHeight="1" x14ac:dyDescent="0.25">
      <c r="A659" s="125">
        <v>658</v>
      </c>
      <c r="B659" s="126" t="s">
        <v>858</v>
      </c>
      <c r="C659" s="126" t="s">
        <v>3246</v>
      </c>
      <c r="D659" s="126" t="s">
        <v>3199</v>
      </c>
      <c r="E659" s="127" t="s">
        <v>407</v>
      </c>
      <c r="F659" s="134" t="s">
        <v>2410</v>
      </c>
      <c r="G659" s="128" t="s">
        <v>3294</v>
      </c>
      <c r="H659" s="125"/>
      <c r="I659" s="125"/>
      <c r="J659" s="129" t="s">
        <v>1641</v>
      </c>
      <c r="K659" s="130" t="s">
        <v>292</v>
      </c>
      <c r="L659" s="129"/>
      <c r="M659" s="127" t="s">
        <v>759</v>
      </c>
      <c r="N659" s="127" t="s">
        <v>1641</v>
      </c>
      <c r="O659" s="127" t="s">
        <v>1427</v>
      </c>
      <c r="P659" s="127">
        <v>0</v>
      </c>
      <c r="Q659" s="127">
        <v>0</v>
      </c>
      <c r="R659" s="127">
        <v>0</v>
      </c>
      <c r="S659" s="127">
        <v>0</v>
      </c>
      <c r="T659" s="127">
        <v>2</v>
      </c>
      <c r="U659" s="127" t="s">
        <v>2371</v>
      </c>
      <c r="V659" s="127" t="s">
        <v>858</v>
      </c>
      <c r="W659" s="127">
        <v>0</v>
      </c>
      <c r="X659" s="127">
        <v>0</v>
      </c>
      <c r="Y659" s="127">
        <v>0</v>
      </c>
      <c r="Z659" s="127">
        <v>0</v>
      </c>
      <c r="AA659" s="127" t="s">
        <v>2511</v>
      </c>
      <c r="AB659" s="131" t="s">
        <v>1659</v>
      </c>
      <c r="AC659" s="127" t="s">
        <v>2308</v>
      </c>
      <c r="AD659" s="127" t="s">
        <v>407</v>
      </c>
      <c r="AE659" s="131" t="s">
        <v>297</v>
      </c>
      <c r="AF659" s="131" t="b">
        <v>0</v>
      </c>
      <c r="AG659" s="131" t="e">
        <v>#REF!</v>
      </c>
    </row>
    <row r="660" spans="1:33" s="131" customFormat="1" ht="18" customHeight="1" x14ac:dyDescent="0.25">
      <c r="A660" s="125">
        <v>659</v>
      </c>
      <c r="B660" s="126" t="s">
        <v>859</v>
      </c>
      <c r="C660" s="126" t="s">
        <v>3247</v>
      </c>
      <c r="D660" s="126" t="s">
        <v>3199</v>
      </c>
      <c r="E660" s="127" t="s">
        <v>407</v>
      </c>
      <c r="F660" s="134" t="s">
        <v>2410</v>
      </c>
      <c r="G660" s="128" t="s">
        <v>3294</v>
      </c>
      <c r="H660" s="125"/>
      <c r="I660" s="125"/>
      <c r="J660" s="129" t="s">
        <v>1641</v>
      </c>
      <c r="K660" s="130" t="s">
        <v>313</v>
      </c>
      <c r="L660" s="129"/>
      <c r="M660" s="127" t="s">
        <v>759</v>
      </c>
      <c r="N660" s="127" t="s">
        <v>1641</v>
      </c>
      <c r="O660" s="127" t="s">
        <v>1427</v>
      </c>
      <c r="P660" s="127">
        <v>0</v>
      </c>
      <c r="Q660" s="127">
        <v>0</v>
      </c>
      <c r="R660" s="127">
        <v>0</v>
      </c>
      <c r="S660" s="127">
        <v>0</v>
      </c>
      <c r="T660" s="127">
        <v>2</v>
      </c>
      <c r="U660" s="127" t="s">
        <v>2374</v>
      </c>
      <c r="V660" s="127" t="s">
        <v>859</v>
      </c>
      <c r="W660" s="127" t="s">
        <v>1542</v>
      </c>
      <c r="X660" s="127" t="s">
        <v>859</v>
      </c>
      <c r="Y660" s="127" t="s">
        <v>2427</v>
      </c>
      <c r="Z660" s="127">
        <v>0</v>
      </c>
      <c r="AA660" s="127" t="s">
        <v>2511</v>
      </c>
      <c r="AB660" s="131" t="s">
        <v>1660</v>
      </c>
      <c r="AC660" s="127" t="s">
        <v>2258</v>
      </c>
      <c r="AD660" s="127" t="s">
        <v>407</v>
      </c>
      <c r="AE660" s="131" t="s">
        <v>297</v>
      </c>
      <c r="AF660" s="131" t="b">
        <v>0</v>
      </c>
      <c r="AG660" s="131" t="e">
        <v>#REF!</v>
      </c>
    </row>
    <row r="661" spans="1:33" s="131" customFormat="1" ht="18" customHeight="1" x14ac:dyDescent="0.25">
      <c r="A661" s="125">
        <v>660</v>
      </c>
      <c r="B661" s="126" t="s">
        <v>862</v>
      </c>
      <c r="C661" s="126" t="s">
        <v>3248</v>
      </c>
      <c r="D661" s="126" t="s">
        <v>2648</v>
      </c>
      <c r="E661" s="127" t="s">
        <v>407</v>
      </c>
      <c r="F661" s="128"/>
      <c r="G661" s="128" t="s">
        <v>3290</v>
      </c>
      <c r="H661" s="125"/>
      <c r="I661" s="125"/>
      <c r="J661" s="132" t="s">
        <v>1641</v>
      </c>
      <c r="K661" s="130"/>
      <c r="L661" s="129"/>
      <c r="M661" s="127" t="s">
        <v>759</v>
      </c>
      <c r="N661" s="127" t="s">
        <v>1641</v>
      </c>
      <c r="O661" s="127" t="s">
        <v>1454</v>
      </c>
      <c r="P661" s="127">
        <v>0</v>
      </c>
      <c r="Q661" s="127">
        <v>0</v>
      </c>
      <c r="R661" s="127">
        <v>0</v>
      </c>
      <c r="S661" s="127">
        <v>0</v>
      </c>
      <c r="T661" s="127">
        <v>0</v>
      </c>
      <c r="U661" s="127">
        <v>0</v>
      </c>
      <c r="V661" s="127">
        <v>0</v>
      </c>
      <c r="W661" s="127" t="s">
        <v>1551</v>
      </c>
      <c r="X661" s="127" t="s">
        <v>862</v>
      </c>
      <c r="Y661" s="127" t="s">
        <v>1609</v>
      </c>
      <c r="Z661" s="127">
        <v>0</v>
      </c>
      <c r="AA661" s="127" t="s">
        <v>2511</v>
      </c>
      <c r="AB661" s="131" t="s">
        <v>1663</v>
      </c>
      <c r="AC661" s="127" t="s">
        <v>2259</v>
      </c>
      <c r="AD661" s="127" t="s">
        <v>407</v>
      </c>
      <c r="AE661" s="131" t="e">
        <v>#N/A</v>
      </c>
      <c r="AF661" s="131" t="e">
        <v>#N/A</v>
      </c>
      <c r="AG661" s="131" t="e">
        <v>#REF!</v>
      </c>
    </row>
    <row r="662" spans="1:33" s="131" customFormat="1" ht="18" customHeight="1" x14ac:dyDescent="0.25">
      <c r="A662" s="125">
        <v>661</v>
      </c>
      <c r="B662" s="126" t="s">
        <v>856</v>
      </c>
      <c r="C662" s="126" t="s">
        <v>3249</v>
      </c>
      <c r="D662" s="126" t="s">
        <v>3199</v>
      </c>
      <c r="E662" s="127" t="s">
        <v>407</v>
      </c>
      <c r="F662" s="134" t="s">
        <v>2410</v>
      </c>
      <c r="G662" s="128" t="s">
        <v>3294</v>
      </c>
      <c r="H662" s="125"/>
      <c r="I662" s="125"/>
      <c r="J662" s="132" t="s">
        <v>1641</v>
      </c>
      <c r="K662" s="130" t="s">
        <v>297</v>
      </c>
      <c r="L662" s="129"/>
      <c r="M662" s="127" t="s">
        <v>761</v>
      </c>
      <c r="N662" s="127" t="s">
        <v>1641</v>
      </c>
      <c r="O662" s="127" t="s">
        <v>1427</v>
      </c>
      <c r="P662" s="127">
        <v>0</v>
      </c>
      <c r="Q662" s="127">
        <v>0</v>
      </c>
      <c r="R662" s="127">
        <v>0</v>
      </c>
      <c r="S662" s="127">
        <v>0</v>
      </c>
      <c r="T662" s="127">
        <v>2</v>
      </c>
      <c r="U662" s="127" t="s">
        <v>1602</v>
      </c>
      <c r="V662" s="127" t="s">
        <v>856</v>
      </c>
      <c r="W662" s="127">
        <v>0</v>
      </c>
      <c r="X662" s="127">
        <v>0</v>
      </c>
      <c r="Y662" s="127">
        <v>0</v>
      </c>
      <c r="Z662" s="127">
        <v>0</v>
      </c>
      <c r="AA662" s="127" t="s">
        <v>2511</v>
      </c>
      <c r="AB662" s="131" t="s">
        <v>1657</v>
      </c>
      <c r="AC662" s="127" t="s">
        <v>2260</v>
      </c>
      <c r="AD662" s="127" t="s">
        <v>407</v>
      </c>
      <c r="AE662" s="131" t="s">
        <v>297</v>
      </c>
      <c r="AF662" s="131" t="b">
        <v>1</v>
      </c>
      <c r="AG662" s="131" t="e">
        <v>#REF!</v>
      </c>
    </row>
    <row r="663" spans="1:33" s="131" customFormat="1" ht="18" customHeight="1" x14ac:dyDescent="0.25">
      <c r="A663" s="125">
        <v>662</v>
      </c>
      <c r="B663" s="126" t="s">
        <v>857</v>
      </c>
      <c r="C663" s="126" t="s">
        <v>3250</v>
      </c>
      <c r="D663" s="126" t="s">
        <v>3199</v>
      </c>
      <c r="E663" s="127" t="s">
        <v>407</v>
      </c>
      <c r="F663" s="134" t="s">
        <v>2410</v>
      </c>
      <c r="G663" s="128" t="s">
        <v>3294</v>
      </c>
      <c r="H663" s="125"/>
      <c r="I663" s="125"/>
      <c r="J663" s="132" t="s">
        <v>1641</v>
      </c>
      <c r="K663" s="130" t="s">
        <v>292</v>
      </c>
      <c r="L663" s="129"/>
      <c r="M663" s="127" t="s">
        <v>761</v>
      </c>
      <c r="N663" s="127" t="s">
        <v>1641</v>
      </c>
      <c r="O663" s="127" t="s">
        <v>1427</v>
      </c>
      <c r="P663" s="127">
        <v>0</v>
      </c>
      <c r="Q663" s="127">
        <v>0</v>
      </c>
      <c r="R663" s="127">
        <v>0</v>
      </c>
      <c r="S663" s="127">
        <v>0</v>
      </c>
      <c r="T663" s="127">
        <v>2</v>
      </c>
      <c r="U663" s="127" t="s">
        <v>2371</v>
      </c>
      <c r="V663" s="127" t="s">
        <v>857</v>
      </c>
      <c r="W663" s="127" t="s">
        <v>1605</v>
      </c>
      <c r="X663" s="127" t="s">
        <v>857</v>
      </c>
      <c r="Y663" s="127" t="s">
        <v>1608</v>
      </c>
      <c r="Z663" s="127">
        <v>0</v>
      </c>
      <c r="AA663" s="127" t="s">
        <v>2511</v>
      </c>
      <c r="AB663" s="131" t="s">
        <v>1658</v>
      </c>
      <c r="AC663" s="127" t="s">
        <v>2257</v>
      </c>
      <c r="AD663" s="127" t="s">
        <v>407</v>
      </c>
      <c r="AE663" s="131" t="s">
        <v>292</v>
      </c>
      <c r="AF663" s="131" t="b">
        <v>1</v>
      </c>
      <c r="AG663" s="131" t="e">
        <v>#REF!</v>
      </c>
    </row>
    <row r="664" spans="1:33" s="131" customFormat="1" ht="18" customHeight="1" x14ac:dyDescent="0.25">
      <c r="A664" s="125">
        <v>663</v>
      </c>
      <c r="B664" s="133" t="s">
        <v>1610</v>
      </c>
      <c r="C664" s="126" t="s">
        <v>3251</v>
      </c>
      <c r="D664" s="126" t="s">
        <v>3140</v>
      </c>
      <c r="E664" s="127" t="s">
        <v>407</v>
      </c>
      <c r="F664" s="128" t="s">
        <v>2410</v>
      </c>
      <c r="G664" s="128" t="s">
        <v>3294</v>
      </c>
      <c r="H664" s="125" t="s">
        <v>1732</v>
      </c>
      <c r="I664" s="125"/>
      <c r="J664" s="129"/>
      <c r="K664" s="130" t="s">
        <v>305</v>
      </c>
      <c r="L664" s="129"/>
      <c r="M664" s="127" t="s">
        <v>759</v>
      </c>
      <c r="N664" s="127" t="s">
        <v>1639</v>
      </c>
      <c r="O664" s="127" t="s">
        <v>1427</v>
      </c>
      <c r="P664" s="127">
        <v>0</v>
      </c>
      <c r="Q664" s="127">
        <v>0</v>
      </c>
      <c r="R664" s="127">
        <v>0</v>
      </c>
      <c r="S664" s="127">
        <v>0</v>
      </c>
      <c r="T664" s="127">
        <v>2</v>
      </c>
      <c r="U664" s="127" t="s">
        <v>1531</v>
      </c>
      <c r="V664" s="127" t="s">
        <v>593</v>
      </c>
      <c r="W664" s="127" t="s">
        <v>1531</v>
      </c>
      <c r="X664" s="127" t="s">
        <v>593</v>
      </c>
      <c r="Y664" s="127" t="s">
        <v>1573</v>
      </c>
      <c r="Z664" s="127">
        <v>0</v>
      </c>
      <c r="AA664" s="127" t="s">
        <v>2511</v>
      </c>
      <c r="AB664" s="131" t="s">
        <v>735</v>
      </c>
      <c r="AC664" s="127" t="s">
        <v>2301</v>
      </c>
      <c r="AD664" s="131" t="s">
        <v>407</v>
      </c>
      <c r="AE664" s="131" t="s">
        <v>305</v>
      </c>
      <c r="AF664" s="131" t="b">
        <v>1</v>
      </c>
      <c r="AG664" s="131" t="e">
        <v>#REF!</v>
      </c>
    </row>
    <row r="665" spans="1:33" s="131" customFormat="1" ht="18" customHeight="1" x14ac:dyDescent="0.25">
      <c r="A665" s="125">
        <v>664</v>
      </c>
      <c r="B665" s="133" t="s">
        <v>2416</v>
      </c>
      <c r="C665" s="126" t="s">
        <v>3252</v>
      </c>
      <c r="D665" s="126" t="s">
        <v>3202</v>
      </c>
      <c r="E665" s="127" t="s">
        <v>407</v>
      </c>
      <c r="F665" s="128"/>
      <c r="G665" s="128" t="s">
        <v>3294</v>
      </c>
      <c r="H665" s="125"/>
      <c r="I665" s="125"/>
      <c r="J665" s="132" t="s">
        <v>1641</v>
      </c>
      <c r="K665" s="130"/>
      <c r="L665" s="129"/>
      <c r="M665" s="127" t="s">
        <v>759</v>
      </c>
      <c r="N665" s="127" t="s">
        <v>1641</v>
      </c>
      <c r="O665" s="127"/>
      <c r="P665" s="127"/>
      <c r="Q665" s="127">
        <v>0</v>
      </c>
      <c r="R665" s="127">
        <v>0</v>
      </c>
      <c r="S665" s="127">
        <v>0</v>
      </c>
      <c r="T665" s="127">
        <v>2</v>
      </c>
      <c r="U665" s="127" t="s">
        <v>313</v>
      </c>
      <c r="V665" s="127" t="s">
        <v>2416</v>
      </c>
      <c r="W665" s="127"/>
      <c r="X665" s="127"/>
      <c r="Y665" s="127"/>
      <c r="Z665" s="127"/>
      <c r="AA665" s="127" t="s">
        <v>2511</v>
      </c>
      <c r="AB665" s="131" t="s">
        <v>1681</v>
      </c>
      <c r="AC665" s="127"/>
      <c r="AG665" s="131" t="e">
        <v>#REF!</v>
      </c>
    </row>
    <row r="666" spans="1:33" s="131" customFormat="1" ht="18" customHeight="1" x14ac:dyDescent="0.25">
      <c r="A666" s="125">
        <v>665</v>
      </c>
      <c r="B666" s="136" t="s">
        <v>1621</v>
      </c>
      <c r="C666" s="126" t="s">
        <v>3253</v>
      </c>
      <c r="D666" s="126" t="s">
        <v>3202</v>
      </c>
      <c r="E666" s="127" t="s">
        <v>407</v>
      </c>
      <c r="F666" s="134" t="s">
        <v>2410</v>
      </c>
      <c r="G666" s="128" t="s">
        <v>3294</v>
      </c>
      <c r="H666" s="125"/>
      <c r="I666" s="125"/>
      <c r="J666" s="132" t="s">
        <v>1641</v>
      </c>
      <c r="K666" s="130" t="s">
        <v>301</v>
      </c>
      <c r="L666" s="129"/>
      <c r="M666" s="127" t="s">
        <v>759</v>
      </c>
      <c r="N666" s="127" t="s">
        <v>1641</v>
      </c>
      <c r="O666" s="127" t="s">
        <v>1427</v>
      </c>
      <c r="P666" s="127">
        <v>0</v>
      </c>
      <c r="Q666" s="127">
        <v>0</v>
      </c>
      <c r="R666" s="127">
        <v>0</v>
      </c>
      <c r="S666" s="127">
        <v>0</v>
      </c>
      <c r="T666" s="127">
        <v>2</v>
      </c>
      <c r="U666" s="127" t="s">
        <v>301</v>
      </c>
      <c r="V666" s="127" t="s">
        <v>1621</v>
      </c>
      <c r="W666" s="127">
        <v>0</v>
      </c>
      <c r="X666" s="127">
        <v>0</v>
      </c>
      <c r="Y666" s="127">
        <v>0</v>
      </c>
      <c r="Z666" s="127">
        <v>0</v>
      </c>
      <c r="AA666" s="127" t="s">
        <v>2511</v>
      </c>
      <c r="AB666" s="131" t="s">
        <v>1692</v>
      </c>
      <c r="AC666" s="127" t="s">
        <v>2311</v>
      </c>
      <c r="AD666" s="127" t="s">
        <v>407</v>
      </c>
      <c r="AE666" s="131" t="s">
        <v>3297</v>
      </c>
      <c r="AF666" s="131" t="b">
        <v>0</v>
      </c>
      <c r="AG666" s="131" t="e">
        <v>#REF!</v>
      </c>
    </row>
    <row r="667" spans="1:33" s="131" customFormat="1" ht="18" customHeight="1" x14ac:dyDescent="0.25">
      <c r="A667" s="125">
        <v>666</v>
      </c>
      <c r="B667" s="126" t="s">
        <v>1619</v>
      </c>
      <c r="C667" s="126" t="s">
        <v>3254</v>
      </c>
      <c r="D667" s="126" t="s">
        <v>3202</v>
      </c>
      <c r="E667" s="127" t="s">
        <v>407</v>
      </c>
      <c r="F667" s="134" t="s">
        <v>2410</v>
      </c>
      <c r="G667" s="128" t="s">
        <v>3294</v>
      </c>
      <c r="H667" s="125"/>
      <c r="I667" s="125"/>
      <c r="J667" s="132" t="s">
        <v>1641</v>
      </c>
      <c r="K667" s="130" t="s">
        <v>320</v>
      </c>
      <c r="L667" s="129"/>
      <c r="M667" s="127" t="s">
        <v>759</v>
      </c>
      <c r="N667" s="127" t="s">
        <v>1641</v>
      </c>
      <c r="O667" s="127" t="s">
        <v>1427</v>
      </c>
      <c r="P667" s="127">
        <v>0</v>
      </c>
      <c r="Q667" s="127">
        <v>0</v>
      </c>
      <c r="R667" s="127">
        <v>0</v>
      </c>
      <c r="S667" s="127">
        <v>0</v>
      </c>
      <c r="T667" s="127">
        <v>2</v>
      </c>
      <c r="U667" s="127" t="s">
        <v>320</v>
      </c>
      <c r="V667" s="127" t="s">
        <v>1619</v>
      </c>
      <c r="W667" s="127">
        <v>0</v>
      </c>
      <c r="X667" s="127">
        <v>0</v>
      </c>
      <c r="Y667" s="127">
        <v>0</v>
      </c>
      <c r="Z667" s="127">
        <v>0</v>
      </c>
      <c r="AA667" s="127" t="s">
        <v>2511</v>
      </c>
      <c r="AB667" s="131" t="s">
        <v>1690</v>
      </c>
      <c r="AC667" s="127" t="s">
        <v>2309</v>
      </c>
      <c r="AD667" s="131" t="s">
        <v>407</v>
      </c>
      <c r="AE667" s="131" t="s">
        <v>3297</v>
      </c>
      <c r="AF667" s="131" t="b">
        <v>0</v>
      </c>
      <c r="AG667" s="131" t="e">
        <v>#REF!</v>
      </c>
    </row>
    <row r="668" spans="1:33" s="131" customFormat="1" ht="18" customHeight="1" x14ac:dyDescent="0.25">
      <c r="A668" s="125">
        <v>667</v>
      </c>
      <c r="B668" s="136" t="s">
        <v>1714</v>
      </c>
      <c r="C668" s="126" t="s">
        <v>3255</v>
      </c>
      <c r="D668" s="126" t="s">
        <v>3140</v>
      </c>
      <c r="E668" s="127" t="s">
        <v>407</v>
      </c>
      <c r="F668" s="134" t="s">
        <v>2410</v>
      </c>
      <c r="G668" s="128" t="s">
        <v>3294</v>
      </c>
      <c r="H668" s="125"/>
      <c r="I668" s="125"/>
      <c r="J668" s="132" t="s">
        <v>1641</v>
      </c>
      <c r="K668" s="130" t="s">
        <v>305</v>
      </c>
      <c r="L668" s="129"/>
      <c r="M668" s="127" t="s">
        <v>759</v>
      </c>
      <c r="N668" s="127" t="s">
        <v>1641</v>
      </c>
      <c r="O668" s="127" t="s">
        <v>1427</v>
      </c>
      <c r="P668" s="127">
        <v>0</v>
      </c>
      <c r="Q668" s="127">
        <v>0</v>
      </c>
      <c r="R668" s="127">
        <v>0</v>
      </c>
      <c r="S668" s="127">
        <v>0</v>
      </c>
      <c r="T668" s="127">
        <v>2</v>
      </c>
      <c r="U668" s="127" t="s">
        <v>305</v>
      </c>
      <c r="V668" s="127" t="s">
        <v>1714</v>
      </c>
      <c r="W668" s="127">
        <v>0</v>
      </c>
      <c r="X668" s="127">
        <v>0</v>
      </c>
      <c r="Y668" s="127">
        <v>0</v>
      </c>
      <c r="Z668" s="127">
        <v>0</v>
      </c>
      <c r="AA668" s="127" t="s">
        <v>2511</v>
      </c>
      <c r="AB668" s="131" t="s">
        <v>1720</v>
      </c>
      <c r="AC668" s="127" t="e">
        <v>#N/A</v>
      </c>
      <c r="AD668" s="131" t="s">
        <v>407</v>
      </c>
      <c r="AE668" s="131" t="e">
        <v>#N/A</v>
      </c>
      <c r="AF668" s="131" t="e">
        <v>#N/A</v>
      </c>
      <c r="AG668" s="131" t="e">
        <v>#REF!</v>
      </c>
    </row>
    <row r="669" spans="1:33" s="131" customFormat="1" ht="18" customHeight="1" x14ac:dyDescent="0.25">
      <c r="A669" s="125">
        <v>668</v>
      </c>
      <c r="B669" s="126" t="s">
        <v>2417</v>
      </c>
      <c r="C669" s="126" t="s">
        <v>3256</v>
      </c>
      <c r="D669" s="126" t="s">
        <v>2648</v>
      </c>
      <c r="E669" s="127" t="s">
        <v>407</v>
      </c>
      <c r="F669" s="134" t="s">
        <v>2410</v>
      </c>
      <c r="G669" s="128" t="s">
        <v>3294</v>
      </c>
      <c r="H669" s="127"/>
      <c r="I669" s="125"/>
      <c r="J669" s="132" t="s">
        <v>1641</v>
      </c>
      <c r="K669" s="16" t="s">
        <v>227</v>
      </c>
      <c r="L669" s="129"/>
      <c r="M669" s="127"/>
      <c r="N669" s="127" t="s">
        <v>1641</v>
      </c>
      <c r="O669" s="127" t="s">
        <v>1427</v>
      </c>
      <c r="P669" s="127">
        <v>0</v>
      </c>
      <c r="Q669" s="127">
        <v>0</v>
      </c>
      <c r="R669" s="127">
        <v>0</v>
      </c>
      <c r="S669" s="127">
        <v>0</v>
      </c>
      <c r="T669" s="127">
        <v>2</v>
      </c>
      <c r="U669" s="127" t="s">
        <v>227</v>
      </c>
      <c r="V669" s="127" t="s">
        <v>2417</v>
      </c>
      <c r="W669" s="127"/>
      <c r="X669" s="127"/>
      <c r="Y669" s="127"/>
      <c r="Z669" s="127"/>
      <c r="AA669" s="127" t="s">
        <v>2511</v>
      </c>
      <c r="AB669" s="131" t="s">
        <v>1681</v>
      </c>
      <c r="AC669" s="127" t="e">
        <v>#N/A</v>
      </c>
      <c r="AG669" s="131" t="e">
        <v>#REF!</v>
      </c>
    </row>
    <row r="670" spans="1:33" s="131" customFormat="1" ht="18" customHeight="1" x14ac:dyDescent="0.25">
      <c r="A670" s="125">
        <v>669</v>
      </c>
      <c r="B670" s="140" t="s">
        <v>2456</v>
      </c>
      <c r="C670" s="126" t="s">
        <v>3257</v>
      </c>
      <c r="D670" s="126" t="s">
        <v>2557</v>
      </c>
      <c r="E670" s="141" t="s">
        <v>841</v>
      </c>
      <c r="F670" s="127"/>
      <c r="G670" s="128" t="s">
        <v>3290</v>
      </c>
      <c r="H670" s="127"/>
      <c r="I670" s="141"/>
      <c r="J670" s="132" t="s">
        <v>1641</v>
      </c>
      <c r="K670" s="16"/>
      <c r="L670" s="129"/>
      <c r="M670" s="127"/>
      <c r="N670" s="127" t="s">
        <v>1641</v>
      </c>
      <c r="O670" s="127" t="s">
        <v>1427</v>
      </c>
      <c r="P670" s="127">
        <v>0</v>
      </c>
      <c r="Q670" s="127">
        <v>0</v>
      </c>
      <c r="R670" s="127">
        <v>0</v>
      </c>
      <c r="S670" s="127">
        <v>0</v>
      </c>
      <c r="T670" s="127">
        <v>1</v>
      </c>
      <c r="U670" s="127" t="s">
        <v>1555</v>
      </c>
      <c r="V670" s="127" t="s">
        <v>2456</v>
      </c>
      <c r="W670" s="127"/>
      <c r="X670" s="127"/>
      <c r="Y670" s="127"/>
      <c r="Z670" s="127"/>
      <c r="AA670" s="127"/>
      <c r="AB670" s="142" t="s">
        <v>2457</v>
      </c>
      <c r="AC670" s="127" t="e">
        <v>#N/A</v>
      </c>
    </row>
    <row r="671" spans="1:33" s="131" customFormat="1" ht="18" customHeight="1" x14ac:dyDescent="0.25">
      <c r="A671" s="125">
        <v>670</v>
      </c>
      <c r="B671" s="140" t="s">
        <v>2458</v>
      </c>
      <c r="C671" s="126" t="s">
        <v>3258</v>
      </c>
      <c r="D671" s="126" t="s">
        <v>2563</v>
      </c>
      <c r="E671" s="141" t="s">
        <v>1418</v>
      </c>
      <c r="F671" s="127"/>
      <c r="G671" s="128" t="s">
        <v>3294</v>
      </c>
      <c r="H671" s="127"/>
      <c r="I671" s="141"/>
      <c r="J671" s="132" t="s">
        <v>1641</v>
      </c>
      <c r="K671" s="16"/>
      <c r="L671" s="129"/>
      <c r="M671" s="127"/>
      <c r="N671" s="127" t="s">
        <v>1641</v>
      </c>
      <c r="O671" s="127" t="s">
        <v>1427</v>
      </c>
      <c r="P671" s="127">
        <v>0</v>
      </c>
      <c r="Q671" s="127">
        <v>0</v>
      </c>
      <c r="R671" s="127">
        <v>0</v>
      </c>
      <c r="S671" s="127">
        <v>0</v>
      </c>
      <c r="T671" s="127">
        <v>1</v>
      </c>
      <c r="U671" s="127" t="s">
        <v>1440</v>
      </c>
      <c r="V671" s="127" t="s">
        <v>2458</v>
      </c>
      <c r="W671" s="127"/>
      <c r="X671" s="127"/>
      <c r="Y671" s="127"/>
      <c r="Z671" s="127"/>
      <c r="AA671" s="127"/>
      <c r="AB671" s="40" t="s">
        <v>2459</v>
      </c>
      <c r="AC671" s="127" t="e">
        <v>#N/A</v>
      </c>
    </row>
    <row r="672" spans="1:33" s="131" customFormat="1" ht="18" customHeight="1" x14ac:dyDescent="0.25">
      <c r="A672" s="125">
        <v>671</v>
      </c>
      <c r="B672" s="140" t="s">
        <v>2460</v>
      </c>
      <c r="C672" s="126" t="s">
        <v>3259</v>
      </c>
      <c r="D672" s="126" t="s">
        <v>2653</v>
      </c>
      <c r="E672" s="141" t="s">
        <v>813</v>
      </c>
      <c r="F672" s="127"/>
      <c r="G672" s="128" t="s">
        <v>3294</v>
      </c>
      <c r="H672" s="127"/>
      <c r="I672" s="141"/>
      <c r="J672" s="132" t="s">
        <v>1641</v>
      </c>
      <c r="K672" s="16"/>
      <c r="L672" s="129"/>
      <c r="M672" s="127"/>
      <c r="N672" s="127" t="s">
        <v>1641</v>
      </c>
      <c r="O672" s="127" t="s">
        <v>1427</v>
      </c>
      <c r="P672" s="127">
        <v>0</v>
      </c>
      <c r="Q672" s="127">
        <v>0</v>
      </c>
      <c r="R672" s="127">
        <v>0</v>
      </c>
      <c r="S672" s="127">
        <v>0</v>
      </c>
      <c r="T672" s="127">
        <v>1</v>
      </c>
      <c r="U672" s="127" t="s">
        <v>2360</v>
      </c>
      <c r="V672" s="127" t="s">
        <v>2460</v>
      </c>
      <c r="W672" s="127"/>
      <c r="X672" s="127"/>
      <c r="Y672" s="127"/>
      <c r="Z672" s="127"/>
      <c r="AA672" s="127"/>
      <c r="AB672" s="40" t="s">
        <v>2461</v>
      </c>
      <c r="AC672" s="127" t="e">
        <v>#N/A</v>
      </c>
    </row>
    <row r="673" spans="1:29" s="131" customFormat="1" ht="18" customHeight="1" x14ac:dyDescent="0.25">
      <c r="A673" s="125">
        <v>672</v>
      </c>
      <c r="B673" s="140" t="s">
        <v>2462</v>
      </c>
      <c r="C673" s="126" t="s">
        <v>3260</v>
      </c>
      <c r="D673" s="126" t="s">
        <v>2706</v>
      </c>
      <c r="E673" s="141" t="s">
        <v>2397</v>
      </c>
      <c r="F673" s="134" t="s">
        <v>2410</v>
      </c>
      <c r="G673" s="128" t="s">
        <v>3294</v>
      </c>
      <c r="H673" s="127"/>
      <c r="I673" s="141"/>
      <c r="J673" s="132"/>
      <c r="K673" s="16"/>
      <c r="L673" s="129" t="s">
        <v>2551</v>
      </c>
      <c r="M673" s="127" t="s">
        <v>2356</v>
      </c>
      <c r="N673" s="127" t="s">
        <v>764</v>
      </c>
      <c r="O673" s="127" t="s">
        <v>1427</v>
      </c>
      <c r="P673" s="127">
        <v>0</v>
      </c>
      <c r="Q673" s="127">
        <v>0</v>
      </c>
      <c r="R673" s="127">
        <v>0</v>
      </c>
      <c r="S673" s="127">
        <v>0</v>
      </c>
      <c r="T673" s="127">
        <v>1</v>
      </c>
      <c r="U673" s="127" t="s">
        <v>1481</v>
      </c>
      <c r="V673" s="127" t="s">
        <v>2462</v>
      </c>
      <c r="W673" s="127"/>
      <c r="X673" s="127"/>
      <c r="Y673" s="127"/>
      <c r="Z673" s="127"/>
      <c r="AA673" s="127"/>
      <c r="AB673" s="40" t="s">
        <v>2463</v>
      </c>
      <c r="AC673" s="127" t="e">
        <v>#N/A</v>
      </c>
    </row>
    <row r="674" spans="1:29" s="131" customFormat="1" ht="18" customHeight="1" x14ac:dyDescent="0.25">
      <c r="A674" s="125">
        <v>673</v>
      </c>
      <c r="B674" s="140" t="s">
        <v>2464</v>
      </c>
      <c r="C674" s="126" t="s">
        <v>3261</v>
      </c>
      <c r="D674" s="126" t="s">
        <v>2710</v>
      </c>
      <c r="E674" s="141" t="s">
        <v>2322</v>
      </c>
      <c r="F674" s="134" t="s">
        <v>2410</v>
      </c>
      <c r="G674" s="128" t="s">
        <v>3294</v>
      </c>
      <c r="H674" s="127"/>
      <c r="I674" s="141"/>
      <c r="J674" s="132"/>
      <c r="K674" s="16"/>
      <c r="L674" s="129" t="s">
        <v>2552</v>
      </c>
      <c r="M674" s="127"/>
      <c r="N674" s="127" t="s">
        <v>764</v>
      </c>
      <c r="O674" s="127" t="s">
        <v>1427</v>
      </c>
      <c r="P674" s="127">
        <v>0</v>
      </c>
      <c r="Q674" s="127">
        <v>0</v>
      </c>
      <c r="R674" s="127">
        <v>0</v>
      </c>
      <c r="S674" s="127">
        <v>0</v>
      </c>
      <c r="T674" s="127">
        <v>1</v>
      </c>
      <c r="U674" s="127" t="s">
        <v>1477</v>
      </c>
      <c r="V674" s="127" t="s">
        <v>2464</v>
      </c>
      <c r="W674" s="127"/>
      <c r="X674" s="127"/>
      <c r="Y674" s="127"/>
      <c r="Z674" s="127"/>
      <c r="AA674" s="127"/>
      <c r="AB674" s="40" t="s">
        <v>2465</v>
      </c>
      <c r="AC674" s="127" t="e">
        <v>#N/A</v>
      </c>
    </row>
    <row r="675" spans="1:29" s="131" customFormat="1" ht="18" customHeight="1" x14ac:dyDescent="0.25">
      <c r="A675" s="125">
        <v>674</v>
      </c>
      <c r="B675" s="140" t="s">
        <v>2466</v>
      </c>
      <c r="C675" s="126" t="s">
        <v>3262</v>
      </c>
      <c r="D675" s="126" t="s">
        <v>2706</v>
      </c>
      <c r="E675" s="141" t="s">
        <v>2397</v>
      </c>
      <c r="F675" s="134" t="s">
        <v>2410</v>
      </c>
      <c r="G675" s="128" t="s">
        <v>3294</v>
      </c>
      <c r="H675" s="127"/>
      <c r="I675" s="141"/>
      <c r="J675" s="132"/>
      <c r="K675" s="16"/>
      <c r="L675" s="129" t="s">
        <v>2551</v>
      </c>
      <c r="M675" s="127" t="s">
        <v>2356</v>
      </c>
      <c r="N675" s="127" t="s">
        <v>764</v>
      </c>
      <c r="O675" s="127" t="s">
        <v>1427</v>
      </c>
      <c r="P675" s="127">
        <v>0</v>
      </c>
      <c r="Q675" s="127">
        <v>0</v>
      </c>
      <c r="R675" s="127">
        <v>0</v>
      </c>
      <c r="S675" s="127">
        <v>0</v>
      </c>
      <c r="T675" s="127">
        <v>1</v>
      </c>
      <c r="U675" s="127" t="s">
        <v>2517</v>
      </c>
      <c r="V675" s="127" t="s">
        <v>2466</v>
      </c>
      <c r="W675" s="127"/>
      <c r="X675" s="127"/>
      <c r="Y675" s="127"/>
      <c r="Z675" s="127"/>
      <c r="AA675" s="127"/>
      <c r="AB675" s="40" t="s">
        <v>2467</v>
      </c>
      <c r="AC675" s="127" t="e">
        <v>#N/A</v>
      </c>
    </row>
    <row r="676" spans="1:29" s="131" customFormat="1" ht="18" customHeight="1" x14ac:dyDescent="0.25">
      <c r="A676" s="125">
        <v>675</v>
      </c>
      <c r="B676" s="140" t="s">
        <v>2468</v>
      </c>
      <c r="C676" s="126" t="s">
        <v>3263</v>
      </c>
      <c r="D676" s="126" t="s">
        <v>2706</v>
      </c>
      <c r="E676" s="141" t="s">
        <v>2397</v>
      </c>
      <c r="F676" s="134" t="s">
        <v>2410</v>
      </c>
      <c r="G676" s="128" t="s">
        <v>3294</v>
      </c>
      <c r="H676" s="127"/>
      <c r="I676" s="141"/>
      <c r="J676" s="132"/>
      <c r="K676" s="16"/>
      <c r="L676" s="129" t="s">
        <v>2551</v>
      </c>
      <c r="M676" s="127" t="s">
        <v>2356</v>
      </c>
      <c r="N676" s="127" t="s">
        <v>764</v>
      </c>
      <c r="O676" s="127" t="s">
        <v>1427</v>
      </c>
      <c r="P676" s="127">
        <v>0</v>
      </c>
      <c r="Q676" s="127">
        <v>0</v>
      </c>
      <c r="R676" s="127">
        <v>0</v>
      </c>
      <c r="S676" s="127">
        <v>0</v>
      </c>
      <c r="T676" s="127">
        <v>1</v>
      </c>
      <c r="U676" s="127" t="s">
        <v>2518</v>
      </c>
      <c r="V676" s="127" t="s">
        <v>2468</v>
      </c>
      <c r="W676" s="127"/>
      <c r="X676" s="127"/>
      <c r="Y676" s="127"/>
      <c r="Z676" s="127"/>
      <c r="AA676" s="127"/>
      <c r="AB676" s="40" t="s">
        <v>2469</v>
      </c>
      <c r="AC676" s="127" t="e">
        <v>#N/A</v>
      </c>
    </row>
    <row r="677" spans="1:29" s="131" customFormat="1" ht="18" customHeight="1" x14ac:dyDescent="0.25">
      <c r="A677" s="125">
        <v>676</v>
      </c>
      <c r="B677" s="140" t="s">
        <v>2470</v>
      </c>
      <c r="C677" s="126" t="s">
        <v>3264</v>
      </c>
      <c r="D677" s="126" t="s">
        <v>2706</v>
      </c>
      <c r="E677" s="141" t="s">
        <v>3</v>
      </c>
      <c r="F677" s="134" t="s">
        <v>2410</v>
      </c>
      <c r="G677" s="128" t="s">
        <v>3294</v>
      </c>
      <c r="H677" s="127"/>
      <c r="I677" s="141"/>
      <c r="J677" s="132"/>
      <c r="K677" s="16"/>
      <c r="L677" s="129" t="s">
        <v>2551</v>
      </c>
      <c r="M677" s="127" t="s">
        <v>2356</v>
      </c>
      <c r="N677" s="127" t="s">
        <v>764</v>
      </c>
      <c r="O677" s="127" t="s">
        <v>1427</v>
      </c>
      <c r="P677" s="127">
        <v>0</v>
      </c>
      <c r="Q677" s="127">
        <v>0</v>
      </c>
      <c r="R677" s="127">
        <v>0</v>
      </c>
      <c r="S677" s="127">
        <v>0</v>
      </c>
      <c r="T677" s="127">
        <v>1</v>
      </c>
      <c r="U677" s="127" t="s">
        <v>2432</v>
      </c>
      <c r="V677" s="127" t="s">
        <v>2470</v>
      </c>
      <c r="W677" s="127"/>
      <c r="X677" s="127"/>
      <c r="Y677" s="127"/>
      <c r="Z677" s="127"/>
      <c r="AA677" s="127"/>
      <c r="AB677" s="142" t="s">
        <v>2471</v>
      </c>
      <c r="AC677" s="127" t="e">
        <v>#N/A</v>
      </c>
    </row>
    <row r="678" spans="1:29" s="131" customFormat="1" ht="18" customHeight="1" x14ac:dyDescent="0.25">
      <c r="A678" s="125">
        <v>677</v>
      </c>
      <c r="B678" s="140" t="s">
        <v>2472</v>
      </c>
      <c r="C678" s="126" t="s">
        <v>3265</v>
      </c>
      <c r="D678" s="126" t="s">
        <v>2710</v>
      </c>
      <c r="E678" s="141" t="s">
        <v>2397</v>
      </c>
      <c r="F678" s="134" t="s">
        <v>2410</v>
      </c>
      <c r="G678" s="128" t="s">
        <v>3294</v>
      </c>
      <c r="H678" s="127"/>
      <c r="I678" s="141"/>
      <c r="J678" s="132"/>
      <c r="K678" s="16"/>
      <c r="L678" s="129" t="s">
        <v>2552</v>
      </c>
      <c r="M678" s="127" t="s">
        <v>2356</v>
      </c>
      <c r="N678" s="127" t="s">
        <v>764</v>
      </c>
      <c r="O678" s="127" t="s">
        <v>1427</v>
      </c>
      <c r="P678" s="127">
        <v>0</v>
      </c>
      <c r="Q678" s="127">
        <v>0</v>
      </c>
      <c r="R678" s="127">
        <v>0</v>
      </c>
      <c r="S678" s="127">
        <v>0</v>
      </c>
      <c r="T678" s="127">
        <v>1</v>
      </c>
      <c r="U678" s="127" t="s">
        <v>2513</v>
      </c>
      <c r="V678" s="127" t="s">
        <v>2472</v>
      </c>
      <c r="W678" s="127"/>
      <c r="X678" s="127"/>
      <c r="Y678" s="127"/>
      <c r="Z678" s="127"/>
      <c r="AA678" s="127"/>
      <c r="AB678" s="142" t="s">
        <v>2473</v>
      </c>
      <c r="AC678" s="127" t="e">
        <v>#N/A</v>
      </c>
    </row>
    <row r="679" spans="1:29" s="131" customFormat="1" ht="18" customHeight="1" x14ac:dyDescent="0.25">
      <c r="A679" s="125">
        <v>678</v>
      </c>
      <c r="B679" s="140" t="s">
        <v>2474</v>
      </c>
      <c r="C679" s="126" t="s">
        <v>3266</v>
      </c>
      <c r="D679" s="126" t="s">
        <v>2796</v>
      </c>
      <c r="E679" s="141" t="s">
        <v>766</v>
      </c>
      <c r="F679" s="127"/>
      <c r="G679" s="128" t="s">
        <v>3294</v>
      </c>
      <c r="H679" s="127"/>
      <c r="I679" s="141"/>
      <c r="J679" s="132" t="s">
        <v>1641</v>
      </c>
      <c r="K679" s="16"/>
      <c r="L679" s="129"/>
      <c r="M679" s="127"/>
      <c r="N679" s="127" t="s">
        <v>1641</v>
      </c>
      <c r="O679" s="127" t="s">
        <v>1427</v>
      </c>
      <c r="P679" s="127">
        <v>0</v>
      </c>
      <c r="Q679" s="127">
        <v>0</v>
      </c>
      <c r="R679" s="127">
        <v>0</v>
      </c>
      <c r="S679" s="127">
        <v>0</v>
      </c>
      <c r="T679" s="127">
        <v>1</v>
      </c>
      <c r="U679" s="127" t="s">
        <v>1442</v>
      </c>
      <c r="V679" s="127" t="s">
        <v>2474</v>
      </c>
      <c r="W679" s="127"/>
      <c r="X679" s="127"/>
      <c r="Y679" s="127"/>
      <c r="Z679" s="127"/>
      <c r="AA679" s="127"/>
      <c r="AB679" s="40" t="s">
        <v>2475</v>
      </c>
      <c r="AC679" s="127" t="e">
        <v>#N/A</v>
      </c>
    </row>
    <row r="680" spans="1:29" s="131" customFormat="1" ht="18" customHeight="1" x14ac:dyDescent="0.25">
      <c r="A680" s="125">
        <v>679</v>
      </c>
      <c r="B680" s="140" t="s">
        <v>2525</v>
      </c>
      <c r="C680" s="126" t="s">
        <v>3267</v>
      </c>
      <c r="D680" s="126" t="s">
        <v>2938</v>
      </c>
      <c r="E680" s="141" t="s">
        <v>339</v>
      </c>
      <c r="F680" s="127"/>
      <c r="G680" s="128" t="s">
        <v>3294</v>
      </c>
      <c r="H680" s="127"/>
      <c r="I680" s="141"/>
      <c r="J680" s="132" t="s">
        <v>1641</v>
      </c>
      <c r="K680" s="16"/>
      <c r="L680" s="129"/>
      <c r="M680" s="127"/>
      <c r="N680" s="127" t="s">
        <v>1641</v>
      </c>
      <c r="O680" s="127" t="s">
        <v>1427</v>
      </c>
      <c r="P680" s="127">
        <v>0</v>
      </c>
      <c r="Q680" s="127">
        <v>0</v>
      </c>
      <c r="R680" s="127">
        <v>0</v>
      </c>
      <c r="S680" s="127">
        <v>0</v>
      </c>
      <c r="T680" s="127">
        <v>1</v>
      </c>
      <c r="U680" s="127" t="s">
        <v>1513</v>
      </c>
      <c r="V680" s="127" t="s">
        <v>2525</v>
      </c>
      <c r="W680" s="127"/>
      <c r="X680" s="127"/>
      <c r="Y680" s="127"/>
      <c r="Z680" s="127"/>
      <c r="AA680" s="127"/>
      <c r="AB680" s="142" t="s">
        <v>2477</v>
      </c>
      <c r="AC680" s="127" t="e">
        <v>#N/A</v>
      </c>
    </row>
    <row r="681" spans="1:29" s="131" customFormat="1" ht="18" customHeight="1" x14ac:dyDescent="0.25">
      <c r="A681" s="125">
        <v>680</v>
      </c>
      <c r="B681" s="140" t="s">
        <v>2478</v>
      </c>
      <c r="C681" s="126" t="s">
        <v>3268</v>
      </c>
      <c r="D681" s="126" t="s">
        <v>2790</v>
      </c>
      <c r="E681" s="141" t="s">
        <v>1418</v>
      </c>
      <c r="F681" s="134" t="s">
        <v>2410</v>
      </c>
      <c r="G681" s="128" t="s">
        <v>3294</v>
      </c>
      <c r="H681" s="127"/>
      <c r="I681" s="141"/>
      <c r="J681" s="132"/>
      <c r="K681" s="16"/>
      <c r="L681" s="129" t="s">
        <v>2550</v>
      </c>
      <c r="M681" s="127"/>
      <c r="N681" s="127" t="s">
        <v>764</v>
      </c>
      <c r="O681" s="127" t="s">
        <v>1427</v>
      </c>
      <c r="P681" s="127">
        <v>0</v>
      </c>
      <c r="Q681" s="127">
        <v>0</v>
      </c>
      <c r="R681" s="127">
        <v>0</v>
      </c>
      <c r="S681" s="127">
        <v>0</v>
      </c>
      <c r="T681" s="127">
        <v>1</v>
      </c>
      <c r="U681" s="127" t="s">
        <v>799</v>
      </c>
      <c r="V681" s="127" t="s">
        <v>2478</v>
      </c>
      <c r="W681" s="127"/>
      <c r="X681" s="127"/>
      <c r="Y681" s="127"/>
      <c r="Z681" s="127"/>
      <c r="AA681" s="127"/>
      <c r="AB681" s="40" t="s">
        <v>2479</v>
      </c>
      <c r="AC681" s="127" t="e">
        <v>#N/A</v>
      </c>
    </row>
    <row r="682" spans="1:29" s="131" customFormat="1" ht="18" customHeight="1" x14ac:dyDescent="0.25">
      <c r="A682" s="125">
        <v>681</v>
      </c>
      <c r="B682" s="140" t="s">
        <v>2480</v>
      </c>
      <c r="C682" s="126" t="s">
        <v>3269</v>
      </c>
      <c r="D682" s="126" t="s">
        <v>2790</v>
      </c>
      <c r="E682" s="141" t="s">
        <v>2322</v>
      </c>
      <c r="F682" s="134" t="s">
        <v>2410</v>
      </c>
      <c r="G682" s="128" t="s">
        <v>3294</v>
      </c>
      <c r="H682" s="127"/>
      <c r="I682" s="141"/>
      <c r="J682" s="132"/>
      <c r="K682" s="16"/>
      <c r="L682" s="129" t="s">
        <v>2551</v>
      </c>
      <c r="M682" s="127"/>
      <c r="N682" s="127" t="s">
        <v>764</v>
      </c>
      <c r="O682" s="127" t="s">
        <v>1427</v>
      </c>
      <c r="P682" s="127">
        <v>0</v>
      </c>
      <c r="Q682" s="127">
        <v>0</v>
      </c>
      <c r="R682" s="127">
        <v>0</v>
      </c>
      <c r="S682" s="127">
        <v>0</v>
      </c>
      <c r="T682" s="127">
        <v>1</v>
      </c>
      <c r="U682" s="127" t="s">
        <v>1552</v>
      </c>
      <c r="V682" s="127" t="s">
        <v>2480</v>
      </c>
      <c r="W682" s="127"/>
      <c r="X682" s="127"/>
      <c r="Y682" s="127"/>
      <c r="Z682" s="127"/>
      <c r="AA682" s="127"/>
      <c r="AB682" s="40" t="s">
        <v>2481</v>
      </c>
      <c r="AC682" s="127" t="e">
        <v>#N/A</v>
      </c>
    </row>
    <row r="683" spans="1:29" s="131" customFormat="1" ht="18" customHeight="1" x14ac:dyDescent="0.25">
      <c r="A683" s="125">
        <v>682</v>
      </c>
      <c r="B683" s="140" t="s">
        <v>2482</v>
      </c>
      <c r="C683" s="126" t="s">
        <v>3270</v>
      </c>
      <c r="D683" s="126" t="s">
        <v>2790</v>
      </c>
      <c r="E683" s="141" t="s">
        <v>1418</v>
      </c>
      <c r="F683" s="134" t="s">
        <v>2410</v>
      </c>
      <c r="G683" s="128" t="s">
        <v>3294</v>
      </c>
      <c r="H683" s="127"/>
      <c r="I683" s="141"/>
      <c r="J683" s="132"/>
      <c r="K683" s="16"/>
      <c r="L683" s="129" t="s">
        <v>2551</v>
      </c>
      <c r="M683" s="127"/>
      <c r="N683" s="127" t="s">
        <v>764</v>
      </c>
      <c r="O683" s="127" t="s">
        <v>1427</v>
      </c>
      <c r="P683" s="127">
        <v>0</v>
      </c>
      <c r="Q683" s="127">
        <v>0</v>
      </c>
      <c r="R683" s="127">
        <v>0</v>
      </c>
      <c r="S683" s="127">
        <v>0</v>
      </c>
      <c r="T683" s="127">
        <v>1</v>
      </c>
      <c r="U683" s="127" t="s">
        <v>1548</v>
      </c>
      <c r="V683" s="127" t="s">
        <v>2482</v>
      </c>
      <c r="W683" s="127"/>
      <c r="X683" s="127"/>
      <c r="Y683" s="127"/>
      <c r="Z683" s="127"/>
      <c r="AA683" s="127"/>
      <c r="AB683" s="40" t="s">
        <v>2483</v>
      </c>
      <c r="AC683" s="127" t="e">
        <v>#N/A</v>
      </c>
    </row>
    <row r="684" spans="1:29" s="131" customFormat="1" ht="18" customHeight="1" x14ac:dyDescent="0.25">
      <c r="A684" s="125">
        <v>683</v>
      </c>
      <c r="B684" s="140" t="s">
        <v>2484</v>
      </c>
      <c r="C684" s="126" t="s">
        <v>3271</v>
      </c>
      <c r="D684" s="126" t="s">
        <v>2790</v>
      </c>
      <c r="E684" s="141" t="s">
        <v>766</v>
      </c>
      <c r="F684" s="127"/>
      <c r="G684" s="128" t="s">
        <v>3294</v>
      </c>
      <c r="H684" s="127"/>
      <c r="I684" s="141"/>
      <c r="J684" s="132" t="s">
        <v>1641</v>
      </c>
      <c r="K684" s="16"/>
      <c r="L684" s="129"/>
      <c r="M684" s="127"/>
      <c r="N684" s="127" t="s">
        <v>1641</v>
      </c>
      <c r="O684" s="127" t="s">
        <v>1427</v>
      </c>
      <c r="P684" s="127">
        <v>0</v>
      </c>
      <c r="Q684" s="127">
        <v>0</v>
      </c>
      <c r="R684" s="127">
        <v>0</v>
      </c>
      <c r="S684" s="127">
        <v>0</v>
      </c>
      <c r="T684" s="127">
        <v>1</v>
      </c>
      <c r="U684" s="127" t="s">
        <v>800</v>
      </c>
      <c r="V684" s="127" t="s">
        <v>2484</v>
      </c>
      <c r="W684" s="127"/>
      <c r="X684" s="127"/>
      <c r="Y684" s="127"/>
      <c r="Z684" s="127"/>
      <c r="AA684" s="127"/>
      <c r="AB684" s="40" t="s">
        <v>2485</v>
      </c>
      <c r="AC684" s="127" t="e">
        <v>#N/A</v>
      </c>
    </row>
    <row r="685" spans="1:29" s="131" customFormat="1" ht="18" customHeight="1" x14ac:dyDescent="0.25">
      <c r="A685" s="125">
        <v>684</v>
      </c>
      <c r="B685" s="140" t="s">
        <v>2486</v>
      </c>
      <c r="C685" s="126" t="s">
        <v>3272</v>
      </c>
      <c r="D685" s="126" t="s">
        <v>2790</v>
      </c>
      <c r="E685" s="141" t="s">
        <v>1418</v>
      </c>
      <c r="F685" s="134" t="s">
        <v>2410</v>
      </c>
      <c r="G685" s="128" t="s">
        <v>3294</v>
      </c>
      <c r="H685" s="127"/>
      <c r="I685" s="141"/>
      <c r="J685" s="132"/>
      <c r="K685" s="16"/>
      <c r="L685" s="129" t="s">
        <v>2551</v>
      </c>
      <c r="M685" s="127"/>
      <c r="N685" s="127" t="s">
        <v>764</v>
      </c>
      <c r="O685" s="127" t="s">
        <v>1427</v>
      </c>
      <c r="P685" s="127">
        <v>0</v>
      </c>
      <c r="Q685" s="127">
        <v>0</v>
      </c>
      <c r="R685" s="127">
        <v>0</v>
      </c>
      <c r="S685" s="127">
        <v>0</v>
      </c>
      <c r="T685" s="127">
        <v>1</v>
      </c>
      <c r="U685" s="127" t="s">
        <v>1548</v>
      </c>
      <c r="V685" s="127" t="s">
        <v>2486</v>
      </c>
      <c r="W685" s="127"/>
      <c r="X685" s="127"/>
      <c r="Y685" s="127"/>
      <c r="Z685" s="127"/>
      <c r="AA685" s="127"/>
      <c r="AB685" s="40" t="s">
        <v>2487</v>
      </c>
      <c r="AC685" s="127" t="e">
        <v>#N/A</v>
      </c>
    </row>
    <row r="686" spans="1:29" s="131" customFormat="1" ht="18" customHeight="1" x14ac:dyDescent="0.25">
      <c r="A686" s="125">
        <v>685</v>
      </c>
      <c r="B686" s="140" t="s">
        <v>2488</v>
      </c>
      <c r="C686" s="126" t="s">
        <v>3273</v>
      </c>
      <c r="D686" s="126" t="s">
        <v>2790</v>
      </c>
      <c r="E686" s="141" t="s">
        <v>3</v>
      </c>
      <c r="F686" s="134" t="s">
        <v>2410</v>
      </c>
      <c r="G686" s="128" t="s">
        <v>3294</v>
      </c>
      <c r="H686" s="127"/>
      <c r="I686" s="141"/>
      <c r="J686" s="132"/>
      <c r="K686" s="16"/>
      <c r="L686" s="129" t="s">
        <v>2551</v>
      </c>
      <c r="M686" s="127" t="s">
        <v>2356</v>
      </c>
      <c r="N686" s="127" t="s">
        <v>764</v>
      </c>
      <c r="O686" s="127" t="s">
        <v>1427</v>
      </c>
      <c r="P686" s="127">
        <v>0</v>
      </c>
      <c r="Q686" s="127">
        <v>0</v>
      </c>
      <c r="R686" s="127">
        <v>0</v>
      </c>
      <c r="S686" s="127">
        <v>0</v>
      </c>
      <c r="T686" s="127">
        <v>1</v>
      </c>
      <c r="U686" s="127" t="s">
        <v>1521</v>
      </c>
      <c r="V686" s="127" t="s">
        <v>2488</v>
      </c>
      <c r="W686" s="127"/>
      <c r="X686" s="127"/>
      <c r="Y686" s="127"/>
      <c r="Z686" s="127"/>
      <c r="AA686" s="127"/>
      <c r="AB686" s="40" t="s">
        <v>2489</v>
      </c>
      <c r="AC686" s="127" t="e">
        <v>#N/A</v>
      </c>
    </row>
    <row r="687" spans="1:29" s="131" customFormat="1" ht="18" customHeight="1" x14ac:dyDescent="0.25">
      <c r="A687" s="125">
        <v>686</v>
      </c>
      <c r="B687" s="140" t="s">
        <v>2490</v>
      </c>
      <c r="C687" s="126" t="s">
        <v>3274</v>
      </c>
      <c r="D687" s="126" t="s">
        <v>2796</v>
      </c>
      <c r="E687" s="141" t="s">
        <v>2322</v>
      </c>
      <c r="F687" s="134" t="s">
        <v>2410</v>
      </c>
      <c r="G687" s="128" t="s">
        <v>3294</v>
      </c>
      <c r="H687" s="127"/>
      <c r="I687" s="141"/>
      <c r="J687" s="132"/>
      <c r="K687" s="16"/>
      <c r="L687" s="129" t="s">
        <v>2554</v>
      </c>
      <c r="M687" s="127"/>
      <c r="N687" s="127" t="s">
        <v>764</v>
      </c>
      <c r="O687" s="127" t="s">
        <v>1427</v>
      </c>
      <c r="P687" s="127">
        <v>0</v>
      </c>
      <c r="Q687" s="127">
        <v>0</v>
      </c>
      <c r="R687" s="127">
        <v>0</v>
      </c>
      <c r="S687" s="127">
        <v>0</v>
      </c>
      <c r="T687" s="127">
        <v>1</v>
      </c>
      <c r="U687" s="127" t="s">
        <v>1491</v>
      </c>
      <c r="V687" s="127" t="s">
        <v>2490</v>
      </c>
      <c r="W687" s="127"/>
      <c r="X687" s="127"/>
      <c r="Y687" s="127"/>
      <c r="Z687" s="127"/>
      <c r="AA687" s="127"/>
      <c r="AB687" s="40" t="s">
        <v>2491</v>
      </c>
      <c r="AC687" s="127" t="e">
        <v>#N/A</v>
      </c>
    </row>
    <row r="688" spans="1:29" s="131" customFormat="1" ht="18" customHeight="1" x14ac:dyDescent="0.25">
      <c r="A688" s="125">
        <v>687</v>
      </c>
      <c r="B688" s="140" t="s">
        <v>2492</v>
      </c>
      <c r="C688" s="126" t="s">
        <v>3275</v>
      </c>
      <c r="D688" s="126" t="s">
        <v>2790</v>
      </c>
      <c r="E688" s="141" t="s">
        <v>766</v>
      </c>
      <c r="F688" s="128" t="s">
        <v>2410</v>
      </c>
      <c r="G688" s="128" t="s">
        <v>3294</v>
      </c>
      <c r="H688" s="127"/>
      <c r="I688" s="141"/>
      <c r="J688" s="132"/>
      <c r="K688" s="16"/>
      <c r="L688" s="129" t="s">
        <v>2550</v>
      </c>
      <c r="M688" s="127" t="s">
        <v>759</v>
      </c>
      <c r="N688" s="127" t="s">
        <v>764</v>
      </c>
      <c r="O688" s="127" t="s">
        <v>1427</v>
      </c>
      <c r="P688" s="127">
        <v>0</v>
      </c>
      <c r="Q688" s="127">
        <v>0</v>
      </c>
      <c r="R688" s="127">
        <v>0</v>
      </c>
      <c r="S688" s="127">
        <v>0</v>
      </c>
      <c r="T688" s="127">
        <v>1</v>
      </c>
      <c r="U688" s="127" t="s">
        <v>1499</v>
      </c>
      <c r="V688" s="127" t="s">
        <v>2492</v>
      </c>
      <c r="W688" s="127"/>
      <c r="X688" s="127"/>
      <c r="Y688" s="127"/>
      <c r="Z688" s="127"/>
      <c r="AA688" s="127"/>
      <c r="AB688" s="142" t="s">
        <v>2493</v>
      </c>
      <c r="AC688" s="127" t="e">
        <v>#N/A</v>
      </c>
    </row>
    <row r="689" spans="1:29" s="131" customFormat="1" ht="18" customHeight="1" x14ac:dyDescent="0.25">
      <c r="A689" s="125">
        <v>688</v>
      </c>
      <c r="B689" s="140" t="s">
        <v>2494</v>
      </c>
      <c r="C689" s="126" t="s">
        <v>3276</v>
      </c>
      <c r="D689" s="126" t="s">
        <v>2821</v>
      </c>
      <c r="E689" s="141" t="s">
        <v>3</v>
      </c>
      <c r="F689" s="134" t="s">
        <v>2410</v>
      </c>
      <c r="G689" s="128" t="s">
        <v>3294</v>
      </c>
      <c r="H689" s="127"/>
      <c r="I689" s="141"/>
      <c r="J689" s="132"/>
      <c r="K689" s="16"/>
      <c r="L689" s="129" t="s">
        <v>2554</v>
      </c>
      <c r="M689" s="127" t="s">
        <v>759</v>
      </c>
      <c r="N689" s="127" t="s">
        <v>764</v>
      </c>
      <c r="O689" s="127" t="s">
        <v>1427</v>
      </c>
      <c r="P689" s="127">
        <v>0</v>
      </c>
      <c r="Q689" s="127">
        <v>0</v>
      </c>
      <c r="R689" s="127">
        <v>0</v>
      </c>
      <c r="S689" s="127">
        <v>0</v>
      </c>
      <c r="T689" s="127">
        <v>1</v>
      </c>
      <c r="U689" s="127" t="s">
        <v>1521</v>
      </c>
      <c r="V689" s="127" t="s">
        <v>2494</v>
      </c>
      <c r="W689" s="127"/>
      <c r="X689" s="127"/>
      <c r="Y689" s="127"/>
      <c r="Z689" s="127"/>
      <c r="AA689" s="127"/>
      <c r="AB689" s="40" t="s">
        <v>2495</v>
      </c>
      <c r="AC689" s="127" t="e">
        <v>#N/A</v>
      </c>
    </row>
    <row r="690" spans="1:29" s="131" customFormat="1" ht="18" customHeight="1" x14ac:dyDescent="0.25">
      <c r="A690" s="125">
        <v>689</v>
      </c>
      <c r="B690" s="140" t="s">
        <v>2496</v>
      </c>
      <c r="C690" s="126" t="s">
        <v>3277</v>
      </c>
      <c r="D690" s="126" t="s">
        <v>2938</v>
      </c>
      <c r="E690" s="141" t="s">
        <v>841</v>
      </c>
      <c r="F690" s="127"/>
      <c r="G690" s="128" t="s">
        <v>3294</v>
      </c>
      <c r="H690" s="127"/>
      <c r="I690" s="141"/>
      <c r="J690" s="132" t="s">
        <v>1641</v>
      </c>
      <c r="K690" s="16"/>
      <c r="L690" s="129"/>
      <c r="M690" s="127"/>
      <c r="N690" s="127" t="s">
        <v>1641</v>
      </c>
      <c r="O690" s="127" t="s">
        <v>1427</v>
      </c>
      <c r="P690" s="127">
        <v>0</v>
      </c>
      <c r="Q690" s="127">
        <v>0</v>
      </c>
      <c r="R690" s="127">
        <v>0</v>
      </c>
      <c r="S690" s="127">
        <v>0</v>
      </c>
      <c r="T690" s="127">
        <v>1</v>
      </c>
      <c r="U690" s="127" t="s">
        <v>1515</v>
      </c>
      <c r="V690" s="127" t="s">
        <v>2496</v>
      </c>
      <c r="W690" s="127"/>
      <c r="X690" s="127"/>
      <c r="Y690" s="127"/>
      <c r="Z690" s="127"/>
      <c r="AA690" s="127"/>
      <c r="AB690" s="40" t="s">
        <v>2497</v>
      </c>
      <c r="AC690" s="127" t="e">
        <v>#N/A</v>
      </c>
    </row>
    <row r="691" spans="1:29" s="131" customFormat="1" ht="18" customHeight="1" x14ac:dyDescent="0.25">
      <c r="A691" s="125">
        <v>690</v>
      </c>
      <c r="B691" s="140" t="s">
        <v>2498</v>
      </c>
      <c r="C691" s="126" t="s">
        <v>3278</v>
      </c>
      <c r="D691" s="126" t="s">
        <v>2938</v>
      </c>
      <c r="E691" s="141" t="s">
        <v>841</v>
      </c>
      <c r="F691" s="127"/>
      <c r="G691" s="128" t="s">
        <v>3294</v>
      </c>
      <c r="H691" s="127"/>
      <c r="I691" s="141"/>
      <c r="J691" s="132" t="s">
        <v>1641</v>
      </c>
      <c r="K691" s="16"/>
      <c r="L691" s="129"/>
      <c r="M691" s="127"/>
      <c r="N691" s="127" t="s">
        <v>1641</v>
      </c>
      <c r="O691" s="127" t="s">
        <v>1427</v>
      </c>
      <c r="P691" s="127">
        <v>0</v>
      </c>
      <c r="Q691" s="127">
        <v>0</v>
      </c>
      <c r="R691" s="127">
        <v>0</v>
      </c>
      <c r="S691" s="127">
        <v>0</v>
      </c>
      <c r="T691" s="127">
        <v>1</v>
      </c>
      <c r="U691" s="127" t="s">
        <v>805</v>
      </c>
      <c r="V691" s="127" t="s">
        <v>2498</v>
      </c>
      <c r="W691" s="127"/>
      <c r="X691" s="127"/>
      <c r="Y691" s="127"/>
      <c r="Z691" s="127"/>
      <c r="AA691" s="127"/>
      <c r="AB691" s="40" t="s">
        <v>2499</v>
      </c>
      <c r="AC691" s="127" t="e">
        <v>#N/A</v>
      </c>
    </row>
    <row r="692" spans="1:29" s="131" customFormat="1" ht="18" customHeight="1" x14ac:dyDescent="0.25">
      <c r="A692" s="125">
        <v>691</v>
      </c>
      <c r="B692" s="140" t="s">
        <v>2500</v>
      </c>
      <c r="C692" s="126" t="s">
        <v>3279</v>
      </c>
      <c r="D692" s="126" t="s">
        <v>2938</v>
      </c>
      <c r="E692" s="141" t="s">
        <v>841</v>
      </c>
      <c r="F692" s="127"/>
      <c r="G692" s="128" t="s">
        <v>3294</v>
      </c>
      <c r="H692" s="127"/>
      <c r="I692" s="141"/>
      <c r="J692" s="132" t="s">
        <v>1641</v>
      </c>
      <c r="K692" s="16"/>
      <c r="L692" s="129"/>
      <c r="M692" s="127"/>
      <c r="N692" s="127" t="s">
        <v>1641</v>
      </c>
      <c r="O692" s="127" t="s">
        <v>1427</v>
      </c>
      <c r="P692" s="127">
        <v>0</v>
      </c>
      <c r="Q692" s="127">
        <v>0</v>
      </c>
      <c r="R692" s="127">
        <v>0</v>
      </c>
      <c r="S692" s="127">
        <v>0</v>
      </c>
      <c r="T692" s="127">
        <v>1</v>
      </c>
      <c r="U692" s="127" t="s">
        <v>1516</v>
      </c>
      <c r="V692" s="127" t="s">
        <v>2500</v>
      </c>
      <c r="W692" s="127"/>
      <c r="X692" s="127"/>
      <c r="Y692" s="127"/>
      <c r="Z692" s="127"/>
      <c r="AA692" s="127"/>
      <c r="AB692" s="142" t="s">
        <v>2501</v>
      </c>
      <c r="AC692" s="127" t="e">
        <v>#N/A</v>
      </c>
    </row>
    <row r="693" spans="1:29" s="131" customFormat="1" ht="18" customHeight="1" x14ac:dyDescent="0.25">
      <c r="A693" s="125">
        <v>692</v>
      </c>
      <c r="B693" s="140" t="s">
        <v>2502</v>
      </c>
      <c r="C693" s="126" t="s">
        <v>3280</v>
      </c>
      <c r="D693" s="126" t="s">
        <v>2821</v>
      </c>
      <c r="E693" s="141" t="s">
        <v>2512</v>
      </c>
      <c r="F693" s="127"/>
      <c r="G693" s="128" t="s">
        <v>3294</v>
      </c>
      <c r="H693" s="127"/>
      <c r="I693" s="141"/>
      <c r="J693" s="132" t="s">
        <v>1641</v>
      </c>
      <c r="K693" s="16"/>
      <c r="L693" s="129"/>
      <c r="M693" s="127"/>
      <c r="N693" s="127" t="s">
        <v>1641</v>
      </c>
      <c r="O693" s="127" t="s">
        <v>1427</v>
      </c>
      <c r="P693" s="127">
        <v>0</v>
      </c>
      <c r="Q693" s="127">
        <v>0</v>
      </c>
      <c r="R693" s="127">
        <v>0</v>
      </c>
      <c r="S693" s="127">
        <v>0</v>
      </c>
      <c r="T693" s="127">
        <v>1</v>
      </c>
      <c r="U693" s="127" t="s">
        <v>2516</v>
      </c>
      <c r="V693" s="127" t="s">
        <v>2502</v>
      </c>
      <c r="W693" s="127"/>
      <c r="X693" s="127"/>
      <c r="Y693" s="127"/>
      <c r="Z693" s="127"/>
      <c r="AA693" s="127"/>
      <c r="AB693" s="142" t="s">
        <v>2503</v>
      </c>
      <c r="AC693" s="127" t="e">
        <v>#N/A</v>
      </c>
    </row>
    <row r="694" spans="1:29" s="131" customFormat="1" ht="18" customHeight="1" x14ac:dyDescent="0.25">
      <c r="A694" s="125">
        <v>693</v>
      </c>
      <c r="B694" s="140" t="s">
        <v>2504</v>
      </c>
      <c r="C694" s="126" t="s">
        <v>3281</v>
      </c>
      <c r="D694" s="126" t="s">
        <v>2665</v>
      </c>
      <c r="E694" s="141" t="s">
        <v>340</v>
      </c>
      <c r="F694" s="127"/>
      <c r="G694" s="128" t="s">
        <v>3294</v>
      </c>
      <c r="H694" s="127"/>
      <c r="I694" s="141"/>
      <c r="J694" s="132" t="s">
        <v>1641</v>
      </c>
      <c r="K694" s="16"/>
      <c r="L694" s="129"/>
      <c r="M694" s="127"/>
      <c r="N694" s="127" t="s">
        <v>1641</v>
      </c>
      <c r="O694" s="127" t="s">
        <v>1427</v>
      </c>
      <c r="P694" s="127">
        <v>0</v>
      </c>
      <c r="Q694" s="127">
        <v>0</v>
      </c>
      <c r="R694" s="127">
        <v>0</v>
      </c>
      <c r="S694" s="127">
        <v>0</v>
      </c>
      <c r="T694" s="127">
        <v>1</v>
      </c>
      <c r="U694" s="127" t="s">
        <v>1472</v>
      </c>
      <c r="V694" s="127" t="s">
        <v>2504</v>
      </c>
      <c r="W694" s="127"/>
      <c r="X694" s="127"/>
      <c r="Y694" s="127"/>
      <c r="Z694" s="127"/>
      <c r="AA694" s="127"/>
      <c r="AB694" s="40" t="s">
        <v>2505</v>
      </c>
      <c r="AC694" s="127" t="e">
        <v>#N/A</v>
      </c>
    </row>
    <row r="695" spans="1:29" s="131" customFormat="1" ht="18" customHeight="1" x14ac:dyDescent="0.25">
      <c r="A695" s="125">
        <v>694</v>
      </c>
      <c r="B695" s="140" t="s">
        <v>2506</v>
      </c>
      <c r="C695" s="126"/>
      <c r="D695" s="126"/>
      <c r="E695" s="141" t="s">
        <v>407</v>
      </c>
      <c r="F695" s="127"/>
      <c r="G695" s="128" t="s">
        <v>3294</v>
      </c>
      <c r="H695" s="127"/>
      <c r="I695" s="141"/>
      <c r="J695" s="132" t="s">
        <v>1641</v>
      </c>
      <c r="K695" s="16"/>
      <c r="L695" s="129"/>
      <c r="M695" s="127"/>
      <c r="N695" s="127" t="s">
        <v>1641</v>
      </c>
      <c r="O695" s="127" t="s">
        <v>1427</v>
      </c>
      <c r="P695" s="127">
        <v>0</v>
      </c>
      <c r="Q695" s="127">
        <v>0</v>
      </c>
      <c r="R695" s="127">
        <v>0</v>
      </c>
      <c r="S695" s="127">
        <v>0</v>
      </c>
      <c r="T695" s="127">
        <v>1</v>
      </c>
      <c r="U695" s="127" t="s">
        <v>1542</v>
      </c>
      <c r="V695" s="127" t="s">
        <v>2506</v>
      </c>
      <c r="W695" s="127"/>
      <c r="X695" s="127"/>
      <c r="Y695" s="127"/>
      <c r="Z695" s="127"/>
      <c r="AA695" s="127"/>
      <c r="AB695" s="40" t="s">
        <v>2507</v>
      </c>
      <c r="AC695" s="127" t="e">
        <v>#N/A</v>
      </c>
    </row>
    <row r="696" spans="1:29" s="131" customFormat="1" ht="18" customHeight="1" x14ac:dyDescent="0.25">
      <c r="A696" s="125">
        <v>695</v>
      </c>
      <c r="B696" s="140" t="s">
        <v>2508</v>
      </c>
      <c r="C696" s="126" t="s">
        <v>3282</v>
      </c>
      <c r="D696" s="126" t="s">
        <v>3202</v>
      </c>
      <c r="E696" s="141" t="s">
        <v>407</v>
      </c>
      <c r="F696" s="127"/>
      <c r="G696" s="128" t="s">
        <v>3294</v>
      </c>
      <c r="H696" s="127"/>
      <c r="I696" s="141"/>
      <c r="J696" s="132" t="s">
        <v>1641</v>
      </c>
      <c r="K696" s="16"/>
      <c r="L696" s="129"/>
      <c r="M696" s="127"/>
      <c r="N696" s="127" t="s">
        <v>1641</v>
      </c>
      <c r="O696" s="127" t="s">
        <v>1427</v>
      </c>
      <c r="P696" s="127">
        <v>0</v>
      </c>
      <c r="Q696" s="127">
        <v>0</v>
      </c>
      <c r="R696" s="127">
        <v>0</v>
      </c>
      <c r="S696" s="127">
        <v>0</v>
      </c>
      <c r="T696" s="127">
        <v>1</v>
      </c>
      <c r="U696" s="127" t="s">
        <v>2372</v>
      </c>
      <c r="V696" s="127" t="s">
        <v>2508</v>
      </c>
      <c r="W696" s="127"/>
      <c r="X696" s="127"/>
      <c r="Y696" s="127"/>
      <c r="Z696" s="127"/>
      <c r="AA696" s="127"/>
      <c r="AB696" s="40" t="s">
        <v>2509</v>
      </c>
      <c r="AC696" s="127" t="e">
        <v>#N/A</v>
      </c>
    </row>
  </sheetData>
  <autoFilter ref="A1:AG696" xr:uid="{BD45D66C-D4E9-495D-A1EF-872CD88B9F59}"/>
  <phoneticPr fontId="7" type="noConversion"/>
  <conditionalFormatting sqref="B552:B574">
    <cfRule type="duplicateValues" dxfId="168" priority="194"/>
  </conditionalFormatting>
  <conditionalFormatting sqref="B575:B581">
    <cfRule type="duplicateValues" dxfId="167" priority="177"/>
    <cfRule type="duplicateValues" dxfId="166" priority="178"/>
    <cfRule type="duplicateValues" dxfId="165" priority="179"/>
    <cfRule type="duplicateValues" dxfId="164" priority="180"/>
  </conditionalFormatting>
  <conditionalFormatting sqref="B591:B592">
    <cfRule type="duplicateValues" dxfId="163" priority="161"/>
    <cfRule type="duplicateValues" dxfId="162" priority="162"/>
    <cfRule type="duplicateValues" dxfId="161" priority="163"/>
    <cfRule type="duplicateValues" dxfId="160" priority="164"/>
    <cfRule type="duplicateValues" dxfId="159" priority="165"/>
    <cfRule type="duplicateValues" dxfId="158" priority="166"/>
    <cfRule type="duplicateValues" dxfId="157" priority="167"/>
    <cfRule type="duplicateValues" dxfId="156" priority="168"/>
  </conditionalFormatting>
  <conditionalFormatting sqref="B604:B606">
    <cfRule type="duplicateValues" dxfId="155" priority="152"/>
    <cfRule type="duplicateValues" dxfId="154" priority="153"/>
    <cfRule type="duplicateValues" dxfId="153" priority="154"/>
    <cfRule type="duplicateValues" dxfId="152" priority="155"/>
    <cfRule type="duplicateValues" dxfId="151" priority="156"/>
    <cfRule type="duplicateValues" dxfId="150" priority="157"/>
    <cfRule type="duplicateValues" dxfId="149" priority="158"/>
    <cfRule type="duplicateValues" dxfId="148" priority="159"/>
    <cfRule type="duplicateValues" dxfId="147" priority="160"/>
  </conditionalFormatting>
  <conditionalFormatting sqref="B608">
    <cfRule type="duplicateValues" dxfId="146" priority="132"/>
    <cfRule type="duplicateValues" dxfId="145" priority="133"/>
    <cfRule type="duplicateValues" dxfId="144" priority="134"/>
    <cfRule type="duplicateValues" dxfId="143" priority="135"/>
    <cfRule type="duplicateValues" dxfId="142" priority="136"/>
    <cfRule type="duplicateValues" dxfId="141" priority="137"/>
    <cfRule type="duplicateValues" dxfId="140" priority="138"/>
    <cfRule type="duplicateValues" dxfId="139" priority="139"/>
    <cfRule type="duplicateValues" dxfId="138" priority="140"/>
  </conditionalFormatting>
  <conditionalFormatting sqref="B609">
    <cfRule type="duplicateValues" dxfId="137" priority="131"/>
  </conditionalFormatting>
  <conditionalFormatting sqref="B609:B610">
    <cfRule type="duplicateValues" dxfId="136" priority="141"/>
    <cfRule type="duplicateValues" dxfId="135" priority="142"/>
    <cfRule type="duplicateValues" dxfId="134" priority="143"/>
    <cfRule type="duplicateValues" dxfId="133" priority="144"/>
    <cfRule type="duplicateValues" dxfId="132" priority="145"/>
    <cfRule type="duplicateValues" dxfId="131" priority="146"/>
    <cfRule type="duplicateValues" dxfId="130" priority="147"/>
    <cfRule type="duplicateValues" dxfId="129" priority="148"/>
    <cfRule type="duplicateValues" dxfId="128" priority="149"/>
    <cfRule type="duplicateValues" dxfId="127" priority="150"/>
  </conditionalFormatting>
  <conditionalFormatting sqref="B610">
    <cfRule type="duplicateValues" dxfId="126" priority="151"/>
  </conditionalFormatting>
  <conditionalFormatting sqref="B615">
    <cfRule type="duplicateValues" dxfId="125" priority="121"/>
    <cfRule type="duplicateValues" dxfId="124" priority="122"/>
    <cfRule type="duplicateValues" dxfId="123" priority="123"/>
    <cfRule type="duplicateValues" dxfId="122" priority="124"/>
    <cfRule type="duplicateValues" dxfId="121" priority="125"/>
    <cfRule type="duplicateValues" dxfId="120" priority="126"/>
    <cfRule type="duplicateValues" dxfId="119" priority="127"/>
    <cfRule type="duplicateValues" dxfId="118" priority="128"/>
    <cfRule type="duplicateValues" dxfId="117" priority="129"/>
    <cfRule type="duplicateValues" dxfId="116" priority="130"/>
  </conditionalFormatting>
  <conditionalFormatting sqref="B670 AB670">
    <cfRule type="expression" dxfId="115" priority="358" stopIfTrue="1">
      <formula>AND(COUNTIF($B$670:$B$670, B670)+COUNTIF($AB$670:$AB$670, B670)&gt;1,NOT(ISBLANK(B670)))</formula>
    </cfRule>
  </conditionalFormatting>
  <conditionalFormatting sqref="E670">
    <cfRule type="duplicateValues" dxfId="114" priority="1"/>
  </conditionalFormatting>
  <conditionalFormatting sqref="I670">
    <cfRule type="duplicateValues" dxfId="113" priority="9"/>
  </conditionalFormatting>
  <conditionalFormatting sqref="AB671:AB689 AB692:AB694">
    <cfRule type="expression" dxfId="112" priority="355" stopIfTrue="1">
      <formula>AND(COUNTIF($AB$671:$AB$689, AB671)+COUNTIF($AB$692:$AB$694, AB671)&gt;1,NOT(ISBLANK(AB671)))</formula>
    </cfRule>
  </conditionalFormatting>
  <conditionalFormatting sqref="AB671:AB696">
    <cfRule type="duplicateValues" dxfId="111" priority="313"/>
    <cfRule type="duplicateValues" dxfId="110" priority="314"/>
  </conditionalFormatting>
  <conditionalFormatting sqref="AB690">
    <cfRule type="duplicateValues" dxfId="109" priority="11"/>
  </conditionalFormatting>
  <conditionalFormatting sqref="AB691 AB695:AB696">
    <cfRule type="expression" dxfId="108" priority="348" stopIfTrue="1">
      <formula>AND(COUNTIF($AB$695:$AB$696, AB691)+COUNTIF($AB$691:$AB$691, AB691)&gt;1,NOT(ISBLANK(AB691)))</formula>
    </cfRule>
  </conditionalFormatting>
  <conditionalFormatting sqref="AB691">
    <cfRule type="duplicateValues" dxfId="107" priority="12"/>
  </conditionalFormatting>
  <pageMargins left="0.1" right="0.1" top="0.196850393700787" bottom="0.196850393700787" header="0.196850393700787" footer="0.31496062992126"/>
  <pageSetup paperSize="9" scale="80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EF3B-D6E0-4890-AF1B-6BEEF0FC0631}">
  <dimension ref="A1:S697"/>
  <sheetViews>
    <sheetView topLeftCell="A656" workbookViewId="0">
      <selection activeCell="B667" sqref="B667"/>
    </sheetView>
  </sheetViews>
  <sheetFormatPr defaultRowHeight="15.75" x14ac:dyDescent="0.25"/>
  <cols>
    <col min="1" max="1" width="5.140625" style="44" customWidth="1"/>
    <col min="2" max="2" width="9.5703125" style="44" bestFit="1" customWidth="1"/>
    <col min="3" max="3" width="23.42578125" style="44" customWidth="1"/>
    <col min="4" max="4" width="15.85546875" style="44" customWidth="1"/>
    <col min="5" max="5" width="11.85546875" style="44" customWidth="1"/>
    <col min="6" max="6" width="7.5703125" style="48" customWidth="1"/>
    <col min="7" max="7" width="7" style="48" customWidth="1"/>
    <col min="8" max="8" width="14.140625" style="48" bestFit="1" customWidth="1"/>
    <col min="9" max="9" width="9.28515625" style="48" bestFit="1" customWidth="1"/>
    <col min="10" max="10" width="6.7109375" style="48" customWidth="1"/>
    <col min="11" max="11" width="14.5703125" style="44" bestFit="1" customWidth="1"/>
    <col min="12" max="12" width="9.5703125" style="44" bestFit="1" customWidth="1"/>
    <col min="13" max="13" width="14.7109375" style="44" bestFit="1" customWidth="1"/>
    <col min="14" max="14" width="12.7109375" style="44" customWidth="1"/>
    <col min="15" max="15" width="25.42578125" style="44" customWidth="1"/>
    <col min="16" max="16" width="13.5703125" style="44" customWidth="1"/>
    <col min="17" max="17" width="42" style="44" bestFit="1" customWidth="1"/>
    <col min="18" max="18" width="17.5703125" style="44" bestFit="1" customWidth="1"/>
    <col min="19" max="19" width="13.42578125" style="44" bestFit="1" customWidth="1"/>
    <col min="20" max="16384" width="9.140625" style="44"/>
  </cols>
  <sheetData>
    <row r="1" spans="1:19" s="34" customFormat="1" ht="16.5" customHeight="1" x14ac:dyDescent="0.25">
      <c r="A1" s="148" t="s">
        <v>0</v>
      </c>
      <c r="B1" s="148">
        <v>1</v>
      </c>
      <c r="C1" s="148" t="s">
        <v>602</v>
      </c>
      <c r="D1" s="148" t="s">
        <v>1646</v>
      </c>
      <c r="E1" s="148" t="s">
        <v>2335</v>
      </c>
      <c r="F1" s="144" t="s">
        <v>2358</v>
      </c>
      <c r="G1" s="146" t="s">
        <v>1426</v>
      </c>
      <c r="H1" s="147"/>
      <c r="I1" s="147"/>
      <c r="J1" s="146" t="s">
        <v>1427</v>
      </c>
      <c r="K1" s="147"/>
      <c r="L1" s="147"/>
      <c r="M1" s="147" t="s">
        <v>1428</v>
      </c>
      <c r="N1" s="147"/>
      <c r="O1" s="147"/>
      <c r="P1" s="148" t="s">
        <v>1429</v>
      </c>
      <c r="Q1" s="143" t="s">
        <v>1430</v>
      </c>
      <c r="R1" s="36"/>
      <c r="S1" s="34" t="s">
        <v>2418</v>
      </c>
    </row>
    <row r="2" spans="1:19" s="39" customFormat="1" ht="31.5" x14ac:dyDescent="0.25">
      <c r="A2" s="149"/>
      <c r="B2" s="149"/>
      <c r="C2" s="149"/>
      <c r="D2" s="149"/>
      <c r="E2" s="149"/>
      <c r="F2" s="145"/>
      <c r="G2" s="37" t="s">
        <v>1431</v>
      </c>
      <c r="H2" s="35" t="s">
        <v>1432</v>
      </c>
      <c r="I2" s="38" t="s">
        <v>1433</v>
      </c>
      <c r="J2" s="37" t="s">
        <v>1431</v>
      </c>
      <c r="K2" s="35" t="s">
        <v>1432</v>
      </c>
      <c r="L2" s="38" t="s">
        <v>1433</v>
      </c>
      <c r="M2" s="38" t="s">
        <v>1432</v>
      </c>
      <c r="N2" s="38" t="s">
        <v>1433</v>
      </c>
      <c r="O2" s="38" t="s">
        <v>1434</v>
      </c>
      <c r="P2" s="149"/>
      <c r="Q2" s="143"/>
      <c r="R2" s="39" t="s">
        <v>1709</v>
      </c>
    </row>
    <row r="3" spans="1:19" x14ac:dyDescent="0.25">
      <c r="A3" s="40">
        <v>1</v>
      </c>
      <c r="B3" s="40" t="s">
        <v>37</v>
      </c>
      <c r="C3" s="40" t="s">
        <v>924</v>
      </c>
      <c r="D3" s="41" t="str">
        <f>VLOOKUP(B3,[1]CSG!$B$2:$C$169,2,0)</f>
        <v>CSG-CTBT01</v>
      </c>
      <c r="E3" s="41" t="s">
        <v>812</v>
      </c>
      <c r="F3" s="41"/>
      <c r="G3" s="41"/>
      <c r="H3" s="41"/>
      <c r="I3" s="41"/>
      <c r="J3" s="42"/>
      <c r="K3" s="41"/>
      <c r="L3" s="43"/>
      <c r="M3" s="43"/>
      <c r="N3" s="43"/>
      <c r="O3" s="43"/>
      <c r="P3" s="43"/>
      <c r="Q3" s="43"/>
    </row>
    <row r="4" spans="1:19" x14ac:dyDescent="0.25">
      <c r="A4" s="40">
        <v>2</v>
      </c>
      <c r="B4" s="40" t="s">
        <v>38</v>
      </c>
      <c r="C4" s="40" t="s">
        <v>926</v>
      </c>
      <c r="D4" s="41" t="s">
        <v>1553</v>
      </c>
      <c r="E4" s="41"/>
      <c r="F4" s="42"/>
      <c r="G4" s="42">
        <v>2</v>
      </c>
      <c r="H4" s="42" t="s">
        <v>1435</v>
      </c>
      <c r="I4" s="42" t="s">
        <v>38</v>
      </c>
      <c r="J4" s="42"/>
      <c r="K4" s="41"/>
      <c r="L4" s="43"/>
      <c r="M4" s="43"/>
      <c r="N4" s="43"/>
      <c r="O4" s="43"/>
      <c r="P4" s="43"/>
      <c r="Q4" s="43" t="s">
        <v>1647</v>
      </c>
    </row>
    <row r="5" spans="1:19" x14ac:dyDescent="0.25">
      <c r="A5" s="40">
        <v>3</v>
      </c>
      <c r="B5" s="40" t="s">
        <v>39</v>
      </c>
      <c r="C5" s="40" t="s">
        <v>928</v>
      </c>
      <c r="D5" s="41" t="s">
        <v>1553</v>
      </c>
      <c r="E5" s="41"/>
      <c r="F5" s="42"/>
      <c r="G5" s="42">
        <v>2</v>
      </c>
      <c r="H5" s="42" t="s">
        <v>1437</v>
      </c>
      <c r="I5" s="42" t="s">
        <v>39</v>
      </c>
      <c r="J5" s="42"/>
      <c r="K5" s="41"/>
      <c r="L5" s="43"/>
      <c r="M5" s="43"/>
      <c r="N5" s="43"/>
      <c r="O5" s="43"/>
      <c r="P5" s="43" t="s">
        <v>1568</v>
      </c>
      <c r="Q5" s="43" t="s">
        <v>1647</v>
      </c>
    </row>
    <row r="6" spans="1:19" x14ac:dyDescent="0.25">
      <c r="A6" s="40">
        <v>4</v>
      </c>
      <c r="B6" s="40" t="s">
        <v>40</v>
      </c>
      <c r="C6" s="40" t="s">
        <v>930</v>
      </c>
      <c r="D6" s="41" t="str">
        <f>VLOOKUP(B6,[1]CSG!$B$2:$C$169,2,0)</f>
        <v>CSG-CTBT04</v>
      </c>
      <c r="E6" s="41" t="s">
        <v>812</v>
      </c>
      <c r="F6" s="41"/>
      <c r="G6" s="41"/>
      <c r="H6" s="41"/>
      <c r="I6" s="41"/>
      <c r="J6" s="42"/>
      <c r="K6" s="41"/>
      <c r="L6" s="43"/>
      <c r="M6" s="43"/>
      <c r="N6" s="43"/>
      <c r="O6" s="43"/>
      <c r="P6" s="43"/>
      <c r="Q6" s="43" t="s">
        <v>1647</v>
      </c>
    </row>
    <row r="7" spans="1:19" x14ac:dyDescent="0.25">
      <c r="A7" s="40">
        <v>5</v>
      </c>
      <c r="B7" s="40" t="s">
        <v>41</v>
      </c>
      <c r="C7" s="40" t="s">
        <v>932</v>
      </c>
      <c r="D7" s="41" t="s">
        <v>1553</v>
      </c>
      <c r="E7" s="41"/>
      <c r="F7" s="42"/>
      <c r="G7" s="42">
        <v>2</v>
      </c>
      <c r="H7" s="42" t="s">
        <v>1439</v>
      </c>
      <c r="I7" s="42" t="s">
        <v>41</v>
      </c>
      <c r="J7" s="42"/>
      <c r="K7" s="41"/>
      <c r="L7" s="43"/>
      <c r="M7" s="43"/>
      <c r="N7" s="43"/>
      <c r="O7" s="43"/>
      <c r="P7" s="43"/>
      <c r="Q7" s="43"/>
    </row>
    <row r="8" spans="1:19" x14ac:dyDescent="0.25">
      <c r="A8" s="40">
        <v>6</v>
      </c>
      <c r="B8" s="40" t="s">
        <v>141</v>
      </c>
      <c r="C8" s="40" t="s">
        <v>935</v>
      </c>
      <c r="D8" s="41" t="s">
        <v>1427</v>
      </c>
      <c r="E8" s="41" t="s">
        <v>1554</v>
      </c>
      <c r="F8" s="42"/>
      <c r="G8" s="42"/>
      <c r="H8" s="42"/>
      <c r="I8" s="42"/>
      <c r="J8" s="42">
        <v>2</v>
      </c>
      <c r="K8" s="41" t="s">
        <v>1441</v>
      </c>
      <c r="L8" s="43" t="s">
        <v>141</v>
      </c>
      <c r="M8" s="43"/>
      <c r="N8" s="43"/>
      <c r="O8" s="43"/>
      <c r="P8" s="43" t="s">
        <v>1568</v>
      </c>
      <c r="Q8" s="43"/>
    </row>
    <row r="9" spans="1:19" x14ac:dyDescent="0.25">
      <c r="A9" s="40">
        <v>7</v>
      </c>
      <c r="B9" s="40" t="s">
        <v>142</v>
      </c>
      <c r="C9" s="40" t="s">
        <v>938</v>
      </c>
      <c r="D9" s="41" t="str">
        <f>VLOOKUP(B9,[1]CSG!$B$2:$C$169,2,0)</f>
        <v>CSG-CTBT07</v>
      </c>
      <c r="E9" s="41" t="s">
        <v>812</v>
      </c>
      <c r="F9" s="41"/>
      <c r="G9" s="41"/>
      <c r="H9" s="41"/>
      <c r="I9" s="41"/>
      <c r="J9" s="42"/>
      <c r="K9" s="41"/>
      <c r="L9" s="43"/>
      <c r="M9" s="43"/>
      <c r="N9" s="43"/>
      <c r="O9" s="43"/>
      <c r="P9" s="43"/>
      <c r="Q9" s="43"/>
    </row>
    <row r="10" spans="1:19" x14ac:dyDescent="0.25">
      <c r="A10" s="40">
        <v>8</v>
      </c>
      <c r="B10" s="40" t="s">
        <v>42</v>
      </c>
      <c r="C10" s="40" t="s">
        <v>939</v>
      </c>
      <c r="D10" s="41" t="str">
        <f>VLOOKUP(B10,[1]CSG!$B$2:$C$169,2,0)</f>
        <v>CSG-CTBT08</v>
      </c>
      <c r="E10" s="41" t="s">
        <v>812</v>
      </c>
      <c r="F10" s="41"/>
      <c r="G10" s="41"/>
      <c r="H10" s="41"/>
      <c r="I10" s="41"/>
      <c r="J10" s="42"/>
      <c r="K10" s="41"/>
      <c r="L10" s="43"/>
      <c r="M10" s="43"/>
      <c r="N10" s="43"/>
      <c r="O10" s="43"/>
      <c r="P10" s="43"/>
      <c r="Q10" s="43"/>
    </row>
    <row r="11" spans="1:19" x14ac:dyDescent="0.25">
      <c r="A11" s="40">
        <v>9</v>
      </c>
      <c r="B11" s="40" t="s">
        <v>43</v>
      </c>
      <c r="C11" s="40" t="s">
        <v>940</v>
      </c>
      <c r="D11" s="41" t="str">
        <f>VLOOKUP(B11,[1]CSG!$B$2:$C$169,2,0)</f>
        <v>CSG-CTBT09</v>
      </c>
      <c r="E11" s="41" t="s">
        <v>812</v>
      </c>
      <c r="F11" s="41"/>
      <c r="G11" s="41"/>
      <c r="H11" s="41"/>
      <c r="I11" s="41"/>
      <c r="J11" s="42"/>
      <c r="K11" s="41"/>
      <c r="L11" s="43"/>
      <c r="M11" s="43"/>
      <c r="N11" s="43"/>
      <c r="O11" s="43"/>
      <c r="P11" s="43"/>
      <c r="Q11" s="43"/>
    </row>
    <row r="12" spans="1:19" x14ac:dyDescent="0.25">
      <c r="A12" s="40">
        <v>10</v>
      </c>
      <c r="B12" s="40" t="s">
        <v>44</v>
      </c>
      <c r="C12" s="40" t="s">
        <v>941</v>
      </c>
      <c r="D12" s="41" t="str">
        <f>VLOOKUP(B12,[1]CSG!$B$2:$C$169,2,0)</f>
        <v>CSG-CTBT10</v>
      </c>
      <c r="E12" s="41" t="s">
        <v>812</v>
      </c>
      <c r="F12" s="41"/>
      <c r="G12" s="41"/>
      <c r="H12" s="41"/>
      <c r="I12" s="41"/>
      <c r="J12" s="42"/>
      <c r="K12" s="41"/>
      <c r="L12" s="43"/>
      <c r="M12" s="43"/>
      <c r="N12" s="43"/>
      <c r="O12" s="43"/>
      <c r="P12" s="43"/>
      <c r="Q12" s="43"/>
    </row>
    <row r="13" spans="1:19" x14ac:dyDescent="0.25">
      <c r="A13" s="40">
        <v>11</v>
      </c>
      <c r="B13" s="40" t="s">
        <v>28</v>
      </c>
      <c r="C13" s="40" t="s">
        <v>943</v>
      </c>
      <c r="D13" s="41" t="str">
        <f>VLOOKUP(B13,[1]CSG!$B$2:$C$169,2,0)</f>
        <v>CSG-CTBT11</v>
      </c>
      <c r="E13" s="41" t="s">
        <v>812</v>
      </c>
      <c r="F13" s="41"/>
      <c r="G13" s="41"/>
      <c r="H13" s="41"/>
      <c r="I13" s="41"/>
      <c r="J13" s="42"/>
      <c r="K13" s="41"/>
      <c r="L13" s="43"/>
      <c r="M13" s="43"/>
      <c r="N13" s="43"/>
      <c r="O13" s="43"/>
      <c r="P13" s="43"/>
      <c r="Q13" s="43"/>
    </row>
    <row r="14" spans="1:19" x14ac:dyDescent="0.25">
      <c r="A14" s="40">
        <v>12</v>
      </c>
      <c r="B14" s="40" t="s">
        <v>143</v>
      </c>
      <c r="C14" s="40" t="s">
        <v>944</v>
      </c>
      <c r="D14" s="41" t="s">
        <v>1553</v>
      </c>
      <c r="E14" s="41" t="s">
        <v>1554</v>
      </c>
      <c r="F14" s="42"/>
      <c r="G14" s="42">
        <v>2</v>
      </c>
      <c r="H14" s="42" t="s">
        <v>1442</v>
      </c>
      <c r="I14" s="42" t="s">
        <v>143</v>
      </c>
      <c r="J14" s="42"/>
      <c r="K14" s="41"/>
      <c r="L14" s="43"/>
      <c r="M14" s="43" t="s">
        <v>1441</v>
      </c>
      <c r="N14" s="43" t="s">
        <v>143</v>
      </c>
      <c r="O14" s="43" t="s">
        <v>1573</v>
      </c>
      <c r="P14" s="43"/>
      <c r="Q14" s="43"/>
    </row>
    <row r="15" spans="1:19" x14ac:dyDescent="0.25">
      <c r="A15" s="40">
        <v>13</v>
      </c>
      <c r="B15" s="40" t="s">
        <v>144</v>
      </c>
      <c r="C15" s="40" t="s">
        <v>945</v>
      </c>
      <c r="D15" s="41" t="s">
        <v>1553</v>
      </c>
      <c r="E15" s="41" t="s">
        <v>1554</v>
      </c>
      <c r="F15" s="42"/>
      <c r="G15" s="42">
        <v>2</v>
      </c>
      <c r="H15" s="42" t="s">
        <v>1443</v>
      </c>
      <c r="I15" s="42" t="s">
        <v>144</v>
      </c>
      <c r="J15" s="42"/>
      <c r="K15" s="41"/>
      <c r="L15" s="43"/>
      <c r="O15" s="43"/>
      <c r="P15" s="43" t="s">
        <v>1568</v>
      </c>
      <c r="Q15" s="43"/>
    </row>
    <row r="16" spans="1:19" x14ac:dyDescent="0.25">
      <c r="A16" s="40">
        <v>14</v>
      </c>
      <c r="B16" s="40" t="s">
        <v>45</v>
      </c>
      <c r="C16" s="40" t="s">
        <v>946</v>
      </c>
      <c r="D16" s="41" t="str">
        <f>VLOOKUP(B16,[1]CSG!$B$2:$C$169,2,0)</f>
        <v>CSG-CTBT14</v>
      </c>
      <c r="E16" s="41" t="s">
        <v>812</v>
      </c>
      <c r="F16" s="41"/>
      <c r="G16" s="41"/>
      <c r="H16" s="41"/>
      <c r="I16" s="41"/>
      <c r="J16" s="42"/>
      <c r="K16" s="41"/>
      <c r="L16" s="43"/>
      <c r="M16" s="43"/>
      <c r="N16" s="43"/>
      <c r="O16" s="43"/>
      <c r="P16" s="43"/>
      <c r="Q16" s="43"/>
    </row>
    <row r="17" spans="1:17" x14ac:dyDescent="0.25">
      <c r="A17" s="40">
        <v>15</v>
      </c>
      <c r="B17" s="40" t="s">
        <v>29</v>
      </c>
      <c r="C17" s="40" t="s">
        <v>947</v>
      </c>
      <c r="D17" s="41" t="str">
        <f>VLOOKUP(B17,[1]CSG!$B$2:$C$169,2,0)</f>
        <v>CSG-CTBT15</v>
      </c>
      <c r="E17" s="41" t="s">
        <v>812</v>
      </c>
      <c r="F17" s="41"/>
      <c r="G17" s="41"/>
      <c r="H17" s="41"/>
      <c r="I17" s="41"/>
      <c r="J17" s="42"/>
      <c r="K17" s="41"/>
      <c r="L17" s="43"/>
      <c r="M17" s="43"/>
      <c r="N17" s="43"/>
      <c r="O17" s="43"/>
      <c r="P17" s="43"/>
      <c r="Q17" s="43"/>
    </row>
    <row r="18" spans="1:17" x14ac:dyDescent="0.25">
      <c r="A18" s="40">
        <v>16</v>
      </c>
      <c r="B18" s="40" t="s">
        <v>46</v>
      </c>
      <c r="C18" s="40" t="s">
        <v>948</v>
      </c>
      <c r="D18" s="41" t="str">
        <f>VLOOKUP(B18,[1]CSG!$B$2:$C$169,2,0)</f>
        <v>CSG-CTBT16</v>
      </c>
      <c r="E18" s="41" t="s">
        <v>812</v>
      </c>
      <c r="F18" s="41"/>
      <c r="G18" s="41"/>
      <c r="H18" s="41"/>
      <c r="I18" s="41"/>
      <c r="J18" s="42"/>
      <c r="K18" s="41"/>
      <c r="L18" s="43"/>
      <c r="M18" s="43"/>
      <c r="N18" s="43"/>
      <c r="O18" s="43"/>
      <c r="P18" s="43"/>
      <c r="Q18" s="43"/>
    </row>
    <row r="19" spans="1:17" x14ac:dyDescent="0.25">
      <c r="A19" s="40">
        <v>17</v>
      </c>
      <c r="B19" s="40" t="s">
        <v>47</v>
      </c>
      <c r="C19" s="40" t="s">
        <v>949</v>
      </c>
      <c r="D19" s="41" t="str">
        <f>VLOOKUP(B19,[1]CSG!$B$2:$C$169,2,0)</f>
        <v>CSG-CTBT17</v>
      </c>
      <c r="E19" s="41" t="s">
        <v>812</v>
      </c>
      <c r="F19" s="41"/>
      <c r="G19" s="41"/>
      <c r="H19" s="41"/>
      <c r="I19" s="41"/>
      <c r="J19" s="42"/>
      <c r="K19" s="41"/>
      <c r="L19" s="43"/>
      <c r="M19" s="43"/>
      <c r="N19" s="43"/>
      <c r="O19" s="43"/>
      <c r="P19" s="43"/>
      <c r="Q19" s="43"/>
    </row>
    <row r="20" spans="1:17" x14ac:dyDescent="0.25">
      <c r="A20" s="40">
        <v>18</v>
      </c>
      <c r="B20" s="40" t="s">
        <v>30</v>
      </c>
      <c r="C20" s="40" t="s">
        <v>1648</v>
      </c>
      <c r="D20" s="41" t="s">
        <v>1553</v>
      </c>
      <c r="E20" s="41"/>
      <c r="F20" s="42"/>
      <c r="G20" s="42">
        <v>2</v>
      </c>
      <c r="H20" s="42" t="s">
        <v>1444</v>
      </c>
      <c r="I20" s="42" t="s">
        <v>30</v>
      </c>
      <c r="J20" s="42"/>
      <c r="K20" s="41"/>
      <c r="L20" s="43"/>
      <c r="M20" s="43"/>
      <c r="N20" s="43"/>
      <c r="O20" s="43"/>
      <c r="P20" s="43" t="s">
        <v>1568</v>
      </c>
      <c r="Q20" s="43" t="s">
        <v>1647</v>
      </c>
    </row>
    <row r="21" spans="1:17" x14ac:dyDescent="0.25">
      <c r="A21" s="40">
        <v>19</v>
      </c>
      <c r="B21" s="40" t="s">
        <v>48</v>
      </c>
      <c r="C21" s="40" t="s">
        <v>951</v>
      </c>
      <c r="D21" s="41" t="s">
        <v>1427</v>
      </c>
      <c r="E21" s="41" t="s">
        <v>1554</v>
      </c>
      <c r="F21" s="42"/>
      <c r="G21" s="42"/>
      <c r="H21" s="42"/>
      <c r="I21" s="42"/>
      <c r="J21" s="42">
        <v>2</v>
      </c>
      <c r="K21" s="41" t="s">
        <v>1445</v>
      </c>
      <c r="L21" s="43" t="s">
        <v>48</v>
      </c>
      <c r="M21" s="43"/>
      <c r="N21" s="43"/>
      <c r="O21" s="43"/>
      <c r="P21" s="43" t="s">
        <v>1568</v>
      </c>
      <c r="Q21" s="43"/>
    </row>
    <row r="22" spans="1:17" x14ac:dyDescent="0.25">
      <c r="A22" s="40">
        <v>20</v>
      </c>
      <c r="B22" s="40" t="s">
        <v>31</v>
      </c>
      <c r="C22" s="40" t="s">
        <v>953</v>
      </c>
      <c r="D22" s="41" t="s">
        <v>1427</v>
      </c>
      <c r="E22" s="41" t="s">
        <v>1554</v>
      </c>
      <c r="F22" s="42"/>
      <c r="G22" s="42"/>
      <c r="H22" s="42"/>
      <c r="I22" s="42"/>
      <c r="J22" s="42">
        <v>4</v>
      </c>
      <c r="K22" s="41" t="s">
        <v>1439</v>
      </c>
      <c r="L22" s="43" t="s">
        <v>31</v>
      </c>
      <c r="M22" s="43"/>
      <c r="N22" s="43"/>
      <c r="O22" s="43"/>
      <c r="P22" s="43" t="s">
        <v>1568</v>
      </c>
      <c r="Q22" s="43"/>
    </row>
    <row r="23" spans="1:17" x14ac:dyDescent="0.25">
      <c r="A23" s="40">
        <v>21</v>
      </c>
      <c r="B23" s="40" t="s">
        <v>145</v>
      </c>
      <c r="C23" s="40" t="s">
        <v>954</v>
      </c>
      <c r="D23" s="41" t="s">
        <v>1427</v>
      </c>
      <c r="E23" s="41" t="s">
        <v>1554</v>
      </c>
      <c r="F23" s="42"/>
      <c r="G23" s="42"/>
      <c r="H23" s="42"/>
      <c r="I23" s="42"/>
      <c r="J23" s="42">
        <v>2</v>
      </c>
      <c r="K23" s="41" t="s">
        <v>1446</v>
      </c>
      <c r="L23" s="43" t="s">
        <v>145</v>
      </c>
      <c r="M23" s="43"/>
      <c r="N23" s="43"/>
      <c r="O23" s="43"/>
      <c r="P23" s="43" t="s">
        <v>1568</v>
      </c>
      <c r="Q23" s="43"/>
    </row>
    <row r="24" spans="1:17" x14ac:dyDescent="0.25">
      <c r="A24" s="40">
        <v>22</v>
      </c>
      <c r="B24" s="40" t="s">
        <v>149</v>
      </c>
      <c r="C24" s="40" t="s">
        <v>956</v>
      </c>
      <c r="D24" s="41" t="str">
        <f>VLOOKUP(B24,[1]CSG!$B$2:$C$169,2,0)</f>
        <v>CSG-CTBT22</v>
      </c>
      <c r="E24" s="41" t="s">
        <v>812</v>
      </c>
      <c r="F24" s="41"/>
      <c r="G24" s="41"/>
      <c r="H24" s="41"/>
      <c r="I24" s="41"/>
      <c r="J24" s="42"/>
      <c r="K24" s="41"/>
      <c r="L24" s="43"/>
      <c r="M24" s="43"/>
      <c r="N24" s="43"/>
      <c r="O24" s="43"/>
      <c r="P24" s="43"/>
      <c r="Q24" s="43"/>
    </row>
    <row r="25" spans="1:17" x14ac:dyDescent="0.25">
      <c r="A25" s="40">
        <v>23</v>
      </c>
      <c r="B25" s="40" t="s">
        <v>146</v>
      </c>
      <c r="C25" s="40" t="s">
        <v>957</v>
      </c>
      <c r="D25" s="41" t="s">
        <v>1553</v>
      </c>
      <c r="E25" s="41" t="s">
        <v>1554</v>
      </c>
      <c r="F25" s="42"/>
      <c r="G25" s="42">
        <v>2</v>
      </c>
      <c r="H25" s="42" t="s">
        <v>1447</v>
      </c>
      <c r="I25" s="42" t="s">
        <v>146</v>
      </c>
      <c r="J25" s="42"/>
      <c r="K25" s="41"/>
      <c r="L25" s="43"/>
      <c r="M25" s="43"/>
      <c r="N25" s="43"/>
      <c r="O25" s="43"/>
      <c r="P25" s="43" t="s">
        <v>1568</v>
      </c>
      <c r="Q25" s="43"/>
    </row>
    <row r="26" spans="1:17" x14ac:dyDescent="0.25">
      <c r="A26" s="40">
        <v>24</v>
      </c>
      <c r="B26" s="40" t="s">
        <v>147</v>
      </c>
      <c r="C26" s="40" t="s">
        <v>958</v>
      </c>
      <c r="D26" s="41" t="str">
        <f>VLOOKUP(B26,[1]CSG!$B$2:$C$169,2,0)</f>
        <v>CSG-CTBT24</v>
      </c>
      <c r="E26" s="41" t="s">
        <v>812</v>
      </c>
      <c r="F26" s="41"/>
      <c r="G26" s="41"/>
      <c r="H26" s="41"/>
      <c r="I26" s="41"/>
      <c r="J26" s="42"/>
      <c r="K26" s="41"/>
      <c r="L26" s="43"/>
      <c r="M26" s="43"/>
      <c r="N26" s="43"/>
      <c r="O26" s="43"/>
      <c r="P26" s="43"/>
      <c r="Q26" s="43"/>
    </row>
    <row r="27" spans="1:17" x14ac:dyDescent="0.25">
      <c r="A27" s="40">
        <v>25</v>
      </c>
      <c r="B27" s="40" t="s">
        <v>150</v>
      </c>
      <c r="C27" s="40" t="s">
        <v>959</v>
      </c>
      <c r="D27" s="41" t="str">
        <f>VLOOKUP(B27,[1]CSG!$B$2:$C$169,2,0)</f>
        <v>CSG-CTBT25</v>
      </c>
      <c r="E27" s="41" t="s">
        <v>812</v>
      </c>
      <c r="F27" s="41"/>
      <c r="G27" s="41"/>
      <c r="H27" s="41"/>
      <c r="I27" s="41"/>
      <c r="J27" s="42"/>
      <c r="K27" s="41"/>
      <c r="L27" s="43"/>
      <c r="M27" s="43"/>
      <c r="N27" s="43"/>
      <c r="O27" s="43"/>
      <c r="P27" s="43"/>
      <c r="Q27" s="43"/>
    </row>
    <row r="28" spans="1:17" x14ac:dyDescent="0.25">
      <c r="A28" s="40">
        <v>26</v>
      </c>
      <c r="B28" s="40" t="s">
        <v>148</v>
      </c>
      <c r="C28" s="40" t="s">
        <v>960</v>
      </c>
      <c r="D28" s="41" t="str">
        <f>VLOOKUP(B28,[1]CSG!$B$2:$C$169,2,0)</f>
        <v>CSG-CTBT26</v>
      </c>
      <c r="E28" s="41" t="s">
        <v>812</v>
      </c>
      <c r="F28" s="41"/>
      <c r="G28" s="41"/>
      <c r="H28" s="41"/>
      <c r="I28" s="41"/>
      <c r="J28" s="42"/>
      <c r="K28" s="41"/>
      <c r="L28" s="43"/>
      <c r="M28" s="43"/>
      <c r="N28" s="43"/>
      <c r="O28" s="43"/>
      <c r="P28" s="43"/>
      <c r="Q28" s="43"/>
    </row>
    <row r="29" spans="1:17" x14ac:dyDescent="0.25">
      <c r="A29" s="40">
        <v>27</v>
      </c>
      <c r="B29" s="40" t="s">
        <v>49</v>
      </c>
      <c r="C29" s="40" t="s">
        <v>961</v>
      </c>
      <c r="D29" s="41" t="s">
        <v>1553</v>
      </c>
      <c r="E29" s="41" t="s">
        <v>1554</v>
      </c>
      <c r="F29" s="42"/>
      <c r="G29" s="42">
        <v>2</v>
      </c>
      <c r="H29" s="42" t="s">
        <v>1448</v>
      </c>
      <c r="I29" s="42" t="s">
        <v>49</v>
      </c>
      <c r="J29" s="42"/>
      <c r="K29" s="41"/>
      <c r="L29" s="43"/>
      <c r="M29" s="43" t="s">
        <v>1449</v>
      </c>
      <c r="N29" s="43" t="s">
        <v>49</v>
      </c>
      <c r="O29" s="43" t="s">
        <v>1571</v>
      </c>
      <c r="P29" s="43" t="s">
        <v>1568</v>
      </c>
      <c r="Q29" s="43"/>
    </row>
    <row r="30" spans="1:17" x14ac:dyDescent="0.25">
      <c r="A30" s="40">
        <v>28</v>
      </c>
      <c r="B30" s="40" t="s">
        <v>50</v>
      </c>
      <c r="C30" s="40" t="s">
        <v>962</v>
      </c>
      <c r="D30" s="41" t="str">
        <f>VLOOKUP(B30,[1]CSG!$B$2:$C$169,2,0)</f>
        <v>CSG-CTBT28</v>
      </c>
      <c r="E30" s="41" t="s">
        <v>812</v>
      </c>
      <c r="F30" s="41"/>
      <c r="G30" s="41"/>
      <c r="H30" s="41"/>
      <c r="I30" s="41"/>
      <c r="J30" s="42"/>
      <c r="K30" s="41"/>
      <c r="L30" s="43"/>
      <c r="M30" s="43"/>
      <c r="N30" s="43"/>
      <c r="O30" s="43"/>
      <c r="P30" s="43"/>
      <c r="Q30" s="43"/>
    </row>
    <row r="31" spans="1:17" x14ac:dyDescent="0.25">
      <c r="A31" s="40">
        <v>29</v>
      </c>
      <c r="B31" s="40" t="s">
        <v>122</v>
      </c>
      <c r="C31" s="40" t="s">
        <v>963</v>
      </c>
      <c r="D31" s="41" t="s">
        <v>1553</v>
      </c>
      <c r="E31" s="41"/>
      <c r="F31" s="42"/>
      <c r="G31" s="42">
        <v>2</v>
      </c>
      <c r="H31" s="42" t="s">
        <v>1450</v>
      </c>
      <c r="I31" s="42" t="s">
        <v>122</v>
      </c>
      <c r="J31" s="42"/>
      <c r="K31" s="41"/>
      <c r="L31" s="43"/>
      <c r="M31" s="43" t="s">
        <v>1441</v>
      </c>
      <c r="N31" s="43" t="s">
        <v>122</v>
      </c>
      <c r="O31" s="43" t="s">
        <v>1436</v>
      </c>
      <c r="P31" s="43" t="s">
        <v>1568</v>
      </c>
      <c r="Q31" s="43"/>
    </row>
    <row r="32" spans="1:17" x14ac:dyDescent="0.25">
      <c r="A32" s="40">
        <v>30</v>
      </c>
      <c r="B32" s="40" t="s">
        <v>51</v>
      </c>
      <c r="C32" s="40" t="s">
        <v>964</v>
      </c>
      <c r="D32" s="41" t="str">
        <f>VLOOKUP(B32,[1]CSG!$B$2:$C$169,2,0)</f>
        <v>CSG-CTBT30</v>
      </c>
      <c r="E32" s="41" t="s">
        <v>812</v>
      </c>
      <c r="F32" s="41"/>
      <c r="G32" s="41"/>
      <c r="H32" s="41"/>
      <c r="I32" s="41"/>
      <c r="J32" s="42"/>
      <c r="K32" s="41"/>
      <c r="L32" s="43"/>
      <c r="M32" s="43"/>
      <c r="N32" s="43"/>
      <c r="O32" s="43"/>
      <c r="P32" s="43"/>
      <c r="Q32" s="43"/>
    </row>
    <row r="33" spans="1:17" x14ac:dyDescent="0.25">
      <c r="A33" s="40">
        <v>31</v>
      </c>
      <c r="B33" s="40" t="s">
        <v>52</v>
      </c>
      <c r="C33" s="40" t="s">
        <v>966</v>
      </c>
      <c r="D33" s="41" t="str">
        <f>VLOOKUP(B33,[1]CSG!$B$2:$C$169,2,0)</f>
        <v>CSG-CTBT31</v>
      </c>
      <c r="E33" s="41" t="s">
        <v>812</v>
      </c>
      <c r="F33" s="41"/>
      <c r="G33" s="41"/>
      <c r="H33" s="41"/>
      <c r="I33" s="41"/>
      <c r="J33" s="42"/>
      <c r="K33" s="41"/>
      <c r="L33" s="43"/>
      <c r="M33" s="43"/>
      <c r="N33" s="43"/>
      <c r="O33" s="43"/>
      <c r="P33" s="43"/>
      <c r="Q33" s="43"/>
    </row>
    <row r="34" spans="1:17" x14ac:dyDescent="0.25">
      <c r="A34" s="40">
        <v>32</v>
      </c>
      <c r="B34" s="40" t="s">
        <v>53</v>
      </c>
      <c r="C34" s="40" t="s">
        <v>968</v>
      </c>
      <c r="D34" s="41" t="str">
        <f>VLOOKUP(B34,[1]CSG!$B$2:$C$169,2,0)</f>
        <v>CSG-CTBT32</v>
      </c>
      <c r="E34" s="41" t="s">
        <v>812</v>
      </c>
      <c r="F34" s="41"/>
      <c r="G34" s="41"/>
      <c r="H34" s="41"/>
      <c r="I34" s="41"/>
      <c r="J34" s="42"/>
      <c r="K34" s="41"/>
      <c r="L34" s="43"/>
      <c r="M34" s="43"/>
      <c r="N34" s="43"/>
      <c r="O34" s="43"/>
      <c r="P34" s="43"/>
      <c r="Q34" s="43"/>
    </row>
    <row r="35" spans="1:17" x14ac:dyDescent="0.25">
      <c r="A35" s="40">
        <v>33</v>
      </c>
      <c r="B35" s="40" t="s">
        <v>4</v>
      </c>
      <c r="C35" s="40" t="s">
        <v>969</v>
      </c>
      <c r="D35" s="41" t="str">
        <f>VLOOKUP(B35,[1]CSG!$B$2:$C$169,2,0)</f>
        <v>CSG-CTBT33</v>
      </c>
      <c r="E35" s="41" t="s">
        <v>812</v>
      </c>
      <c r="F35" s="41"/>
      <c r="G35" s="41"/>
      <c r="H35" s="41"/>
      <c r="I35" s="41"/>
      <c r="J35" s="42"/>
      <c r="K35" s="41"/>
      <c r="L35" s="43"/>
      <c r="M35" s="43"/>
      <c r="N35" s="43"/>
      <c r="O35" s="43"/>
      <c r="P35" s="43"/>
      <c r="Q35" s="43"/>
    </row>
    <row r="36" spans="1:17" x14ac:dyDescent="0.25">
      <c r="A36" s="40">
        <v>34</v>
      </c>
      <c r="B36" s="40" t="s">
        <v>32</v>
      </c>
      <c r="C36" s="40" t="s">
        <v>970</v>
      </c>
      <c r="D36" s="41" t="s">
        <v>1553</v>
      </c>
      <c r="E36" s="41"/>
      <c r="F36" s="42"/>
      <c r="G36" s="42">
        <v>2</v>
      </c>
      <c r="H36" s="42" t="s">
        <v>1451</v>
      </c>
      <c r="I36" s="42" t="s">
        <v>32</v>
      </c>
      <c r="J36" s="42"/>
      <c r="K36" s="41"/>
      <c r="L36" s="43"/>
      <c r="M36" s="43"/>
      <c r="N36" s="43"/>
      <c r="O36" s="43"/>
      <c r="P36" s="43"/>
      <c r="Q36" s="43"/>
    </row>
    <row r="37" spans="1:17" x14ac:dyDescent="0.25">
      <c r="A37" s="40">
        <v>35</v>
      </c>
      <c r="B37" s="40" t="s">
        <v>54</v>
      </c>
      <c r="C37" s="40" t="s">
        <v>971</v>
      </c>
      <c r="D37" s="41" t="s">
        <v>1553</v>
      </c>
      <c r="E37" s="41" t="s">
        <v>1554</v>
      </c>
      <c r="F37" s="42"/>
      <c r="G37" s="42">
        <v>2</v>
      </c>
      <c r="H37" s="43" t="s">
        <v>1448</v>
      </c>
      <c r="I37" s="43" t="s">
        <v>54</v>
      </c>
      <c r="J37" s="42"/>
      <c r="K37" s="41"/>
      <c r="L37" s="43"/>
      <c r="M37" s="43" t="s">
        <v>797</v>
      </c>
      <c r="N37" s="43" t="s">
        <v>54</v>
      </c>
      <c r="O37" s="43" t="s">
        <v>1572</v>
      </c>
      <c r="P37" s="43"/>
      <c r="Q37" s="43"/>
    </row>
    <row r="38" spans="1:17" x14ac:dyDescent="0.25">
      <c r="A38" s="40">
        <v>36</v>
      </c>
      <c r="B38" s="40" t="s">
        <v>55</v>
      </c>
      <c r="C38" s="40" t="s">
        <v>972</v>
      </c>
      <c r="D38" s="41" t="s">
        <v>1427</v>
      </c>
      <c r="E38" s="41"/>
      <c r="F38" s="42"/>
      <c r="G38" s="42"/>
      <c r="H38" s="42"/>
      <c r="I38" s="42"/>
      <c r="J38" s="42">
        <v>4</v>
      </c>
      <c r="K38" s="41" t="s">
        <v>1437</v>
      </c>
      <c r="L38" s="43" t="s">
        <v>58</v>
      </c>
      <c r="M38" s="43"/>
      <c r="N38" s="43"/>
      <c r="O38" s="43"/>
      <c r="P38" s="43"/>
      <c r="Q38" s="43"/>
    </row>
    <row r="39" spans="1:17" x14ac:dyDescent="0.25">
      <c r="A39" s="40">
        <v>37</v>
      </c>
      <c r="B39" s="40" t="s">
        <v>56</v>
      </c>
      <c r="C39" s="40" t="s">
        <v>973</v>
      </c>
      <c r="D39" s="41" t="str">
        <f>VLOOKUP(B39,[1]CSG!$B$2:$C$169,2,0)</f>
        <v>CSG-CTBT37</v>
      </c>
      <c r="E39" s="41" t="s">
        <v>812</v>
      </c>
      <c r="F39" s="41"/>
      <c r="G39" s="41"/>
      <c r="H39" s="41"/>
      <c r="I39" s="41"/>
      <c r="J39" s="42"/>
      <c r="K39" s="41"/>
      <c r="L39" s="43"/>
      <c r="M39" s="43"/>
      <c r="N39" s="43"/>
      <c r="O39" s="43"/>
      <c r="P39" s="43"/>
      <c r="Q39" s="43"/>
    </row>
    <row r="40" spans="1:17" x14ac:dyDescent="0.25">
      <c r="A40" s="40">
        <v>38</v>
      </c>
      <c r="B40" s="40" t="s">
        <v>57</v>
      </c>
      <c r="C40" s="40" t="s">
        <v>975</v>
      </c>
      <c r="D40" s="41" t="str">
        <f>VLOOKUP(B40,[1]CSG!$B$2:$C$169,2,0)</f>
        <v>CSG-CTBT38</v>
      </c>
      <c r="E40" s="41" t="s">
        <v>812</v>
      </c>
      <c r="F40" s="41"/>
      <c r="G40" s="41"/>
      <c r="H40" s="41"/>
      <c r="I40" s="41"/>
      <c r="J40" s="42"/>
      <c r="K40" s="41"/>
      <c r="L40" s="43"/>
      <c r="M40" s="43"/>
      <c r="N40" s="43"/>
      <c r="O40" s="43"/>
      <c r="P40" s="43"/>
      <c r="Q40" s="43"/>
    </row>
    <row r="41" spans="1:17" x14ac:dyDescent="0.25">
      <c r="A41" s="40">
        <v>39</v>
      </c>
      <c r="B41" s="40" t="s">
        <v>33</v>
      </c>
      <c r="C41" s="40" t="s">
        <v>976</v>
      </c>
      <c r="D41" s="41" t="str">
        <f>VLOOKUP(B41,[1]CSG!$B$2:$C$169,2,0)</f>
        <v>CSG-CTBT39</v>
      </c>
      <c r="E41" s="41" t="s">
        <v>812</v>
      </c>
      <c r="F41" s="41"/>
      <c r="G41" s="41"/>
      <c r="H41" s="41"/>
      <c r="I41" s="41"/>
      <c r="J41" s="42"/>
      <c r="K41" s="41"/>
      <c r="L41" s="43"/>
      <c r="M41" s="43"/>
      <c r="N41" s="43"/>
      <c r="O41" s="43"/>
      <c r="P41" s="43"/>
      <c r="Q41" s="43"/>
    </row>
    <row r="42" spans="1:17" x14ac:dyDescent="0.25">
      <c r="A42" s="40">
        <v>40</v>
      </c>
      <c r="B42" s="40" t="s">
        <v>58</v>
      </c>
      <c r="C42" s="40" t="s">
        <v>977</v>
      </c>
      <c r="D42" s="41" t="s">
        <v>1427</v>
      </c>
      <c r="E42" s="41" t="s">
        <v>1554</v>
      </c>
      <c r="F42" s="42"/>
      <c r="G42" s="42"/>
      <c r="H42" s="42"/>
      <c r="I42" s="42"/>
      <c r="J42" s="42">
        <v>2</v>
      </c>
      <c r="K42" s="41" t="s">
        <v>1437</v>
      </c>
      <c r="L42" s="43" t="s">
        <v>58</v>
      </c>
      <c r="M42" s="43"/>
      <c r="N42" s="43"/>
      <c r="O42" s="43"/>
      <c r="P42" s="43" t="s">
        <v>1568</v>
      </c>
      <c r="Q42" s="43"/>
    </row>
    <row r="43" spans="1:17" x14ac:dyDescent="0.25">
      <c r="A43" s="40">
        <v>41</v>
      </c>
      <c r="B43" s="40" t="s">
        <v>34</v>
      </c>
      <c r="C43" s="40" t="s">
        <v>978</v>
      </c>
      <c r="D43" s="41" t="s">
        <v>1427</v>
      </c>
      <c r="E43" s="41"/>
      <c r="F43" s="42"/>
      <c r="G43" s="42"/>
      <c r="H43" s="42"/>
      <c r="I43" s="42"/>
      <c r="J43" s="42">
        <v>2</v>
      </c>
      <c r="K43" s="41" t="s">
        <v>1440</v>
      </c>
      <c r="L43" s="43" t="s">
        <v>34</v>
      </c>
      <c r="M43" s="43"/>
      <c r="N43" s="43"/>
      <c r="O43" s="43"/>
      <c r="P43" s="43"/>
      <c r="Q43" s="43"/>
    </row>
    <row r="44" spans="1:17" x14ac:dyDescent="0.25">
      <c r="A44" s="40">
        <v>42</v>
      </c>
      <c r="B44" s="40" t="s">
        <v>59</v>
      </c>
      <c r="C44" s="40" t="s">
        <v>980</v>
      </c>
      <c r="D44" s="41" t="s">
        <v>1553</v>
      </c>
      <c r="E44" s="41"/>
      <c r="F44" s="42"/>
      <c r="G44" s="42">
        <v>2</v>
      </c>
      <c r="H44" s="42" t="s">
        <v>1438</v>
      </c>
      <c r="I44" s="42" t="s">
        <v>59</v>
      </c>
      <c r="J44" s="42"/>
      <c r="K44" s="41"/>
      <c r="L44" s="43"/>
      <c r="M44" s="43"/>
      <c r="N44" s="43"/>
      <c r="O44" s="43"/>
      <c r="P44" s="43"/>
      <c r="Q44" s="43"/>
    </row>
    <row r="45" spans="1:17" x14ac:dyDescent="0.25">
      <c r="A45" s="40">
        <v>43</v>
      </c>
      <c r="B45" s="40" t="s">
        <v>151</v>
      </c>
      <c r="C45" s="40" t="s">
        <v>982</v>
      </c>
      <c r="D45" s="41" t="str">
        <f>VLOOKUP(B45,[1]CSG!$B$2:$C$169,2,0)</f>
        <v>CSG-CTBT43</v>
      </c>
      <c r="E45" s="41" t="s">
        <v>812</v>
      </c>
      <c r="F45" s="41"/>
      <c r="G45" s="41"/>
      <c r="H45" s="41"/>
      <c r="I45" s="41"/>
      <c r="J45" s="42"/>
      <c r="K45" s="41"/>
      <c r="L45" s="43"/>
      <c r="M45" s="43"/>
      <c r="N45" s="43"/>
      <c r="O45" s="43"/>
      <c r="P45" s="43"/>
      <c r="Q45" s="43"/>
    </row>
    <row r="46" spans="1:17" x14ac:dyDescent="0.25">
      <c r="A46" s="40">
        <v>44</v>
      </c>
      <c r="B46" s="40" t="s">
        <v>60</v>
      </c>
      <c r="C46" s="40" t="s">
        <v>983</v>
      </c>
      <c r="D46" s="41" t="str">
        <f>VLOOKUP(B46,[1]CSG!$B$2:$C$169,2,0)</f>
        <v>CSG-CTBT44</v>
      </c>
      <c r="E46" s="41" t="s">
        <v>812</v>
      </c>
      <c r="F46" s="41"/>
      <c r="G46" s="41"/>
      <c r="H46" s="41"/>
      <c r="I46" s="41"/>
      <c r="J46" s="42"/>
      <c r="K46" s="41"/>
      <c r="L46" s="43"/>
      <c r="M46" s="43"/>
      <c r="N46" s="43"/>
      <c r="O46" s="43"/>
      <c r="P46" s="43"/>
      <c r="Q46" s="43"/>
    </row>
    <row r="47" spans="1:17" x14ac:dyDescent="0.25">
      <c r="A47" s="40">
        <v>45</v>
      </c>
      <c r="B47" s="40" t="s">
        <v>61</v>
      </c>
      <c r="C47" s="40" t="s">
        <v>984</v>
      </c>
      <c r="D47" s="41" t="s">
        <v>1427</v>
      </c>
      <c r="E47" s="41" t="s">
        <v>1554</v>
      </c>
      <c r="F47" s="42"/>
      <c r="G47" s="42"/>
      <c r="H47" s="42"/>
      <c r="I47" s="42"/>
      <c r="J47" s="42">
        <v>2</v>
      </c>
      <c r="K47" s="41" t="s">
        <v>1452</v>
      </c>
      <c r="L47" s="43" t="s">
        <v>61</v>
      </c>
      <c r="M47" s="43"/>
      <c r="N47" s="43"/>
      <c r="O47" s="43"/>
      <c r="P47" s="43" t="s">
        <v>1568</v>
      </c>
      <c r="Q47" s="43"/>
    </row>
    <row r="48" spans="1:17" x14ac:dyDescent="0.25">
      <c r="A48" s="40">
        <v>46</v>
      </c>
      <c r="B48" s="40" t="s">
        <v>152</v>
      </c>
      <c r="C48" s="40" t="s">
        <v>985</v>
      </c>
      <c r="D48" s="41" t="s">
        <v>1553</v>
      </c>
      <c r="E48" s="41"/>
      <c r="F48" s="42"/>
      <c r="G48" s="42">
        <v>2</v>
      </c>
      <c r="H48" s="42" t="s">
        <v>1453</v>
      </c>
      <c r="I48" s="42" t="s">
        <v>152</v>
      </c>
      <c r="J48" s="42"/>
      <c r="K48" s="41"/>
      <c r="L48" s="43"/>
      <c r="M48" s="43" t="s">
        <v>1441</v>
      </c>
      <c r="N48" s="43" t="s">
        <v>152</v>
      </c>
      <c r="O48" s="43" t="s">
        <v>1454</v>
      </c>
      <c r="P48" s="43" t="s">
        <v>1568</v>
      </c>
      <c r="Q48" s="43" t="s">
        <v>1647</v>
      </c>
    </row>
    <row r="49" spans="1:17" x14ac:dyDescent="0.25">
      <c r="A49" s="40">
        <v>47</v>
      </c>
      <c r="B49" s="40" t="s">
        <v>62</v>
      </c>
      <c r="C49" s="40" t="s">
        <v>987</v>
      </c>
      <c r="D49" s="41" t="str">
        <f>VLOOKUP(B49,[1]CSG!$B$2:$C$169,2,0)</f>
        <v>CSG-CTBT47</v>
      </c>
      <c r="E49" s="41" t="s">
        <v>812</v>
      </c>
      <c r="F49" s="41"/>
      <c r="G49" s="41"/>
      <c r="H49" s="41"/>
      <c r="I49" s="41"/>
      <c r="J49" s="42"/>
      <c r="K49" s="41"/>
      <c r="L49" s="43"/>
      <c r="M49" s="43"/>
      <c r="N49" s="43"/>
      <c r="O49" s="43"/>
      <c r="P49" s="43"/>
      <c r="Q49" s="43"/>
    </row>
    <row r="50" spans="1:17" x14ac:dyDescent="0.25">
      <c r="A50" s="40">
        <v>48</v>
      </c>
      <c r="B50" s="43" t="s">
        <v>421</v>
      </c>
      <c r="C50" s="40" t="s">
        <v>989</v>
      </c>
      <c r="D50" s="41" t="str">
        <f>VLOOKUP(B50,[1]CSG!$B$2:$C$169,2,0)</f>
        <v>CSG-CTBT48</v>
      </c>
      <c r="E50" s="41" t="s">
        <v>812</v>
      </c>
      <c r="F50" s="41"/>
      <c r="G50" s="41"/>
      <c r="H50" s="41"/>
      <c r="I50" s="41"/>
      <c r="J50" s="42"/>
      <c r="K50" s="41"/>
      <c r="L50" s="43"/>
      <c r="M50" s="43"/>
      <c r="N50" s="43"/>
      <c r="O50" s="43"/>
      <c r="P50" s="43"/>
      <c r="Q50" s="43"/>
    </row>
    <row r="51" spans="1:17" x14ac:dyDescent="0.25">
      <c r="A51" s="40">
        <v>49</v>
      </c>
      <c r="B51" s="43" t="s">
        <v>422</v>
      </c>
      <c r="C51" s="40" t="s">
        <v>990</v>
      </c>
      <c r="D51" s="41" t="s">
        <v>1553</v>
      </c>
      <c r="E51" s="41" t="s">
        <v>1554</v>
      </c>
      <c r="F51" s="42"/>
      <c r="G51" s="42">
        <v>2</v>
      </c>
      <c r="H51" s="42" t="s">
        <v>1455</v>
      </c>
      <c r="I51" s="42" t="s">
        <v>422</v>
      </c>
      <c r="J51" s="42"/>
      <c r="K51" s="41"/>
      <c r="L51" s="43"/>
      <c r="M51" s="43"/>
      <c r="N51" s="43"/>
      <c r="O51" s="43"/>
      <c r="P51" s="43" t="s">
        <v>1568</v>
      </c>
      <c r="Q51" s="43"/>
    </row>
    <row r="52" spans="1:17" x14ac:dyDescent="0.25">
      <c r="A52" s="40">
        <v>50</v>
      </c>
      <c r="B52" s="43" t="s">
        <v>448</v>
      </c>
      <c r="C52" s="40" t="s">
        <v>992</v>
      </c>
      <c r="D52" s="41" t="s">
        <v>1553</v>
      </c>
      <c r="E52" s="41"/>
      <c r="F52" s="42"/>
      <c r="G52" s="42">
        <v>2</v>
      </c>
      <c r="H52" s="42" t="s">
        <v>1456</v>
      </c>
      <c r="I52" s="42" t="s">
        <v>448</v>
      </c>
      <c r="J52" s="42"/>
      <c r="K52" s="41"/>
      <c r="L52" s="43"/>
      <c r="M52" s="43"/>
      <c r="N52" s="43"/>
      <c r="O52" s="43"/>
      <c r="P52" s="43"/>
      <c r="Q52" s="43"/>
    </row>
    <row r="53" spans="1:17" x14ac:dyDescent="0.25">
      <c r="A53" s="40">
        <v>51</v>
      </c>
      <c r="B53" s="43" t="s">
        <v>454</v>
      </c>
      <c r="C53" s="40" t="s">
        <v>994</v>
      </c>
      <c r="D53" s="41" t="s">
        <v>1553</v>
      </c>
      <c r="E53" s="41"/>
      <c r="F53" s="42"/>
      <c r="G53" s="42">
        <v>2</v>
      </c>
      <c r="H53" s="42" t="s">
        <v>1439</v>
      </c>
      <c r="I53" s="42" t="s">
        <v>454</v>
      </c>
      <c r="J53" s="42"/>
      <c r="K53" s="41"/>
      <c r="L53" s="43"/>
      <c r="M53" s="43"/>
      <c r="N53" s="43"/>
      <c r="O53" s="43"/>
      <c r="P53" s="43"/>
      <c r="Q53" s="43"/>
    </row>
    <row r="54" spans="1:17" x14ac:dyDescent="0.25">
      <c r="A54" s="40">
        <v>52</v>
      </c>
      <c r="B54" s="43" t="s">
        <v>453</v>
      </c>
      <c r="C54" s="40" t="s">
        <v>996</v>
      </c>
      <c r="D54" s="41" t="s">
        <v>1553</v>
      </c>
      <c r="E54" s="41"/>
      <c r="F54" s="42"/>
      <c r="G54" s="42">
        <v>2</v>
      </c>
      <c r="H54" s="42" t="s">
        <v>1457</v>
      </c>
      <c r="I54" s="42" t="s">
        <v>453</v>
      </c>
      <c r="J54" s="42"/>
      <c r="K54" s="41"/>
      <c r="L54" s="43"/>
      <c r="M54" s="43"/>
      <c r="N54" s="43"/>
      <c r="O54" s="43"/>
      <c r="P54" s="43"/>
      <c r="Q54" s="43"/>
    </row>
    <row r="55" spans="1:17" x14ac:dyDescent="0.25">
      <c r="A55" s="40">
        <v>53</v>
      </c>
      <c r="B55" s="43" t="s">
        <v>442</v>
      </c>
      <c r="C55" s="40" t="s">
        <v>999</v>
      </c>
      <c r="D55" s="41" t="s">
        <v>1553</v>
      </c>
      <c r="E55" s="41"/>
      <c r="F55" s="42"/>
      <c r="G55" s="42">
        <v>2</v>
      </c>
      <c r="H55" s="42" t="s">
        <v>1458</v>
      </c>
      <c r="I55" s="42" t="s">
        <v>442</v>
      </c>
      <c r="J55" s="42"/>
      <c r="K55" s="41"/>
      <c r="L55" s="43"/>
      <c r="M55" s="43"/>
      <c r="N55" s="43"/>
      <c r="O55" s="43"/>
      <c r="P55" s="43"/>
      <c r="Q55" s="43"/>
    </row>
    <row r="56" spans="1:17" x14ac:dyDescent="0.25">
      <c r="A56" s="40">
        <v>54</v>
      </c>
      <c r="B56" s="43" t="s">
        <v>459</v>
      </c>
      <c r="C56" s="40" t="s">
        <v>603</v>
      </c>
      <c r="D56" s="41" t="s">
        <v>1553</v>
      </c>
      <c r="E56" s="41"/>
      <c r="F56" s="42"/>
      <c r="G56" s="42">
        <v>2</v>
      </c>
      <c r="H56" s="42" t="s">
        <v>1443</v>
      </c>
      <c r="I56" s="42" t="s">
        <v>459</v>
      </c>
      <c r="J56" s="42"/>
      <c r="K56" s="41"/>
      <c r="L56" s="43"/>
      <c r="M56" s="43"/>
      <c r="N56" s="43"/>
      <c r="O56" s="43"/>
      <c r="P56" s="43"/>
      <c r="Q56" s="43"/>
    </row>
    <row r="57" spans="1:17" x14ac:dyDescent="0.25">
      <c r="A57" s="40">
        <v>55</v>
      </c>
      <c r="B57" s="43" t="s">
        <v>460</v>
      </c>
      <c r="C57" s="40" t="s">
        <v>604</v>
      </c>
      <c r="D57" s="41" t="s">
        <v>1553</v>
      </c>
      <c r="E57" s="41"/>
      <c r="F57" s="42"/>
      <c r="G57" s="42">
        <v>2</v>
      </c>
      <c r="H57" s="42" t="s">
        <v>1450</v>
      </c>
      <c r="I57" s="42" t="s">
        <v>460</v>
      </c>
      <c r="J57" s="42"/>
      <c r="K57" s="41"/>
      <c r="L57" s="43"/>
      <c r="M57" s="43"/>
      <c r="N57" s="43"/>
      <c r="O57" s="43"/>
      <c r="P57" s="43"/>
      <c r="Q57" s="43"/>
    </row>
    <row r="58" spans="1:17" x14ac:dyDescent="0.25">
      <c r="A58" s="40">
        <v>56</v>
      </c>
      <c r="B58" s="43" t="s">
        <v>461</v>
      </c>
      <c r="C58" s="40" t="s">
        <v>605</v>
      </c>
      <c r="D58" s="41" t="str">
        <f>VLOOKUP(B58,[1]CSG!$B$2:$C$169,2,0)</f>
        <v>CSG-CTBT58</v>
      </c>
      <c r="E58" s="41" t="s">
        <v>812</v>
      </c>
      <c r="F58" s="41"/>
      <c r="G58" s="41"/>
      <c r="H58" s="41"/>
      <c r="I58" s="41"/>
      <c r="J58" s="42"/>
      <c r="K58" s="41"/>
      <c r="L58" s="43"/>
      <c r="M58" s="43"/>
      <c r="N58" s="43"/>
      <c r="O58" s="43"/>
      <c r="P58" s="43"/>
      <c r="Q58" s="43"/>
    </row>
    <row r="59" spans="1:17" x14ac:dyDescent="0.25">
      <c r="A59" s="40">
        <v>57</v>
      </c>
      <c r="B59" s="43" t="s">
        <v>462</v>
      </c>
      <c r="C59" s="40" t="s">
        <v>606</v>
      </c>
      <c r="D59" s="41" t="str">
        <f>VLOOKUP(B59,[1]CSG!$B$2:$C$169,2,0)</f>
        <v>CSG-CTBT59</v>
      </c>
      <c r="E59" s="41" t="s">
        <v>812</v>
      </c>
      <c r="F59" s="41"/>
      <c r="G59" s="41"/>
      <c r="H59" s="41"/>
      <c r="I59" s="41"/>
      <c r="J59" s="42"/>
      <c r="K59" s="41"/>
      <c r="L59" s="43"/>
      <c r="M59" s="43"/>
      <c r="N59" s="43"/>
      <c r="O59" s="43"/>
      <c r="P59" s="43"/>
      <c r="Q59" s="43"/>
    </row>
    <row r="60" spans="1:17" x14ac:dyDescent="0.25">
      <c r="A60" s="40">
        <v>58</v>
      </c>
      <c r="B60" s="43" t="s">
        <v>463</v>
      </c>
      <c r="C60" s="40" t="s">
        <v>607</v>
      </c>
      <c r="D60" s="41" t="str">
        <f>VLOOKUP(B60,[1]CSG!$B$2:$C$169,2,0)</f>
        <v>CSG-CTBT60</v>
      </c>
      <c r="E60" s="41" t="s">
        <v>812</v>
      </c>
      <c r="F60" s="41"/>
      <c r="G60" s="41"/>
      <c r="H60" s="41"/>
      <c r="I60" s="41"/>
      <c r="J60" s="42"/>
      <c r="K60" s="41"/>
      <c r="L60" s="43"/>
      <c r="M60" s="43"/>
      <c r="N60" s="43"/>
      <c r="O60" s="43"/>
      <c r="P60" s="43"/>
      <c r="Q60" s="43"/>
    </row>
    <row r="61" spans="1:17" x14ac:dyDescent="0.25">
      <c r="A61" s="40">
        <v>59</v>
      </c>
      <c r="B61" s="43" t="s">
        <v>467</v>
      </c>
      <c r="C61" s="40" t="s">
        <v>608</v>
      </c>
      <c r="D61" s="41" t="s">
        <v>1553</v>
      </c>
      <c r="E61" s="41"/>
      <c r="F61" s="42"/>
      <c r="G61" s="42">
        <v>2</v>
      </c>
      <c r="H61" s="42" t="s">
        <v>1458</v>
      </c>
      <c r="I61" s="42" t="s">
        <v>467</v>
      </c>
      <c r="J61" s="42"/>
      <c r="K61" s="41"/>
      <c r="L61" s="43"/>
      <c r="M61" s="43"/>
      <c r="N61" s="43"/>
      <c r="O61" s="43"/>
      <c r="P61" s="43"/>
      <c r="Q61" s="43"/>
    </row>
    <row r="62" spans="1:17" x14ac:dyDescent="0.25">
      <c r="A62" s="40">
        <v>60</v>
      </c>
      <c r="B62" s="43" t="s">
        <v>468</v>
      </c>
      <c r="C62" s="40" t="s">
        <v>609</v>
      </c>
      <c r="D62" s="41" t="s">
        <v>1553</v>
      </c>
      <c r="E62" s="41"/>
      <c r="F62" s="42"/>
      <c r="G62" s="42">
        <v>2</v>
      </c>
      <c r="H62" s="42" t="s">
        <v>1438</v>
      </c>
      <c r="I62" s="42" t="s">
        <v>468</v>
      </c>
      <c r="J62" s="42"/>
      <c r="K62" s="41"/>
      <c r="L62" s="43"/>
      <c r="M62" s="43"/>
      <c r="N62" s="43"/>
      <c r="O62" s="43"/>
      <c r="P62" s="43"/>
      <c r="Q62" s="43"/>
    </row>
    <row r="63" spans="1:17" x14ac:dyDescent="0.25">
      <c r="A63" s="40">
        <v>61</v>
      </c>
      <c r="B63" s="43" t="s">
        <v>1611</v>
      </c>
      <c r="C63" s="40" t="s">
        <v>2359</v>
      </c>
      <c r="D63" s="41" t="s">
        <v>1427</v>
      </c>
      <c r="E63" s="41"/>
      <c r="F63" s="42"/>
      <c r="G63" s="42"/>
      <c r="H63" s="42"/>
      <c r="I63" s="42"/>
      <c r="J63" s="42">
        <v>2</v>
      </c>
      <c r="K63" s="41" t="s">
        <v>1459</v>
      </c>
      <c r="L63" s="43" t="s">
        <v>535</v>
      </c>
      <c r="M63" s="43"/>
      <c r="N63" s="43"/>
      <c r="O63" s="43"/>
      <c r="P63" s="43"/>
      <c r="Q63" s="43"/>
    </row>
    <row r="64" spans="1:17" x14ac:dyDescent="0.25">
      <c r="A64" s="40">
        <v>62</v>
      </c>
      <c r="B64" s="43" t="s">
        <v>540</v>
      </c>
      <c r="C64" s="40" t="s">
        <v>611</v>
      </c>
      <c r="D64" s="41" t="s">
        <v>1461</v>
      </c>
      <c r="E64" s="41"/>
      <c r="F64" s="42"/>
      <c r="G64" s="42"/>
      <c r="H64" s="42"/>
      <c r="I64" s="42"/>
      <c r="J64" s="42"/>
      <c r="K64" s="41"/>
      <c r="L64" s="43"/>
      <c r="M64" s="43" t="s">
        <v>1460</v>
      </c>
      <c r="N64" s="43" t="s">
        <v>540</v>
      </c>
      <c r="O64" s="43" t="s">
        <v>2261</v>
      </c>
      <c r="P64" s="43"/>
      <c r="Q64" s="43"/>
    </row>
    <row r="65" spans="1:17" x14ac:dyDescent="0.25">
      <c r="A65" s="40">
        <v>63</v>
      </c>
      <c r="B65" s="43" t="s">
        <v>469</v>
      </c>
      <c r="C65" s="40" t="s">
        <v>612</v>
      </c>
      <c r="D65" s="41" t="s">
        <v>1553</v>
      </c>
      <c r="E65" s="41"/>
      <c r="F65" s="42"/>
      <c r="G65" s="42">
        <v>2</v>
      </c>
      <c r="H65" s="42" t="s">
        <v>1462</v>
      </c>
      <c r="I65" s="42" t="s">
        <v>469</v>
      </c>
      <c r="J65" s="42"/>
      <c r="K65" s="41"/>
      <c r="L65" s="43"/>
      <c r="M65" s="43"/>
      <c r="N65" s="43"/>
      <c r="O65" s="43"/>
      <c r="P65" s="43"/>
      <c r="Q65" s="43"/>
    </row>
    <row r="66" spans="1:17" x14ac:dyDescent="0.25">
      <c r="A66" s="40">
        <v>64</v>
      </c>
      <c r="B66" s="43" t="s">
        <v>470</v>
      </c>
      <c r="C66" s="40" t="s">
        <v>613</v>
      </c>
      <c r="D66" s="41" t="s">
        <v>1553</v>
      </c>
      <c r="E66" s="41"/>
      <c r="F66" s="42"/>
      <c r="G66" s="42">
        <v>2</v>
      </c>
      <c r="H66" s="42" t="s">
        <v>1463</v>
      </c>
      <c r="I66" s="42" t="s">
        <v>470</v>
      </c>
      <c r="J66" s="42"/>
      <c r="K66" s="41"/>
      <c r="L66" s="43"/>
      <c r="M66" s="43"/>
      <c r="N66" s="43"/>
      <c r="O66" s="43"/>
      <c r="P66" s="43"/>
      <c r="Q66" s="43"/>
    </row>
    <row r="67" spans="1:17" x14ac:dyDescent="0.25">
      <c r="A67" s="40">
        <v>65</v>
      </c>
      <c r="B67" s="43" t="s">
        <v>483</v>
      </c>
      <c r="C67" s="40" t="s">
        <v>1008</v>
      </c>
      <c r="D67" s="41" t="str">
        <f>VLOOKUP(B67,[1]CSG!$B$2:$C$169,2,0)</f>
        <v>CSG-CTBT68</v>
      </c>
      <c r="E67" s="41" t="s">
        <v>812</v>
      </c>
      <c r="F67" s="41"/>
      <c r="G67" s="41"/>
      <c r="H67" s="41"/>
      <c r="I67" s="41"/>
      <c r="J67" s="42"/>
      <c r="K67" s="41"/>
      <c r="L67" s="43"/>
      <c r="M67" s="43"/>
      <c r="N67" s="43"/>
      <c r="O67" s="43"/>
      <c r="P67" s="43"/>
      <c r="Q67" s="43"/>
    </row>
    <row r="68" spans="1:17" x14ac:dyDescent="0.25">
      <c r="A68" s="40">
        <v>66</v>
      </c>
      <c r="B68" s="43" t="s">
        <v>541</v>
      </c>
      <c r="C68" s="40" t="s">
        <v>614</v>
      </c>
      <c r="D68" s="41" t="s">
        <v>1553</v>
      </c>
      <c r="E68" s="41"/>
      <c r="F68" s="42"/>
      <c r="G68" s="42">
        <v>2</v>
      </c>
      <c r="H68" s="42" t="s">
        <v>1448</v>
      </c>
      <c r="I68" s="42" t="s">
        <v>541</v>
      </c>
      <c r="J68" s="42"/>
      <c r="K68" s="41"/>
      <c r="L68" s="43"/>
      <c r="M68" s="43"/>
      <c r="N68" s="43"/>
      <c r="O68" s="43"/>
      <c r="P68" s="43"/>
      <c r="Q68" s="43"/>
    </row>
    <row r="69" spans="1:17" x14ac:dyDescent="0.25">
      <c r="A69" s="40">
        <v>67</v>
      </c>
      <c r="B69" s="43" t="s">
        <v>533</v>
      </c>
      <c r="C69" s="40" t="s">
        <v>615</v>
      </c>
      <c r="D69" s="41" t="str">
        <f>VLOOKUP(B69,[1]CSG!$B$2:$C$169,2,0)</f>
        <v>CSG-CTBT70</v>
      </c>
      <c r="E69" s="41" t="s">
        <v>812</v>
      </c>
      <c r="F69" s="41"/>
      <c r="G69" s="41"/>
      <c r="H69" s="41"/>
      <c r="I69" s="41"/>
      <c r="J69" s="42"/>
      <c r="K69" s="41"/>
      <c r="L69" s="43"/>
      <c r="M69" s="43"/>
      <c r="N69" s="43"/>
      <c r="O69" s="43"/>
      <c r="P69" s="43"/>
      <c r="Q69" s="43"/>
    </row>
    <row r="70" spans="1:17" x14ac:dyDescent="0.25">
      <c r="A70" s="40">
        <v>68</v>
      </c>
      <c r="B70" s="43" t="s">
        <v>534</v>
      </c>
      <c r="C70" s="40" t="s">
        <v>616</v>
      </c>
      <c r="D70" s="41" t="s">
        <v>1427</v>
      </c>
      <c r="E70" s="41"/>
      <c r="F70" s="42"/>
      <c r="G70" s="42"/>
      <c r="H70" s="42"/>
      <c r="I70" s="42"/>
      <c r="J70" s="42">
        <v>2</v>
      </c>
      <c r="K70" s="41" t="s">
        <v>1440</v>
      </c>
      <c r="L70" s="43" t="s">
        <v>534</v>
      </c>
      <c r="M70" s="43"/>
      <c r="N70" s="43"/>
      <c r="O70" s="43"/>
      <c r="P70" s="43"/>
      <c r="Q70" s="43"/>
    </row>
    <row r="71" spans="1:17" x14ac:dyDescent="0.25">
      <c r="A71" s="40">
        <v>69</v>
      </c>
      <c r="B71" s="43" t="s">
        <v>505</v>
      </c>
      <c r="C71" s="40" t="s">
        <v>617</v>
      </c>
      <c r="D71" s="41" t="s">
        <v>1553</v>
      </c>
      <c r="E71" s="41"/>
      <c r="F71" s="42"/>
      <c r="G71" s="42">
        <v>2</v>
      </c>
      <c r="H71" s="42" t="s">
        <v>1449</v>
      </c>
      <c r="I71" s="42" t="s">
        <v>505</v>
      </c>
      <c r="J71" s="42"/>
      <c r="K71" s="41"/>
      <c r="L71" s="43"/>
      <c r="M71" s="43"/>
      <c r="N71" s="43"/>
      <c r="O71" s="43"/>
      <c r="P71" s="43"/>
      <c r="Q71" s="43"/>
    </row>
    <row r="72" spans="1:17" x14ac:dyDescent="0.25">
      <c r="A72" s="40">
        <v>70</v>
      </c>
      <c r="B72" s="43" t="s">
        <v>506</v>
      </c>
      <c r="C72" s="40" t="s">
        <v>618</v>
      </c>
      <c r="D72" s="41" t="s">
        <v>1553</v>
      </c>
      <c r="E72" s="41"/>
      <c r="F72" s="42"/>
      <c r="G72" s="42">
        <v>2</v>
      </c>
      <c r="H72" s="42" t="s">
        <v>797</v>
      </c>
      <c r="I72" s="42" t="s">
        <v>506</v>
      </c>
      <c r="J72" s="42"/>
      <c r="K72" s="41"/>
      <c r="L72" s="43"/>
      <c r="M72" s="43"/>
      <c r="N72" s="43"/>
      <c r="O72" s="43"/>
      <c r="P72" s="43"/>
      <c r="Q72" s="43"/>
    </row>
    <row r="73" spans="1:17" x14ac:dyDescent="0.25">
      <c r="A73" s="40">
        <v>71</v>
      </c>
      <c r="B73" s="43" t="s">
        <v>507</v>
      </c>
      <c r="C73" s="40" t="s">
        <v>619</v>
      </c>
      <c r="D73" s="41" t="s">
        <v>1553</v>
      </c>
      <c r="E73" s="41"/>
      <c r="F73" s="42"/>
      <c r="G73" s="42">
        <v>2</v>
      </c>
      <c r="H73" s="42" t="s">
        <v>1462</v>
      </c>
      <c r="I73" s="42" t="s">
        <v>507</v>
      </c>
      <c r="J73" s="42"/>
      <c r="K73" s="41"/>
      <c r="L73" s="43"/>
      <c r="M73" s="43"/>
      <c r="N73" s="43"/>
      <c r="O73" s="43"/>
      <c r="P73" s="43"/>
      <c r="Q73" s="43"/>
    </row>
    <row r="74" spans="1:17" x14ac:dyDescent="0.25">
      <c r="A74" s="40">
        <v>72</v>
      </c>
      <c r="B74" s="43" t="s">
        <v>515</v>
      </c>
      <c r="C74" s="40" t="s">
        <v>620</v>
      </c>
      <c r="D74" s="41" t="s">
        <v>1461</v>
      </c>
      <c r="E74" s="41"/>
      <c r="F74" s="42"/>
      <c r="G74" s="42"/>
      <c r="H74" s="42"/>
      <c r="I74" s="42"/>
      <c r="J74" s="42"/>
      <c r="K74" s="41"/>
      <c r="L74" s="43"/>
      <c r="M74" s="43" t="s">
        <v>1435</v>
      </c>
      <c r="N74" s="43" t="s">
        <v>515</v>
      </c>
      <c r="O74" s="43" t="s">
        <v>2261</v>
      </c>
      <c r="P74" s="43"/>
      <c r="Q74" s="43"/>
    </row>
    <row r="75" spans="1:17" x14ac:dyDescent="0.25">
      <c r="A75" s="40">
        <v>73</v>
      </c>
      <c r="B75" s="43" t="s">
        <v>561</v>
      </c>
      <c r="C75" s="40" t="s">
        <v>621</v>
      </c>
      <c r="D75" s="41" t="s">
        <v>1553</v>
      </c>
      <c r="E75" s="41"/>
      <c r="F75" s="42"/>
      <c r="G75" s="42">
        <v>2</v>
      </c>
      <c r="H75" s="42" t="s">
        <v>1452</v>
      </c>
      <c r="I75" s="42" t="s">
        <v>561</v>
      </c>
      <c r="J75" s="42"/>
      <c r="K75" s="41"/>
      <c r="L75" s="43"/>
      <c r="M75" s="43"/>
      <c r="N75" s="43"/>
      <c r="O75" s="43"/>
      <c r="P75" s="43"/>
      <c r="Q75" s="43"/>
    </row>
    <row r="76" spans="1:17" x14ac:dyDescent="0.25">
      <c r="A76" s="40">
        <v>74</v>
      </c>
      <c r="B76" s="43" t="s">
        <v>562</v>
      </c>
      <c r="C76" s="40" t="s">
        <v>622</v>
      </c>
      <c r="D76" s="41" t="s">
        <v>1553</v>
      </c>
      <c r="E76" s="41"/>
      <c r="F76" s="42"/>
      <c r="G76" s="42">
        <v>2</v>
      </c>
      <c r="H76" s="42" t="s">
        <v>1449</v>
      </c>
      <c r="I76" s="42" t="s">
        <v>562</v>
      </c>
      <c r="J76" s="42"/>
      <c r="K76" s="41"/>
      <c r="L76" s="43"/>
      <c r="M76" s="43"/>
      <c r="N76" s="43"/>
      <c r="O76" s="43"/>
      <c r="P76" s="43"/>
      <c r="Q76" s="43"/>
    </row>
    <row r="77" spans="1:17" x14ac:dyDescent="0.25">
      <c r="A77" s="40">
        <v>75</v>
      </c>
      <c r="B77" s="43" t="s">
        <v>563</v>
      </c>
      <c r="C77" s="40" t="s">
        <v>623</v>
      </c>
      <c r="D77" s="41" t="s">
        <v>1553</v>
      </c>
      <c r="E77" s="41"/>
      <c r="F77" s="42"/>
      <c r="G77" s="42">
        <v>2</v>
      </c>
      <c r="H77" s="42" t="s">
        <v>1464</v>
      </c>
      <c r="I77" s="42" t="s">
        <v>563</v>
      </c>
      <c r="J77" s="42"/>
      <c r="K77" s="41"/>
      <c r="L77" s="43"/>
      <c r="M77" s="43"/>
      <c r="N77" s="43"/>
      <c r="O77" s="43"/>
      <c r="P77" s="43"/>
      <c r="Q77" s="43"/>
    </row>
    <row r="78" spans="1:17" x14ac:dyDescent="0.25">
      <c r="A78" s="40">
        <v>76</v>
      </c>
      <c r="B78" s="43" t="s">
        <v>572</v>
      </c>
      <c r="C78" s="40" t="s">
        <v>624</v>
      </c>
      <c r="D78" s="41" t="s">
        <v>1427</v>
      </c>
      <c r="E78" s="41"/>
      <c r="F78" s="42"/>
      <c r="G78" s="42"/>
      <c r="H78" s="42"/>
      <c r="I78" s="42"/>
      <c r="J78" s="42">
        <v>2</v>
      </c>
      <c r="K78" s="41" t="s">
        <v>1437</v>
      </c>
      <c r="L78" s="43" t="s">
        <v>572</v>
      </c>
      <c r="M78" s="43"/>
      <c r="N78" s="43"/>
      <c r="O78" s="43"/>
      <c r="P78" s="43"/>
      <c r="Q78" s="43"/>
    </row>
    <row r="79" spans="1:17" x14ac:dyDescent="0.25">
      <c r="A79" s="40">
        <v>77</v>
      </c>
      <c r="B79" s="46" t="s">
        <v>9</v>
      </c>
      <c r="C79" s="40" t="s">
        <v>1009</v>
      </c>
      <c r="D79" s="41" t="str">
        <f>VLOOKUP(B79,[1]CSG!$B$2:$C$169,2,0)</f>
        <v>CSG-CTCD01</v>
      </c>
      <c r="E79" s="41" t="s">
        <v>812</v>
      </c>
      <c r="F79" s="41"/>
      <c r="G79" s="41"/>
      <c r="H79" s="41"/>
      <c r="I79" s="41"/>
      <c r="J79" s="42"/>
      <c r="K79" s="41"/>
      <c r="L79" s="43"/>
      <c r="M79" s="43"/>
      <c r="N79" s="43"/>
      <c r="O79" s="43"/>
      <c r="P79" s="43"/>
      <c r="Q79" s="43"/>
    </row>
    <row r="80" spans="1:17" x14ac:dyDescent="0.25">
      <c r="A80" s="40">
        <v>78</v>
      </c>
      <c r="B80" s="46" t="s">
        <v>216</v>
      </c>
      <c r="C80" s="40" t="s">
        <v>1010</v>
      </c>
      <c r="D80" s="41" t="str">
        <f>VLOOKUP(B80,[1]CSG!$B$2:$C$169,2,0)</f>
        <v>CSG-CTCD02</v>
      </c>
      <c r="E80" s="41" t="s">
        <v>812</v>
      </c>
      <c r="F80" s="41"/>
      <c r="G80" s="41"/>
      <c r="H80" s="41"/>
      <c r="I80" s="41"/>
      <c r="J80" s="42"/>
      <c r="K80" s="41"/>
      <c r="L80" s="43"/>
      <c r="M80" s="43"/>
      <c r="N80" s="43"/>
      <c r="O80" s="43"/>
      <c r="P80" s="43"/>
      <c r="Q80" s="43" t="s">
        <v>1647</v>
      </c>
    </row>
    <row r="81" spans="1:19" x14ac:dyDescent="0.25">
      <c r="A81" s="40">
        <v>79</v>
      </c>
      <c r="B81" s="46" t="s">
        <v>217</v>
      </c>
      <c r="C81" s="40" t="s">
        <v>625</v>
      </c>
      <c r="D81" s="41" t="s">
        <v>1553</v>
      </c>
      <c r="E81" s="41" t="s">
        <v>1554</v>
      </c>
      <c r="F81" s="42"/>
      <c r="G81" s="42">
        <v>2</v>
      </c>
      <c r="H81" s="42" t="s">
        <v>1465</v>
      </c>
      <c r="I81" s="42" t="s">
        <v>217</v>
      </c>
      <c r="J81" s="42"/>
      <c r="K81" s="41"/>
      <c r="L81" s="43"/>
      <c r="M81" s="43"/>
      <c r="N81" s="43"/>
      <c r="O81" s="43"/>
      <c r="P81" s="43" t="s">
        <v>1568</v>
      </c>
      <c r="Q81" s="43" t="s">
        <v>1647</v>
      </c>
      <c r="R81" s="45" t="s">
        <v>1710</v>
      </c>
      <c r="S81" s="44" t="s">
        <v>2336</v>
      </c>
    </row>
    <row r="82" spans="1:19" x14ac:dyDescent="0.25">
      <c r="A82" s="40">
        <v>80</v>
      </c>
      <c r="B82" s="46" t="s">
        <v>218</v>
      </c>
      <c r="C82" s="40" t="s">
        <v>626</v>
      </c>
      <c r="D82" s="41" t="s">
        <v>1553</v>
      </c>
      <c r="E82" s="41" t="s">
        <v>1554</v>
      </c>
      <c r="F82" s="42"/>
      <c r="G82" s="42">
        <v>2</v>
      </c>
      <c r="H82" s="42" t="s">
        <v>1465</v>
      </c>
      <c r="I82" s="42" t="s">
        <v>218</v>
      </c>
      <c r="J82" s="42"/>
      <c r="K82" s="41"/>
      <c r="L82" s="43"/>
      <c r="M82" s="43" t="s">
        <v>1465</v>
      </c>
      <c r="N82" s="43" t="s">
        <v>218</v>
      </c>
      <c r="O82" s="43" t="s">
        <v>1573</v>
      </c>
      <c r="P82" s="43"/>
      <c r="Q82" s="43"/>
    </row>
    <row r="83" spans="1:19" x14ac:dyDescent="0.25">
      <c r="A83" s="40">
        <v>81</v>
      </c>
      <c r="B83" s="46" t="s">
        <v>219</v>
      </c>
      <c r="C83" s="40" t="s">
        <v>1012</v>
      </c>
      <c r="D83" s="41" t="s">
        <v>1427</v>
      </c>
      <c r="E83" s="41" t="s">
        <v>1554</v>
      </c>
      <c r="F83" s="42"/>
      <c r="G83" s="42"/>
      <c r="H83" s="42"/>
      <c r="I83" s="42"/>
      <c r="J83" s="42">
        <v>2</v>
      </c>
      <c r="K83" s="41" t="s">
        <v>1466</v>
      </c>
      <c r="L83" s="43" t="s">
        <v>219</v>
      </c>
      <c r="M83" s="43"/>
      <c r="N83" s="43"/>
      <c r="O83" s="43"/>
      <c r="P83" s="43" t="s">
        <v>1568</v>
      </c>
      <c r="Q83" s="43"/>
    </row>
    <row r="84" spans="1:19" x14ac:dyDescent="0.25">
      <c r="A84" s="40">
        <v>82</v>
      </c>
      <c r="B84" s="46" t="s">
        <v>220</v>
      </c>
      <c r="C84" s="40" t="s">
        <v>1013</v>
      </c>
      <c r="D84" s="41" t="s">
        <v>1427</v>
      </c>
      <c r="E84" s="41"/>
      <c r="F84" s="42"/>
      <c r="G84" s="42"/>
      <c r="H84" s="42"/>
      <c r="I84" s="42"/>
      <c r="J84" s="42">
        <v>2</v>
      </c>
      <c r="K84" s="41" t="s">
        <v>1465</v>
      </c>
      <c r="L84" s="43" t="s">
        <v>220</v>
      </c>
      <c r="M84" s="43" t="s">
        <v>1467</v>
      </c>
      <c r="N84" s="43" t="s">
        <v>220</v>
      </c>
      <c r="O84" s="43" t="s">
        <v>1454</v>
      </c>
      <c r="P84" s="43" t="s">
        <v>1568</v>
      </c>
      <c r="Q84" s="43" t="s">
        <v>1647</v>
      </c>
    </row>
    <row r="85" spans="1:19" x14ac:dyDescent="0.25">
      <c r="A85" s="40">
        <v>83</v>
      </c>
      <c r="B85" s="46" t="s">
        <v>221</v>
      </c>
      <c r="C85" s="40" t="s">
        <v>1014</v>
      </c>
      <c r="D85" s="41" t="s">
        <v>1427</v>
      </c>
      <c r="E85" s="41" t="s">
        <v>1554</v>
      </c>
      <c r="F85" s="42"/>
      <c r="G85" s="42"/>
      <c r="H85" s="42"/>
      <c r="I85" s="42"/>
      <c r="J85" s="42">
        <v>2</v>
      </c>
      <c r="K85" s="41" t="s">
        <v>1468</v>
      </c>
      <c r="L85" s="43" t="s">
        <v>221</v>
      </c>
      <c r="M85" s="43"/>
      <c r="N85" s="43"/>
      <c r="O85" s="43"/>
      <c r="P85" s="43" t="s">
        <v>1568</v>
      </c>
      <c r="Q85" s="43"/>
    </row>
    <row r="86" spans="1:19" x14ac:dyDescent="0.25">
      <c r="A86" s="40">
        <v>84</v>
      </c>
      <c r="B86" s="46" t="s">
        <v>222</v>
      </c>
      <c r="C86" s="40" t="s">
        <v>1015</v>
      </c>
      <c r="D86" s="41" t="s">
        <v>1427</v>
      </c>
      <c r="E86" s="41" t="s">
        <v>1554</v>
      </c>
      <c r="F86" s="42"/>
      <c r="G86" s="42"/>
      <c r="H86" s="42"/>
      <c r="I86" s="42"/>
      <c r="J86" s="42">
        <v>4</v>
      </c>
      <c r="K86" s="41" t="s">
        <v>1466</v>
      </c>
      <c r="L86" s="43" t="s">
        <v>222</v>
      </c>
      <c r="M86" s="43"/>
      <c r="N86" s="43"/>
      <c r="O86" s="43"/>
      <c r="P86" s="43" t="s">
        <v>1568</v>
      </c>
      <c r="Q86" s="43"/>
    </row>
    <row r="87" spans="1:19" x14ac:dyDescent="0.25">
      <c r="A87" s="40">
        <v>85</v>
      </c>
      <c r="B87" s="46" t="s">
        <v>223</v>
      </c>
      <c r="C87" s="40" t="s">
        <v>1016</v>
      </c>
      <c r="D87" s="41" t="s">
        <v>1553</v>
      </c>
      <c r="E87" s="41" t="s">
        <v>1554</v>
      </c>
      <c r="F87" s="42"/>
      <c r="G87" s="42">
        <v>2</v>
      </c>
      <c r="H87" s="42" t="s">
        <v>1469</v>
      </c>
      <c r="I87" s="42" t="s">
        <v>223</v>
      </c>
      <c r="J87" s="42"/>
      <c r="K87" s="41"/>
      <c r="L87" s="43"/>
      <c r="M87" s="43" t="s">
        <v>1467</v>
      </c>
      <c r="N87" s="43" t="s">
        <v>223</v>
      </c>
      <c r="O87" s="43" t="s">
        <v>1571</v>
      </c>
      <c r="P87" s="43" t="s">
        <v>1568</v>
      </c>
      <c r="Q87" s="43"/>
    </row>
    <row r="88" spans="1:19" x14ac:dyDescent="0.25">
      <c r="A88" s="40">
        <v>86</v>
      </c>
      <c r="B88" s="46" t="s">
        <v>224</v>
      </c>
      <c r="C88" s="40" t="s">
        <v>1017</v>
      </c>
      <c r="D88" s="41" t="s">
        <v>1427</v>
      </c>
      <c r="E88" s="41"/>
      <c r="F88" s="42"/>
      <c r="G88" s="42"/>
      <c r="H88" s="42"/>
      <c r="I88" s="42"/>
      <c r="J88" s="42">
        <v>2</v>
      </c>
      <c r="K88" s="41" t="s">
        <v>1470</v>
      </c>
      <c r="L88" s="43" t="s">
        <v>224</v>
      </c>
      <c r="M88" s="43" t="s">
        <v>1467</v>
      </c>
      <c r="N88" s="43" t="s">
        <v>224</v>
      </c>
      <c r="O88" s="43" t="s">
        <v>1574</v>
      </c>
      <c r="P88" s="43" t="s">
        <v>1568</v>
      </c>
      <c r="Q88" s="43"/>
    </row>
    <row r="89" spans="1:19" x14ac:dyDescent="0.25">
      <c r="A89" s="40">
        <v>87</v>
      </c>
      <c r="B89" s="46" t="s">
        <v>225</v>
      </c>
      <c r="C89" s="40" t="s">
        <v>1018</v>
      </c>
      <c r="D89" s="41" t="s">
        <v>1427</v>
      </c>
      <c r="E89" s="41" t="s">
        <v>1554</v>
      </c>
      <c r="F89" s="42"/>
      <c r="G89" s="42"/>
      <c r="H89" s="42"/>
      <c r="I89" s="42"/>
      <c r="J89" s="42">
        <v>2</v>
      </c>
      <c r="K89" s="41" t="s">
        <v>1471</v>
      </c>
      <c r="L89" s="43" t="s">
        <v>225</v>
      </c>
      <c r="M89" s="43"/>
      <c r="N89" s="43"/>
      <c r="O89" s="43"/>
      <c r="P89" s="43" t="s">
        <v>1568</v>
      </c>
      <c r="Q89" s="43"/>
    </row>
    <row r="90" spans="1:19" x14ac:dyDescent="0.25">
      <c r="A90" s="40">
        <v>88</v>
      </c>
      <c r="B90" s="46" t="s">
        <v>226</v>
      </c>
      <c r="C90" s="40" t="s">
        <v>1019</v>
      </c>
      <c r="D90" s="41" t="s">
        <v>1553</v>
      </c>
      <c r="E90" s="41" t="s">
        <v>1554</v>
      </c>
      <c r="F90" s="42"/>
      <c r="G90" s="42">
        <v>2</v>
      </c>
      <c r="H90" s="42" t="s">
        <v>1468</v>
      </c>
      <c r="I90" s="42" t="s">
        <v>226</v>
      </c>
      <c r="J90" s="42"/>
      <c r="K90" s="41"/>
      <c r="L90" s="43"/>
      <c r="M90" s="43"/>
      <c r="N90" s="43"/>
      <c r="O90" s="43"/>
      <c r="P90" s="43" t="s">
        <v>1568</v>
      </c>
      <c r="Q90" s="43"/>
    </row>
    <row r="91" spans="1:19" x14ac:dyDescent="0.25">
      <c r="A91" s="40">
        <v>89</v>
      </c>
      <c r="B91" s="40" t="s">
        <v>227</v>
      </c>
      <c r="C91" s="40" t="s">
        <v>1020</v>
      </c>
      <c r="D91" s="41" t="str">
        <f>VLOOKUP(B91,[1]CSG!$B$2:$C$169,2,0)</f>
        <v>CSG-CTCD13</v>
      </c>
      <c r="E91" s="41" t="s">
        <v>812</v>
      </c>
      <c r="F91" s="41"/>
      <c r="G91" s="41"/>
      <c r="H91" s="41"/>
      <c r="I91" s="41"/>
      <c r="J91" s="42"/>
      <c r="K91" s="41"/>
      <c r="L91" s="43"/>
      <c r="M91" s="43"/>
      <c r="N91" s="43"/>
      <c r="O91" s="43"/>
      <c r="P91" s="43"/>
      <c r="Q91" s="43"/>
    </row>
    <row r="92" spans="1:19" x14ac:dyDescent="0.25">
      <c r="A92" s="40">
        <v>90</v>
      </c>
      <c r="B92" s="43" t="s">
        <v>412</v>
      </c>
      <c r="C92" s="40" t="s">
        <v>1021</v>
      </c>
      <c r="D92" s="41" t="s">
        <v>1553</v>
      </c>
      <c r="E92" s="41" t="s">
        <v>1554</v>
      </c>
      <c r="F92" s="42"/>
      <c r="G92" s="42">
        <v>2</v>
      </c>
      <c r="H92" s="42" t="s">
        <v>1471</v>
      </c>
      <c r="I92" s="42" t="s">
        <v>412</v>
      </c>
      <c r="J92" s="42"/>
      <c r="K92" s="41"/>
      <c r="L92" s="43"/>
      <c r="M92" s="43"/>
      <c r="N92" s="43"/>
      <c r="O92" s="43"/>
      <c r="P92" s="43" t="s">
        <v>1568</v>
      </c>
      <c r="Q92" s="43"/>
    </row>
    <row r="93" spans="1:19" x14ac:dyDescent="0.25">
      <c r="A93" s="40">
        <v>91</v>
      </c>
      <c r="B93" s="46" t="s">
        <v>228</v>
      </c>
      <c r="C93" s="40" t="s">
        <v>1022</v>
      </c>
      <c r="D93" s="41" t="s">
        <v>1553</v>
      </c>
      <c r="E93" s="41" t="s">
        <v>1554</v>
      </c>
      <c r="F93" s="42"/>
      <c r="G93" s="42">
        <v>2</v>
      </c>
      <c r="H93" s="42" t="s">
        <v>1468</v>
      </c>
      <c r="I93" s="42" t="s">
        <v>228</v>
      </c>
      <c r="J93" s="42"/>
      <c r="K93" s="41"/>
      <c r="L93" s="43"/>
      <c r="M93" s="43"/>
      <c r="N93" s="43"/>
      <c r="O93" s="43"/>
      <c r="P93" s="43" t="s">
        <v>1568</v>
      </c>
      <c r="Q93" s="43"/>
    </row>
    <row r="94" spans="1:19" x14ac:dyDescent="0.25">
      <c r="A94" s="40">
        <v>92</v>
      </c>
      <c r="B94" s="46" t="s">
        <v>229</v>
      </c>
      <c r="C94" s="40" t="s">
        <v>1023</v>
      </c>
      <c r="D94" s="41" t="s">
        <v>1427</v>
      </c>
      <c r="E94" s="41" t="s">
        <v>1554</v>
      </c>
      <c r="F94" s="42"/>
      <c r="G94" s="42"/>
      <c r="H94" s="42"/>
      <c r="I94" s="42"/>
      <c r="J94" s="42">
        <v>2</v>
      </c>
      <c r="K94" s="41" t="s">
        <v>798</v>
      </c>
      <c r="L94" s="43" t="s">
        <v>229</v>
      </c>
      <c r="M94" s="43"/>
      <c r="N94" s="43"/>
      <c r="O94" s="43"/>
      <c r="P94" s="43" t="s">
        <v>1568</v>
      </c>
      <c r="Q94" s="43"/>
    </row>
    <row r="95" spans="1:19" x14ac:dyDescent="0.25">
      <c r="A95" s="40">
        <v>93</v>
      </c>
      <c r="B95" s="46" t="s">
        <v>230</v>
      </c>
      <c r="C95" s="40" t="s">
        <v>838</v>
      </c>
      <c r="D95" s="41" t="s">
        <v>1553</v>
      </c>
      <c r="E95" s="41" t="s">
        <v>1554</v>
      </c>
      <c r="F95" s="42"/>
      <c r="G95" s="42">
        <v>2</v>
      </c>
      <c r="H95" s="42" t="s">
        <v>798</v>
      </c>
      <c r="I95" s="42" t="s">
        <v>230</v>
      </c>
      <c r="J95" s="42"/>
      <c r="K95" s="41"/>
      <c r="L95" s="43"/>
      <c r="M95" s="43"/>
      <c r="N95" s="43"/>
      <c r="O95" s="43"/>
      <c r="P95" s="43" t="s">
        <v>1568</v>
      </c>
      <c r="Q95" s="43"/>
    </row>
    <row r="96" spans="1:19" x14ac:dyDescent="0.25">
      <c r="A96" s="40">
        <v>94</v>
      </c>
      <c r="B96" s="46" t="s">
        <v>231</v>
      </c>
      <c r="C96" s="40" t="s">
        <v>1025</v>
      </c>
      <c r="D96" s="41" t="s">
        <v>1427</v>
      </c>
      <c r="E96" s="41" t="s">
        <v>1554</v>
      </c>
      <c r="F96" s="42"/>
      <c r="G96" s="42"/>
      <c r="H96" s="42"/>
      <c r="I96" s="42"/>
      <c r="J96" s="42">
        <v>2</v>
      </c>
      <c r="K96" s="41" t="s">
        <v>1472</v>
      </c>
      <c r="L96" s="43" t="s">
        <v>231</v>
      </c>
      <c r="M96" s="43"/>
      <c r="N96" s="43"/>
      <c r="O96" s="43"/>
      <c r="P96" s="43" t="s">
        <v>1568</v>
      </c>
      <c r="Q96" s="43"/>
    </row>
    <row r="97" spans="1:17" x14ac:dyDescent="0.25">
      <c r="A97" s="40">
        <v>95</v>
      </c>
      <c r="B97" s="46" t="s">
        <v>232</v>
      </c>
      <c r="C97" s="40" t="s">
        <v>1026</v>
      </c>
      <c r="D97" s="41" t="str">
        <f>VLOOKUP(B97,[1]CSG!$B$2:$C$169,2,0)</f>
        <v>CSG-CTCD19</v>
      </c>
      <c r="E97" s="41" t="s">
        <v>812</v>
      </c>
      <c r="F97" s="41"/>
      <c r="G97" s="41"/>
      <c r="H97" s="41"/>
      <c r="I97" s="41"/>
      <c r="J97" s="42"/>
      <c r="K97" s="41"/>
      <c r="L97" s="43"/>
      <c r="M97" s="43"/>
      <c r="N97" s="43"/>
      <c r="O97" s="43"/>
      <c r="P97" s="43"/>
      <c r="Q97" s="43"/>
    </row>
    <row r="98" spans="1:17" x14ac:dyDescent="0.25">
      <c r="A98" s="40">
        <v>96</v>
      </c>
      <c r="B98" s="46" t="s">
        <v>233</v>
      </c>
      <c r="C98" s="40" t="s">
        <v>1027</v>
      </c>
      <c r="D98" s="41" t="str">
        <f>VLOOKUP(B98,[1]CSG!$B$2:$C$169,2,0)</f>
        <v>CSG-CTCD20</v>
      </c>
      <c r="E98" s="41" t="s">
        <v>812</v>
      </c>
      <c r="F98" s="41"/>
      <c r="G98" s="41"/>
      <c r="H98" s="41"/>
      <c r="I98" s="41"/>
      <c r="J98" s="42"/>
      <c r="K98" s="41"/>
      <c r="L98" s="43"/>
      <c r="M98" s="43"/>
      <c r="N98" s="43"/>
      <c r="O98" s="43"/>
      <c r="P98" s="43"/>
      <c r="Q98" s="43"/>
    </row>
    <row r="99" spans="1:17" x14ac:dyDescent="0.25">
      <c r="A99" s="40">
        <v>97</v>
      </c>
      <c r="B99" s="46" t="s">
        <v>234</v>
      </c>
      <c r="C99" s="40" t="s">
        <v>1028</v>
      </c>
      <c r="D99" s="41" t="s">
        <v>1553</v>
      </c>
      <c r="E99" s="41" t="s">
        <v>1554</v>
      </c>
      <c r="F99" s="42"/>
      <c r="G99" s="42">
        <v>2</v>
      </c>
      <c r="H99" s="42" t="s">
        <v>1473</v>
      </c>
      <c r="I99" s="42" t="s">
        <v>234</v>
      </c>
      <c r="J99" s="42"/>
      <c r="K99" s="41"/>
      <c r="L99" s="43"/>
      <c r="M99" s="43"/>
      <c r="N99" s="43"/>
      <c r="O99" s="43"/>
      <c r="P99" s="43" t="s">
        <v>1568</v>
      </c>
      <c r="Q99" s="43"/>
    </row>
    <row r="100" spans="1:17" x14ac:dyDescent="0.25">
      <c r="A100" s="40">
        <v>98</v>
      </c>
      <c r="B100" s="46" t="s">
        <v>235</v>
      </c>
      <c r="C100" s="40" t="s">
        <v>1029</v>
      </c>
      <c r="D100" s="41" t="s">
        <v>1427</v>
      </c>
      <c r="E100" s="41" t="s">
        <v>1554</v>
      </c>
      <c r="F100" s="42"/>
      <c r="G100" s="42"/>
      <c r="H100" s="42"/>
      <c r="I100" s="42"/>
      <c r="J100" s="42">
        <v>4</v>
      </c>
      <c r="K100" s="41" t="s">
        <v>1473</v>
      </c>
      <c r="L100" s="43" t="s">
        <v>235</v>
      </c>
      <c r="M100" s="43"/>
      <c r="N100" s="43"/>
      <c r="O100" s="43"/>
      <c r="P100" s="43" t="s">
        <v>1568</v>
      </c>
      <c r="Q100" s="43"/>
    </row>
    <row r="101" spans="1:17" x14ac:dyDescent="0.25">
      <c r="A101" s="40">
        <v>99</v>
      </c>
      <c r="B101" s="46" t="s">
        <v>236</v>
      </c>
      <c r="C101" s="40" t="s">
        <v>1030</v>
      </c>
      <c r="D101" s="41" t="str">
        <f>VLOOKUP(B101,[1]CSG!$B$2:$C$169,2,0)</f>
        <v>CSG-CTCD23</v>
      </c>
      <c r="E101" s="41" t="s">
        <v>812</v>
      </c>
      <c r="F101" s="41"/>
      <c r="G101" s="41"/>
      <c r="H101" s="41"/>
      <c r="I101" s="41"/>
      <c r="J101" s="42"/>
      <c r="K101" s="41"/>
      <c r="L101" s="43"/>
      <c r="M101" s="43"/>
      <c r="N101" s="43"/>
      <c r="O101" s="43"/>
      <c r="P101" s="43"/>
      <c r="Q101" s="43"/>
    </row>
    <row r="102" spans="1:17" x14ac:dyDescent="0.25">
      <c r="A102" s="40">
        <v>100</v>
      </c>
      <c r="B102" s="46" t="s">
        <v>237</v>
      </c>
      <c r="C102" s="40" t="s">
        <v>1031</v>
      </c>
      <c r="D102" s="41" t="s">
        <v>1427</v>
      </c>
      <c r="E102" s="41" t="s">
        <v>1554</v>
      </c>
      <c r="F102" s="42"/>
      <c r="G102" s="42"/>
      <c r="H102" s="42"/>
      <c r="I102" s="42"/>
      <c r="J102" s="42">
        <v>2</v>
      </c>
      <c r="K102" s="41" t="s">
        <v>1466</v>
      </c>
      <c r="L102" s="43" t="s">
        <v>237</v>
      </c>
      <c r="M102" s="43"/>
      <c r="N102" s="43"/>
      <c r="O102" s="43"/>
      <c r="P102" s="43" t="s">
        <v>1568</v>
      </c>
      <c r="Q102" s="43"/>
    </row>
    <row r="103" spans="1:17" x14ac:dyDescent="0.25">
      <c r="A103" s="40">
        <v>101</v>
      </c>
      <c r="B103" s="46" t="s">
        <v>238</v>
      </c>
      <c r="C103" s="40" t="s">
        <v>1032</v>
      </c>
      <c r="D103" s="41" t="s">
        <v>1427</v>
      </c>
      <c r="E103" s="41" t="s">
        <v>1554</v>
      </c>
      <c r="F103" s="42"/>
      <c r="G103" s="42"/>
      <c r="H103" s="42"/>
      <c r="I103" s="42"/>
      <c r="J103" s="42">
        <v>2</v>
      </c>
      <c r="K103" s="41" t="s">
        <v>1468</v>
      </c>
      <c r="L103" s="43" t="s">
        <v>238</v>
      </c>
      <c r="M103" s="43"/>
      <c r="N103" s="43"/>
      <c r="O103" s="43"/>
      <c r="P103" s="43" t="s">
        <v>1568</v>
      </c>
      <c r="Q103" s="43"/>
    </row>
    <row r="104" spans="1:17" x14ac:dyDescent="0.25">
      <c r="A104" s="40">
        <v>102</v>
      </c>
      <c r="B104" s="40" t="s">
        <v>334</v>
      </c>
      <c r="C104" s="40" t="s">
        <v>1033</v>
      </c>
      <c r="D104" s="41" t="s">
        <v>2360</v>
      </c>
      <c r="E104" s="41" t="s">
        <v>812</v>
      </c>
      <c r="F104" s="42"/>
      <c r="G104" s="42"/>
      <c r="H104" s="42"/>
      <c r="I104" s="42"/>
      <c r="J104" s="42"/>
      <c r="K104" s="41"/>
      <c r="L104" s="43"/>
      <c r="M104" s="43"/>
      <c r="N104" s="43"/>
      <c r="O104" s="43"/>
      <c r="P104" s="43" t="s">
        <v>1568</v>
      </c>
      <c r="Q104" s="43"/>
    </row>
    <row r="105" spans="1:17" x14ac:dyDescent="0.25">
      <c r="A105" s="40">
        <v>103</v>
      </c>
      <c r="B105" s="40" t="s">
        <v>335</v>
      </c>
      <c r="C105" s="40" t="s">
        <v>1034</v>
      </c>
      <c r="D105" s="41" t="s">
        <v>1427</v>
      </c>
      <c r="E105" s="41"/>
      <c r="F105" s="42"/>
      <c r="G105" s="42"/>
      <c r="H105" s="42"/>
      <c r="I105" s="42"/>
      <c r="J105" s="42">
        <v>2</v>
      </c>
      <c r="K105" s="41" t="s">
        <v>1468</v>
      </c>
      <c r="L105" s="43" t="s">
        <v>335</v>
      </c>
      <c r="M105" s="43" t="s">
        <v>798</v>
      </c>
      <c r="N105" s="43" t="s">
        <v>335</v>
      </c>
      <c r="O105" s="43" t="s">
        <v>1454</v>
      </c>
      <c r="P105" s="43" t="s">
        <v>1568</v>
      </c>
      <c r="Q105" s="43" t="s">
        <v>1647</v>
      </c>
    </row>
    <row r="106" spans="1:17" x14ac:dyDescent="0.25">
      <c r="A106" s="40">
        <v>104</v>
      </c>
      <c r="B106" s="40" t="s">
        <v>336</v>
      </c>
      <c r="C106" s="40" t="s">
        <v>1035</v>
      </c>
      <c r="D106" s="41" t="s">
        <v>1427</v>
      </c>
      <c r="E106" s="41"/>
      <c r="F106" s="42"/>
      <c r="G106" s="42"/>
      <c r="H106" s="42"/>
      <c r="I106" s="42"/>
      <c r="J106" s="42">
        <v>2</v>
      </c>
      <c r="K106" s="41" t="s">
        <v>1470</v>
      </c>
      <c r="L106" s="43" t="s">
        <v>336</v>
      </c>
      <c r="M106" s="43" t="s">
        <v>1472</v>
      </c>
      <c r="N106" s="43" t="s">
        <v>336</v>
      </c>
      <c r="O106" s="43" t="s">
        <v>1461</v>
      </c>
      <c r="P106" s="43" t="s">
        <v>1568</v>
      </c>
      <c r="Q106" s="43"/>
    </row>
    <row r="107" spans="1:17" x14ac:dyDescent="0.25">
      <c r="A107" s="40">
        <v>105</v>
      </c>
      <c r="B107" s="40" t="s">
        <v>333</v>
      </c>
      <c r="C107" s="40" t="s">
        <v>1036</v>
      </c>
      <c r="D107" s="41" t="s">
        <v>1553</v>
      </c>
      <c r="E107" s="41" t="s">
        <v>1554</v>
      </c>
      <c r="F107" s="42"/>
      <c r="G107" s="42">
        <v>2</v>
      </c>
      <c r="H107" s="42" t="s">
        <v>1468</v>
      </c>
      <c r="I107" s="42" t="s">
        <v>333</v>
      </c>
      <c r="J107" s="42"/>
      <c r="K107" s="41"/>
      <c r="L107" s="43"/>
      <c r="M107" s="43" t="s">
        <v>798</v>
      </c>
      <c r="N107" s="43" t="s">
        <v>333</v>
      </c>
      <c r="O107" s="43" t="s">
        <v>1576</v>
      </c>
      <c r="P107" s="43"/>
      <c r="Q107" s="43"/>
    </row>
    <row r="108" spans="1:17" x14ac:dyDescent="0.25">
      <c r="A108" s="40">
        <v>106</v>
      </c>
      <c r="B108" s="40" t="s">
        <v>337</v>
      </c>
      <c r="C108" s="40" t="s">
        <v>1038</v>
      </c>
      <c r="D108" s="41" t="s">
        <v>1553</v>
      </c>
      <c r="E108" s="41" t="s">
        <v>1554</v>
      </c>
      <c r="F108" s="42"/>
      <c r="G108" s="42">
        <v>2</v>
      </c>
      <c r="H108" s="42" t="s">
        <v>1467</v>
      </c>
      <c r="I108" s="42" t="s">
        <v>337</v>
      </c>
      <c r="J108" s="42"/>
      <c r="K108" s="41"/>
      <c r="L108" s="43"/>
      <c r="M108" s="43"/>
      <c r="N108" s="43"/>
      <c r="O108" s="43"/>
      <c r="P108" s="43" t="s">
        <v>1568</v>
      </c>
      <c r="Q108" s="43"/>
    </row>
    <row r="109" spans="1:17" x14ac:dyDescent="0.25">
      <c r="A109" s="40">
        <v>107</v>
      </c>
      <c r="B109" s="40" t="s">
        <v>328</v>
      </c>
      <c r="C109" s="40" t="s">
        <v>1039</v>
      </c>
      <c r="D109" s="41" t="s">
        <v>1427</v>
      </c>
      <c r="E109" s="41" t="s">
        <v>1554</v>
      </c>
      <c r="F109" s="42"/>
      <c r="G109" s="42"/>
      <c r="H109" s="42"/>
      <c r="I109" s="42"/>
      <c r="J109" s="42">
        <v>2</v>
      </c>
      <c r="K109" s="41" t="s">
        <v>1469</v>
      </c>
      <c r="L109" s="43" t="s">
        <v>328</v>
      </c>
      <c r="M109" s="43"/>
      <c r="N109" s="43"/>
      <c r="O109" s="43"/>
      <c r="P109" s="43" t="s">
        <v>1568</v>
      </c>
      <c r="Q109" s="43"/>
    </row>
    <row r="110" spans="1:17" x14ac:dyDescent="0.25">
      <c r="A110" s="40">
        <v>108</v>
      </c>
      <c r="B110" s="46" t="s">
        <v>325</v>
      </c>
      <c r="C110" s="40" t="s">
        <v>1040</v>
      </c>
      <c r="D110" s="41" t="s">
        <v>2361</v>
      </c>
      <c r="E110" s="41" t="s">
        <v>812</v>
      </c>
      <c r="F110" s="42"/>
      <c r="G110" s="42"/>
      <c r="H110" s="42"/>
      <c r="I110" s="42"/>
      <c r="J110" s="42"/>
      <c r="K110" s="41"/>
      <c r="L110" s="43"/>
      <c r="M110" s="43"/>
      <c r="N110" s="43"/>
      <c r="O110" s="43"/>
      <c r="P110" s="43" t="s">
        <v>1568</v>
      </c>
      <c r="Q110" s="43"/>
    </row>
    <row r="111" spans="1:17" x14ac:dyDescent="0.25">
      <c r="A111" s="40">
        <v>109</v>
      </c>
      <c r="B111" s="43" t="s">
        <v>542</v>
      </c>
      <c r="C111" s="40" t="s">
        <v>627</v>
      </c>
      <c r="D111" s="41" t="s">
        <v>1427</v>
      </c>
      <c r="E111" s="41"/>
      <c r="F111" s="42"/>
      <c r="G111" s="42"/>
      <c r="H111" s="42"/>
      <c r="I111" s="42"/>
      <c r="J111" s="42">
        <v>2</v>
      </c>
      <c r="K111" s="41" t="s">
        <v>798</v>
      </c>
      <c r="L111" s="43" t="s">
        <v>542</v>
      </c>
      <c r="M111" s="43" t="s">
        <v>1577</v>
      </c>
      <c r="N111" s="43" t="s">
        <v>542</v>
      </c>
      <c r="O111" s="43" t="s">
        <v>1573</v>
      </c>
      <c r="P111" s="43"/>
      <c r="Q111" s="43"/>
    </row>
    <row r="112" spans="1:17" x14ac:dyDescent="0.25">
      <c r="A112" s="40">
        <v>110</v>
      </c>
      <c r="B112" s="43" t="s">
        <v>496</v>
      </c>
      <c r="C112" s="40" t="s">
        <v>628</v>
      </c>
      <c r="D112" s="41" t="s">
        <v>1427</v>
      </c>
      <c r="E112" s="41"/>
      <c r="F112" s="42"/>
      <c r="G112" s="42"/>
      <c r="H112" s="42"/>
      <c r="I112" s="42"/>
      <c r="J112" s="42">
        <v>2</v>
      </c>
      <c r="K112" s="41" t="s">
        <v>1578</v>
      </c>
      <c r="L112" s="43" t="s">
        <v>496</v>
      </c>
      <c r="M112" s="43" t="s">
        <v>798</v>
      </c>
      <c r="N112" s="43" t="s">
        <v>496</v>
      </c>
      <c r="O112" s="43" t="s">
        <v>1570</v>
      </c>
      <c r="P112" s="43"/>
      <c r="Q112" s="43"/>
    </row>
    <row r="113" spans="1:17" x14ac:dyDescent="0.25">
      <c r="A113" s="40">
        <v>111</v>
      </c>
      <c r="B113" s="43" t="s">
        <v>497</v>
      </c>
      <c r="C113" s="40" t="s">
        <v>629</v>
      </c>
      <c r="D113" s="41" t="s">
        <v>1553</v>
      </c>
      <c r="E113" s="41"/>
      <c r="F113" s="42"/>
      <c r="G113" s="42">
        <v>2</v>
      </c>
      <c r="H113" s="42" t="s">
        <v>798</v>
      </c>
      <c r="I113" s="42" t="s">
        <v>497</v>
      </c>
      <c r="J113" s="42"/>
      <c r="K113" s="41"/>
      <c r="L113" s="43"/>
      <c r="M113" s="43"/>
      <c r="N113" s="43"/>
      <c r="O113" s="43"/>
      <c r="P113" s="43"/>
      <c r="Q113" s="43"/>
    </row>
    <row r="114" spans="1:17" x14ac:dyDescent="0.25">
      <c r="A114" s="40">
        <v>112</v>
      </c>
      <c r="B114" s="43" t="s">
        <v>517</v>
      </c>
      <c r="C114" s="40" t="s">
        <v>630</v>
      </c>
      <c r="D114" s="41" t="s">
        <v>1427</v>
      </c>
      <c r="E114" s="41"/>
      <c r="F114" s="42"/>
      <c r="G114" s="42"/>
      <c r="H114" s="42"/>
      <c r="I114" s="42"/>
      <c r="J114" s="42">
        <v>2</v>
      </c>
      <c r="K114" s="41" t="s">
        <v>1470</v>
      </c>
      <c r="L114" s="43" t="s">
        <v>517</v>
      </c>
      <c r="M114" s="43"/>
      <c r="N114" s="43"/>
      <c r="O114" s="43"/>
      <c r="P114" s="43"/>
      <c r="Q114" s="43"/>
    </row>
    <row r="115" spans="1:17" x14ac:dyDescent="0.25">
      <c r="A115" s="40">
        <v>113</v>
      </c>
      <c r="B115" s="43" t="s">
        <v>518</v>
      </c>
      <c r="C115" s="40" t="s">
        <v>631</v>
      </c>
      <c r="D115" s="41" t="s">
        <v>1427</v>
      </c>
      <c r="E115" s="41"/>
      <c r="F115" s="42"/>
      <c r="G115" s="42"/>
      <c r="H115" s="42"/>
      <c r="I115" s="42"/>
      <c r="J115" s="42">
        <v>2</v>
      </c>
      <c r="K115" s="41" t="s">
        <v>1579</v>
      </c>
      <c r="L115" s="43" t="s">
        <v>518</v>
      </c>
      <c r="M115" s="43"/>
      <c r="N115" s="43"/>
      <c r="O115" s="43"/>
      <c r="P115" s="43"/>
      <c r="Q115" s="43"/>
    </row>
    <row r="116" spans="1:17" x14ac:dyDescent="0.25">
      <c r="A116" s="40">
        <v>114</v>
      </c>
      <c r="B116" s="43" t="s">
        <v>519</v>
      </c>
      <c r="C116" s="40" t="s">
        <v>632</v>
      </c>
      <c r="D116" s="41" t="s">
        <v>1427</v>
      </c>
      <c r="E116" s="41"/>
      <c r="F116" s="42"/>
      <c r="G116" s="42"/>
      <c r="H116" s="42"/>
      <c r="I116" s="42"/>
      <c r="J116" s="42">
        <v>2</v>
      </c>
      <c r="K116" s="41" t="s">
        <v>1470</v>
      </c>
      <c r="L116" s="43" t="s">
        <v>519</v>
      </c>
      <c r="M116" s="43" t="s">
        <v>1470</v>
      </c>
      <c r="N116" s="43" t="s">
        <v>519</v>
      </c>
      <c r="O116" s="43" t="s">
        <v>1570</v>
      </c>
      <c r="P116" s="43"/>
      <c r="Q116" s="43"/>
    </row>
    <row r="117" spans="1:17" x14ac:dyDescent="0.25">
      <c r="A117" s="40">
        <v>115</v>
      </c>
      <c r="B117" s="43" t="s">
        <v>516</v>
      </c>
      <c r="C117" s="40" t="s">
        <v>633</v>
      </c>
      <c r="D117" s="41" t="str">
        <f>VLOOKUP(B117,[1]CSG!$B$2:$C$169,2,0)</f>
        <v>CSG-CTCD41</v>
      </c>
      <c r="E117" s="41" t="s">
        <v>812</v>
      </c>
      <c r="F117" s="41"/>
      <c r="G117" s="41"/>
      <c r="H117" s="41"/>
      <c r="I117" s="41"/>
      <c r="J117" s="42"/>
      <c r="K117" s="41"/>
      <c r="L117" s="43"/>
      <c r="M117" s="43"/>
      <c r="N117" s="43"/>
      <c r="O117" s="43"/>
      <c r="P117" s="43"/>
      <c r="Q117" s="43"/>
    </row>
    <row r="118" spans="1:17" x14ac:dyDescent="0.25">
      <c r="A118" s="40">
        <v>116</v>
      </c>
      <c r="B118" s="43" t="s">
        <v>520</v>
      </c>
      <c r="C118" s="40" t="s">
        <v>634</v>
      </c>
      <c r="D118" s="41" t="s">
        <v>1553</v>
      </c>
      <c r="E118" s="41"/>
      <c r="F118" s="42"/>
      <c r="G118" s="42">
        <v>2</v>
      </c>
      <c r="H118" s="42" t="s">
        <v>1468</v>
      </c>
      <c r="I118" s="42" t="s">
        <v>520</v>
      </c>
      <c r="J118" s="42"/>
      <c r="K118" s="41"/>
      <c r="L118" s="43"/>
      <c r="M118" s="43"/>
      <c r="N118" s="43"/>
      <c r="O118" s="43"/>
      <c r="P118" s="43"/>
      <c r="Q118" s="43"/>
    </row>
    <row r="119" spans="1:17" x14ac:dyDescent="0.25">
      <c r="A119" s="40">
        <v>117</v>
      </c>
      <c r="B119" s="43" t="s">
        <v>554</v>
      </c>
      <c r="C119" s="40" t="s">
        <v>635</v>
      </c>
      <c r="D119" s="41" t="s">
        <v>1427</v>
      </c>
      <c r="E119" s="41"/>
      <c r="F119" s="42"/>
      <c r="G119" s="42"/>
      <c r="H119" s="42"/>
      <c r="I119" s="42"/>
      <c r="J119" s="42">
        <v>2</v>
      </c>
      <c r="K119" s="41" t="s">
        <v>1473</v>
      </c>
      <c r="L119" s="43" t="s">
        <v>554</v>
      </c>
      <c r="M119" s="43" t="s">
        <v>1473</v>
      </c>
      <c r="N119" s="43" t="s">
        <v>554</v>
      </c>
      <c r="O119" s="43" t="s">
        <v>1573</v>
      </c>
      <c r="P119" s="43"/>
      <c r="Q119" s="43"/>
    </row>
    <row r="120" spans="1:17" x14ac:dyDescent="0.25">
      <c r="A120" s="40">
        <v>118</v>
      </c>
      <c r="B120" s="43" t="s">
        <v>564</v>
      </c>
      <c r="C120" s="40" t="s">
        <v>636</v>
      </c>
      <c r="D120" s="41" t="s">
        <v>1427</v>
      </c>
      <c r="E120" s="41"/>
      <c r="F120" s="42"/>
      <c r="G120" s="42"/>
      <c r="H120" s="42"/>
      <c r="I120" s="42"/>
      <c r="J120" s="42">
        <v>2</v>
      </c>
      <c r="K120" s="41" t="s">
        <v>1468</v>
      </c>
      <c r="L120" s="43" t="s">
        <v>564</v>
      </c>
      <c r="M120" s="43" t="s">
        <v>798</v>
      </c>
      <c r="N120" s="43" t="s">
        <v>564</v>
      </c>
      <c r="O120" s="43" t="s">
        <v>1573</v>
      </c>
      <c r="P120" s="43"/>
      <c r="Q120" s="43"/>
    </row>
    <row r="121" spans="1:17" x14ac:dyDescent="0.25">
      <c r="A121" s="40">
        <v>119</v>
      </c>
      <c r="B121" s="43" t="s">
        <v>573</v>
      </c>
      <c r="C121" s="40" t="s">
        <v>637</v>
      </c>
      <c r="D121" s="41" t="s">
        <v>1427</v>
      </c>
      <c r="E121" s="41"/>
      <c r="F121" s="42"/>
      <c r="G121" s="42"/>
      <c r="H121" s="42"/>
      <c r="I121" s="42"/>
      <c r="J121" s="42">
        <v>2</v>
      </c>
      <c r="K121" s="41" t="s">
        <v>1471</v>
      </c>
      <c r="L121" s="43" t="s">
        <v>573</v>
      </c>
      <c r="M121" s="43"/>
      <c r="N121" s="43"/>
      <c r="O121" s="43"/>
      <c r="P121" s="43"/>
      <c r="Q121" s="43"/>
    </row>
    <row r="122" spans="1:17" x14ac:dyDescent="0.25">
      <c r="A122" s="40">
        <v>120</v>
      </c>
      <c r="B122" s="43" t="s">
        <v>574</v>
      </c>
      <c r="C122" s="40" t="s">
        <v>638</v>
      </c>
      <c r="D122" s="41" t="s">
        <v>1427</v>
      </c>
      <c r="E122" s="41"/>
      <c r="F122" s="42"/>
      <c r="G122" s="42"/>
      <c r="H122" s="42"/>
      <c r="I122" s="42"/>
      <c r="J122" s="42">
        <v>2</v>
      </c>
      <c r="K122" s="41" t="s">
        <v>1580</v>
      </c>
      <c r="L122" s="43" t="s">
        <v>574</v>
      </c>
      <c r="M122" s="43"/>
      <c r="N122" s="43"/>
      <c r="O122" s="43"/>
      <c r="P122" s="43"/>
      <c r="Q122" s="43"/>
    </row>
    <row r="123" spans="1:17" x14ac:dyDescent="0.25">
      <c r="A123" s="40">
        <v>121</v>
      </c>
      <c r="B123" s="43" t="s">
        <v>575</v>
      </c>
      <c r="C123" s="40" t="s">
        <v>639</v>
      </c>
      <c r="D123" s="41" t="s">
        <v>1427</v>
      </c>
      <c r="E123" s="41"/>
      <c r="F123" s="42"/>
      <c r="G123" s="42"/>
      <c r="H123" s="42"/>
      <c r="I123" s="42"/>
      <c r="J123" s="42">
        <v>2</v>
      </c>
      <c r="K123" s="41" t="s">
        <v>519</v>
      </c>
      <c r="L123" s="43" t="s">
        <v>575</v>
      </c>
      <c r="M123" s="43"/>
      <c r="N123" s="43"/>
      <c r="O123" s="43"/>
      <c r="P123" s="43"/>
      <c r="Q123" s="43" t="s">
        <v>2419</v>
      </c>
    </row>
    <row r="124" spans="1:17" x14ac:dyDescent="0.25">
      <c r="A124" s="40">
        <v>122</v>
      </c>
      <c r="B124" s="43" t="s">
        <v>584</v>
      </c>
      <c r="C124" s="40" t="s">
        <v>640</v>
      </c>
      <c r="D124" s="41" t="s">
        <v>1427</v>
      </c>
      <c r="E124" s="41"/>
      <c r="F124" s="42"/>
      <c r="G124" s="42"/>
      <c r="H124" s="42"/>
      <c r="I124" s="42"/>
      <c r="J124" s="42">
        <v>2</v>
      </c>
      <c r="K124" s="41" t="s">
        <v>1469</v>
      </c>
      <c r="L124" s="43" t="s">
        <v>584</v>
      </c>
      <c r="M124" s="43"/>
      <c r="N124" s="43"/>
      <c r="O124" s="43"/>
      <c r="P124" s="43"/>
      <c r="Q124" s="43"/>
    </row>
    <row r="125" spans="1:17" x14ac:dyDescent="0.25">
      <c r="A125" s="40">
        <v>123</v>
      </c>
      <c r="B125" s="40" t="s">
        <v>187</v>
      </c>
      <c r="C125" s="40" t="s">
        <v>1041</v>
      </c>
      <c r="D125" s="41" t="s">
        <v>1553</v>
      </c>
      <c r="E125" s="41"/>
      <c r="F125" s="42"/>
      <c r="G125" s="42">
        <v>2</v>
      </c>
      <c r="H125" s="42" t="s">
        <v>1474</v>
      </c>
      <c r="I125" s="42" t="s">
        <v>187</v>
      </c>
      <c r="J125" s="42"/>
      <c r="K125" s="41"/>
      <c r="L125" s="43"/>
      <c r="M125" s="43" t="s">
        <v>1475</v>
      </c>
      <c r="N125" s="43" t="s">
        <v>187</v>
      </c>
      <c r="O125" s="43" t="s">
        <v>1436</v>
      </c>
      <c r="P125" s="43" t="s">
        <v>1568</v>
      </c>
      <c r="Q125" s="43"/>
    </row>
    <row r="126" spans="1:17" x14ac:dyDescent="0.25">
      <c r="A126" s="40">
        <v>124</v>
      </c>
      <c r="B126" s="40" t="s">
        <v>127</v>
      </c>
      <c r="C126" s="40" t="s">
        <v>1043</v>
      </c>
      <c r="D126" s="41" t="str">
        <f>VLOOKUP(B126,[1]CSG!$B$2:$C$169,2,0)</f>
        <v>CSG-CTCR02</v>
      </c>
      <c r="E126" s="41" t="s">
        <v>812</v>
      </c>
      <c r="F126" s="41"/>
      <c r="G126" s="41"/>
      <c r="H126" s="41"/>
      <c r="I126" s="41"/>
      <c r="J126" s="42"/>
      <c r="K126" s="41"/>
      <c r="L126" s="43"/>
      <c r="M126" s="43"/>
      <c r="N126" s="43"/>
      <c r="O126" s="43"/>
      <c r="P126" s="43"/>
      <c r="Q126" s="43"/>
    </row>
    <row r="127" spans="1:17" x14ac:dyDescent="0.25">
      <c r="A127" s="40">
        <v>125</v>
      </c>
      <c r="B127" s="40" t="s">
        <v>188</v>
      </c>
      <c r="C127" s="40" t="s">
        <v>1044</v>
      </c>
      <c r="D127" s="41" t="s">
        <v>1553</v>
      </c>
      <c r="E127" s="41"/>
      <c r="F127" s="42"/>
      <c r="G127" s="42">
        <v>2</v>
      </c>
      <c r="H127" s="42" t="s">
        <v>1476</v>
      </c>
      <c r="I127" s="42" t="s">
        <v>188</v>
      </c>
      <c r="J127" s="42"/>
      <c r="K127" s="41"/>
      <c r="L127" s="43"/>
      <c r="M127" s="43" t="s">
        <v>1475</v>
      </c>
      <c r="N127" s="43" t="s">
        <v>188</v>
      </c>
      <c r="O127" s="43" t="s">
        <v>1454</v>
      </c>
      <c r="P127" s="43" t="s">
        <v>1568</v>
      </c>
      <c r="Q127" s="43"/>
    </row>
    <row r="128" spans="1:17" x14ac:dyDescent="0.25">
      <c r="A128" s="40">
        <v>126</v>
      </c>
      <c r="B128" s="40" t="s">
        <v>189</v>
      </c>
      <c r="C128" s="40" t="s">
        <v>1045</v>
      </c>
      <c r="D128" s="41" t="s">
        <v>1553</v>
      </c>
      <c r="E128" s="41" t="s">
        <v>1554</v>
      </c>
      <c r="F128" s="42"/>
      <c r="G128" s="42">
        <v>2</v>
      </c>
      <c r="H128" s="42" t="s">
        <v>1477</v>
      </c>
      <c r="I128" s="42" t="s">
        <v>189</v>
      </c>
      <c r="J128" s="42"/>
      <c r="K128" s="41"/>
      <c r="L128" s="43"/>
      <c r="M128" s="43"/>
      <c r="N128" s="43"/>
      <c r="O128" s="43"/>
      <c r="P128" s="43" t="s">
        <v>1568</v>
      </c>
      <c r="Q128" s="43"/>
    </row>
    <row r="129" spans="1:17" x14ac:dyDescent="0.25">
      <c r="A129" s="40">
        <v>127</v>
      </c>
      <c r="B129" s="40" t="s">
        <v>190</v>
      </c>
      <c r="C129" s="40" t="s">
        <v>1046</v>
      </c>
      <c r="D129" s="41" t="str">
        <f>VLOOKUP(B129,[1]CSG!$B$2:$C$169,2,0)</f>
        <v>CSG-CTCR05</v>
      </c>
      <c r="E129" s="41" t="s">
        <v>812</v>
      </c>
      <c r="F129" s="41"/>
      <c r="G129" s="41"/>
      <c r="H129" s="41"/>
      <c r="I129" s="41"/>
      <c r="J129" s="42"/>
      <c r="K129" s="41"/>
      <c r="L129" s="43"/>
      <c r="M129" s="43"/>
      <c r="N129" s="43"/>
      <c r="O129" s="43"/>
      <c r="P129" s="43"/>
      <c r="Q129" s="43"/>
    </row>
    <row r="130" spans="1:17" x14ac:dyDescent="0.25">
      <c r="A130" s="40">
        <v>128</v>
      </c>
      <c r="B130" s="40" t="s">
        <v>128</v>
      </c>
      <c r="C130" s="40" t="s">
        <v>1047</v>
      </c>
      <c r="D130" s="41" t="s">
        <v>1553</v>
      </c>
      <c r="E130" s="41" t="s">
        <v>1554</v>
      </c>
      <c r="F130" s="42"/>
      <c r="G130" s="42">
        <v>2</v>
      </c>
      <c r="H130" s="42" t="s">
        <v>1478</v>
      </c>
      <c r="I130" s="42" t="s">
        <v>128</v>
      </c>
      <c r="J130" s="42"/>
      <c r="K130" s="41"/>
      <c r="L130" s="43"/>
      <c r="M130" s="43"/>
      <c r="N130" s="43"/>
      <c r="O130" s="43"/>
      <c r="P130" s="43" t="s">
        <v>1568</v>
      </c>
      <c r="Q130" s="43"/>
    </row>
    <row r="131" spans="1:17" x14ac:dyDescent="0.25">
      <c r="A131" s="40">
        <v>129</v>
      </c>
      <c r="B131" s="40" t="s">
        <v>123</v>
      </c>
      <c r="C131" s="40" t="s">
        <v>1048</v>
      </c>
      <c r="D131" s="41" t="str">
        <f>VLOOKUP(B131,[1]CSG!$B$2:$C$169,2,0)</f>
        <v>CSG-CTCR07</v>
      </c>
      <c r="E131" s="41" t="s">
        <v>812</v>
      </c>
      <c r="F131" s="41"/>
      <c r="G131" s="41"/>
      <c r="H131" s="41"/>
      <c r="I131" s="41"/>
      <c r="J131" s="42"/>
      <c r="K131" s="41"/>
      <c r="L131" s="43"/>
      <c r="M131" s="43"/>
      <c r="N131" s="43"/>
      <c r="O131" s="43"/>
      <c r="P131" s="43"/>
      <c r="Q131" s="43"/>
    </row>
    <row r="132" spans="1:17" x14ac:dyDescent="0.25">
      <c r="A132" s="40">
        <v>130</v>
      </c>
      <c r="B132" s="40" t="s">
        <v>191</v>
      </c>
      <c r="C132" s="40" t="s">
        <v>1049</v>
      </c>
      <c r="D132" s="41" t="str">
        <f>VLOOKUP(B132,[1]CSG!$B$2:$C$169,2,0)</f>
        <v>CSG-CTCR08</v>
      </c>
      <c r="E132" s="41" t="s">
        <v>812</v>
      </c>
      <c r="F132" s="41"/>
      <c r="G132" s="41"/>
      <c r="H132" s="41"/>
      <c r="I132" s="41"/>
      <c r="J132" s="42"/>
      <c r="K132" s="41"/>
      <c r="L132" s="43"/>
      <c r="M132" s="43"/>
      <c r="N132" s="43"/>
      <c r="O132" s="43"/>
      <c r="P132" s="43"/>
      <c r="Q132" s="43"/>
    </row>
    <row r="133" spans="1:17" x14ac:dyDescent="0.25">
      <c r="A133" s="40">
        <v>131</v>
      </c>
      <c r="B133" s="40" t="s">
        <v>192</v>
      </c>
      <c r="C133" s="40" t="s">
        <v>1050</v>
      </c>
      <c r="D133" s="41" t="str">
        <f>VLOOKUP(B133,[1]CSG!$B$2:$C$169,2,0)</f>
        <v>CSG-CTCR09</v>
      </c>
      <c r="E133" s="41" t="s">
        <v>812</v>
      </c>
      <c r="F133" s="41"/>
      <c r="G133" s="41"/>
      <c r="H133" s="41"/>
      <c r="I133" s="41"/>
      <c r="J133" s="42"/>
      <c r="K133" s="41"/>
      <c r="L133" s="43"/>
      <c r="M133" s="43"/>
      <c r="N133" s="43"/>
      <c r="O133" s="43"/>
      <c r="P133" s="43"/>
      <c r="Q133" s="43"/>
    </row>
    <row r="134" spans="1:17" x14ac:dyDescent="0.25">
      <c r="A134" s="40">
        <v>132</v>
      </c>
      <c r="B134" s="40" t="s">
        <v>193</v>
      </c>
      <c r="C134" s="40" t="s">
        <v>1051</v>
      </c>
      <c r="D134" s="41" t="s">
        <v>1553</v>
      </c>
      <c r="E134" s="41" t="s">
        <v>1554</v>
      </c>
      <c r="F134" s="42"/>
      <c r="G134" s="42">
        <v>2</v>
      </c>
      <c r="H134" s="42" t="s">
        <v>1479</v>
      </c>
      <c r="I134" s="42" t="s">
        <v>193</v>
      </c>
      <c r="J134" s="42"/>
      <c r="K134" s="41"/>
      <c r="L134" s="43"/>
      <c r="M134" s="43" t="s">
        <v>1479</v>
      </c>
      <c r="N134" s="43" t="s">
        <v>193</v>
      </c>
      <c r="O134" s="43" t="s">
        <v>1583</v>
      </c>
      <c r="P134" s="43"/>
      <c r="Q134" s="43"/>
    </row>
    <row r="135" spans="1:17" x14ac:dyDescent="0.25">
      <c r="A135" s="40">
        <v>133</v>
      </c>
      <c r="B135" s="40" t="s">
        <v>194</v>
      </c>
      <c r="C135" s="40" t="s">
        <v>1052</v>
      </c>
      <c r="D135" s="41" t="str">
        <f>VLOOKUP(B135,[1]CSG!$B$2:$C$169,2,0)</f>
        <v>CSG-CTCR11</v>
      </c>
      <c r="E135" s="41" t="s">
        <v>812</v>
      </c>
      <c r="F135" s="41"/>
      <c r="G135" s="41"/>
      <c r="H135" s="41"/>
      <c r="I135" s="41"/>
      <c r="J135" s="42"/>
      <c r="K135" s="41"/>
      <c r="L135" s="43"/>
      <c r="M135" s="43"/>
      <c r="N135" s="43"/>
      <c r="O135" s="43"/>
      <c r="P135" s="43"/>
      <c r="Q135" s="43"/>
    </row>
    <row r="136" spans="1:17" x14ac:dyDescent="0.25">
      <c r="A136" s="40">
        <v>134</v>
      </c>
      <c r="B136" s="40" t="s">
        <v>195</v>
      </c>
      <c r="C136" s="40" t="s">
        <v>1053</v>
      </c>
      <c r="D136" s="41" t="s">
        <v>1553</v>
      </c>
      <c r="E136" s="41" t="s">
        <v>1554</v>
      </c>
      <c r="F136" s="42"/>
      <c r="G136" s="42">
        <v>2</v>
      </c>
      <c r="H136" s="42" t="s">
        <v>1476</v>
      </c>
      <c r="I136" s="42" t="s">
        <v>195</v>
      </c>
      <c r="J136" s="42"/>
      <c r="K136" s="41"/>
      <c r="L136" s="43"/>
      <c r="M136" s="43" t="s">
        <v>1480</v>
      </c>
      <c r="N136" s="43" t="s">
        <v>195</v>
      </c>
      <c r="O136" s="43" t="s">
        <v>1569</v>
      </c>
      <c r="P136" s="43"/>
      <c r="Q136" s="43"/>
    </row>
    <row r="137" spans="1:17" x14ac:dyDescent="0.25">
      <c r="A137" s="40">
        <v>135</v>
      </c>
      <c r="B137" s="40" t="s">
        <v>196</v>
      </c>
      <c r="C137" s="40" t="s">
        <v>1054</v>
      </c>
      <c r="D137" s="41" t="str">
        <f>VLOOKUP(B137,[1]CSG!$B$2:$C$169,2,0)</f>
        <v>CSG-CTCR13</v>
      </c>
      <c r="E137" s="41" t="s">
        <v>812</v>
      </c>
      <c r="F137" s="41"/>
      <c r="G137" s="41"/>
      <c r="H137" s="41"/>
      <c r="I137" s="41"/>
      <c r="J137" s="42"/>
      <c r="K137" s="41"/>
      <c r="L137" s="43"/>
      <c r="M137" s="43"/>
      <c r="N137" s="43"/>
      <c r="O137" s="43"/>
      <c r="P137" s="43"/>
      <c r="Q137" s="43"/>
    </row>
    <row r="138" spans="1:17" x14ac:dyDescent="0.25">
      <c r="A138" s="40">
        <v>136</v>
      </c>
      <c r="B138" s="40" t="s">
        <v>197</v>
      </c>
      <c r="C138" s="40" t="s">
        <v>1055</v>
      </c>
      <c r="D138" s="41" t="s">
        <v>1553</v>
      </c>
      <c r="E138" s="41" t="s">
        <v>1554</v>
      </c>
      <c r="F138" s="42"/>
      <c r="G138" s="42">
        <v>2</v>
      </c>
      <c r="H138" s="42" t="s">
        <v>1477</v>
      </c>
      <c r="I138" s="42" t="s">
        <v>197</v>
      </c>
      <c r="J138" s="42"/>
      <c r="K138" s="41"/>
      <c r="L138" s="43"/>
      <c r="M138" s="43" t="s">
        <v>1481</v>
      </c>
      <c r="N138" s="43" t="s">
        <v>197</v>
      </c>
      <c r="O138" s="43" t="s">
        <v>1573</v>
      </c>
      <c r="P138" s="43"/>
      <c r="Q138" s="43"/>
    </row>
    <row r="139" spans="1:17" x14ac:dyDescent="0.25">
      <c r="A139" s="40">
        <v>137</v>
      </c>
      <c r="B139" s="40" t="s">
        <v>198</v>
      </c>
      <c r="C139" s="40" t="s">
        <v>1056</v>
      </c>
      <c r="D139" s="41" t="str">
        <f>VLOOKUP(B139,[1]CSG!$B$2:$C$169,2,0)</f>
        <v>CSG-CTCR15</v>
      </c>
      <c r="E139" s="41" t="s">
        <v>812</v>
      </c>
      <c r="F139" s="41"/>
      <c r="G139" s="41"/>
      <c r="H139" s="41"/>
      <c r="I139" s="41"/>
      <c r="J139" s="42"/>
      <c r="K139" s="41"/>
      <c r="L139" s="43"/>
      <c r="M139" s="43"/>
      <c r="N139" s="43"/>
      <c r="O139" s="43"/>
      <c r="P139" s="43"/>
      <c r="Q139" s="43"/>
    </row>
    <row r="140" spans="1:17" x14ac:dyDescent="0.25">
      <c r="A140" s="40">
        <v>138</v>
      </c>
      <c r="B140" s="40" t="s">
        <v>199</v>
      </c>
      <c r="C140" s="40" t="s">
        <v>1057</v>
      </c>
      <c r="D140" s="41" t="str">
        <f>VLOOKUP(B140,[1]CSG!$B$2:$C$169,2,0)</f>
        <v>CSG-CTCR16</v>
      </c>
      <c r="E140" s="41" t="s">
        <v>812</v>
      </c>
      <c r="F140" s="41"/>
      <c r="G140" s="41"/>
      <c r="H140" s="41"/>
      <c r="I140" s="41"/>
      <c r="J140" s="42"/>
      <c r="K140" s="41"/>
      <c r="L140" s="43"/>
      <c r="M140" s="43"/>
      <c r="N140" s="43"/>
      <c r="O140" s="43"/>
      <c r="P140" s="43"/>
      <c r="Q140" s="43"/>
    </row>
    <row r="141" spans="1:17" x14ac:dyDescent="0.25">
      <c r="A141" s="40">
        <v>139</v>
      </c>
      <c r="B141" s="40" t="s">
        <v>200</v>
      </c>
      <c r="C141" s="40" t="s">
        <v>1059</v>
      </c>
      <c r="D141" s="41" t="s">
        <v>1427</v>
      </c>
      <c r="E141" s="41"/>
      <c r="F141" s="42"/>
      <c r="G141" s="42"/>
      <c r="H141" s="42"/>
      <c r="I141" s="42"/>
      <c r="J141" s="42">
        <v>2</v>
      </c>
      <c r="K141" s="41" t="s">
        <v>1584</v>
      </c>
      <c r="L141" s="43" t="s">
        <v>200</v>
      </c>
      <c r="M141" s="43" t="s">
        <v>1482</v>
      </c>
      <c r="N141" s="43" t="s">
        <v>200</v>
      </c>
      <c r="O141" s="43" t="s">
        <v>1436</v>
      </c>
      <c r="P141" s="43" t="s">
        <v>1568</v>
      </c>
      <c r="Q141" s="43" t="s">
        <v>1647</v>
      </c>
    </row>
    <row r="142" spans="1:17" x14ac:dyDescent="0.25">
      <c r="A142" s="40">
        <v>140</v>
      </c>
      <c r="B142" s="40" t="s">
        <v>80</v>
      </c>
      <c r="C142" s="40" t="s">
        <v>1061</v>
      </c>
      <c r="D142" s="41" t="s">
        <v>1553</v>
      </c>
      <c r="E142" s="41" t="s">
        <v>1554</v>
      </c>
      <c r="F142" s="42"/>
      <c r="G142" s="42">
        <v>2</v>
      </c>
      <c r="H142" s="42" t="s">
        <v>1483</v>
      </c>
      <c r="I142" s="42" t="s">
        <v>80</v>
      </c>
      <c r="J142" s="42"/>
      <c r="K142" s="41"/>
      <c r="L142" s="43"/>
      <c r="M142" s="43"/>
      <c r="N142" s="43"/>
      <c r="O142" s="43"/>
      <c r="P142" s="43" t="s">
        <v>1568</v>
      </c>
      <c r="Q142" s="43"/>
    </row>
    <row r="143" spans="1:17" x14ac:dyDescent="0.25">
      <c r="A143" s="40">
        <v>141</v>
      </c>
      <c r="B143" s="40" t="s">
        <v>81</v>
      </c>
      <c r="C143" s="40" t="s">
        <v>1062</v>
      </c>
      <c r="D143" s="41" t="s">
        <v>1556</v>
      </c>
      <c r="E143" s="41" t="s">
        <v>812</v>
      </c>
      <c r="F143" s="41"/>
      <c r="G143" s="41"/>
      <c r="H143" s="41"/>
      <c r="I143" s="41"/>
      <c r="J143" s="42"/>
      <c r="K143" s="41"/>
      <c r="L143" s="43"/>
      <c r="M143" s="43"/>
      <c r="N143" s="43"/>
      <c r="O143" s="43"/>
      <c r="P143" s="43" t="s">
        <v>1568</v>
      </c>
      <c r="Q143" s="43"/>
    </row>
    <row r="144" spans="1:17" x14ac:dyDescent="0.25">
      <c r="A144" s="40">
        <v>142</v>
      </c>
      <c r="B144" s="40" t="s">
        <v>82</v>
      </c>
      <c r="C144" s="40" t="s">
        <v>1063</v>
      </c>
      <c r="D144" s="41" t="str">
        <f>VLOOKUP(B144,[1]CSG!$B$2:$C$169,2,0)</f>
        <v>CSG-CTCR20</v>
      </c>
      <c r="E144" s="41" t="s">
        <v>812</v>
      </c>
      <c r="F144" s="41"/>
      <c r="G144" s="41"/>
      <c r="H144" s="41"/>
      <c r="I144" s="41"/>
      <c r="J144" s="42"/>
      <c r="K144" s="41"/>
      <c r="L144" s="43"/>
      <c r="M144" s="43"/>
      <c r="N144" s="43"/>
      <c r="O144" s="43"/>
      <c r="P144" s="43"/>
      <c r="Q144" s="43"/>
    </row>
    <row r="145" spans="1:17" x14ac:dyDescent="0.25">
      <c r="A145" s="40">
        <v>143</v>
      </c>
      <c r="B145" s="40" t="s">
        <v>201</v>
      </c>
      <c r="C145" s="40" t="s">
        <v>1064</v>
      </c>
      <c r="D145" s="41" t="str">
        <f>VLOOKUP(B145,[1]CSG!$B$2:$C$169,2,0)</f>
        <v>CSG-CTCR21</v>
      </c>
      <c r="E145" s="41" t="s">
        <v>812</v>
      </c>
      <c r="F145" s="41"/>
      <c r="G145" s="41"/>
      <c r="H145" s="41"/>
      <c r="I145" s="41"/>
      <c r="J145" s="42"/>
      <c r="K145" s="41"/>
      <c r="L145" s="43"/>
      <c r="M145" s="43"/>
      <c r="N145" s="43"/>
      <c r="O145" s="43"/>
      <c r="P145" s="43"/>
      <c r="Q145" s="43"/>
    </row>
    <row r="146" spans="1:17" x14ac:dyDescent="0.25">
      <c r="A146" s="40">
        <v>144</v>
      </c>
      <c r="B146" s="40" t="s">
        <v>202</v>
      </c>
      <c r="C146" s="40" t="s">
        <v>1066</v>
      </c>
      <c r="D146" s="41" t="str">
        <f>VLOOKUP(B146,[1]CSG!$B$2:$C$169,2,0)</f>
        <v>CSG-CTCR22</v>
      </c>
      <c r="E146" s="41" t="s">
        <v>812</v>
      </c>
      <c r="F146" s="41"/>
      <c r="G146" s="41"/>
      <c r="H146" s="41"/>
      <c r="I146" s="41"/>
      <c r="J146" s="42"/>
      <c r="K146" s="41"/>
      <c r="L146" s="43"/>
      <c r="M146" s="43"/>
      <c r="N146" s="43"/>
      <c r="O146" s="43"/>
      <c r="P146" s="43"/>
      <c r="Q146" s="43"/>
    </row>
    <row r="147" spans="1:17" x14ac:dyDescent="0.25">
      <c r="A147" s="40">
        <v>145</v>
      </c>
      <c r="B147" s="40" t="s">
        <v>5</v>
      </c>
      <c r="C147" s="40" t="s">
        <v>1068</v>
      </c>
      <c r="D147" s="41" t="s">
        <v>1427</v>
      </c>
      <c r="E147" s="41"/>
      <c r="F147" s="42"/>
      <c r="G147" s="42"/>
      <c r="H147" s="42"/>
      <c r="I147" s="42"/>
      <c r="J147" s="42">
        <v>2</v>
      </c>
      <c r="K147" s="41" t="s">
        <v>1485</v>
      </c>
      <c r="L147" s="43" t="s">
        <v>5</v>
      </c>
      <c r="M147" s="43"/>
      <c r="N147" s="43"/>
      <c r="O147" s="43"/>
      <c r="P147" s="43"/>
      <c r="Q147" s="43"/>
    </row>
    <row r="148" spans="1:17" x14ac:dyDescent="0.25">
      <c r="A148" s="40">
        <v>146</v>
      </c>
      <c r="B148" s="40" t="s">
        <v>203</v>
      </c>
      <c r="C148" s="40" t="s">
        <v>1069</v>
      </c>
      <c r="D148" s="41" t="str">
        <f>VLOOKUP(B148,[1]CSG!$B$2:$C$169,2,0)</f>
        <v>CSG-CTCR24</v>
      </c>
      <c r="E148" s="41" t="s">
        <v>812</v>
      </c>
      <c r="F148" s="41"/>
      <c r="G148" s="41"/>
      <c r="H148" s="41"/>
      <c r="I148" s="41"/>
      <c r="J148" s="42"/>
      <c r="K148" s="41"/>
      <c r="L148" s="43"/>
      <c r="M148" s="43"/>
      <c r="N148" s="43"/>
      <c r="O148" s="43"/>
      <c r="P148" s="43"/>
      <c r="Q148" s="43"/>
    </row>
    <row r="149" spans="1:17" x14ac:dyDescent="0.25">
      <c r="A149" s="40">
        <v>147</v>
      </c>
      <c r="B149" s="40" t="s">
        <v>204</v>
      </c>
      <c r="C149" s="40" t="s">
        <v>1070</v>
      </c>
      <c r="D149" s="41" t="s">
        <v>1427</v>
      </c>
      <c r="E149" s="41"/>
      <c r="F149" s="42"/>
      <c r="G149" s="42"/>
      <c r="H149" s="42"/>
      <c r="I149" s="42"/>
      <c r="J149" s="42">
        <v>2</v>
      </c>
      <c r="K149" s="41" t="s">
        <v>1486</v>
      </c>
      <c r="L149" s="43" t="s">
        <v>204</v>
      </c>
      <c r="M149" s="43" t="s">
        <v>1484</v>
      </c>
      <c r="N149" s="43" t="s">
        <v>204</v>
      </c>
      <c r="O149" s="43" t="s">
        <v>1574</v>
      </c>
      <c r="P149" s="43" t="s">
        <v>1568</v>
      </c>
      <c r="Q149" s="43"/>
    </row>
    <row r="150" spans="1:17" x14ac:dyDescent="0.25">
      <c r="A150" s="40">
        <v>148</v>
      </c>
      <c r="B150" s="40" t="s">
        <v>129</v>
      </c>
      <c r="C150" s="40" t="s">
        <v>1071</v>
      </c>
      <c r="D150" s="41" t="s">
        <v>1553</v>
      </c>
      <c r="E150" s="41"/>
      <c r="F150" s="42"/>
      <c r="G150" s="42">
        <v>2</v>
      </c>
      <c r="H150" s="42" t="s">
        <v>1478</v>
      </c>
      <c r="I150" s="42" t="s">
        <v>129</v>
      </c>
      <c r="J150" s="42"/>
      <c r="K150" s="41"/>
      <c r="L150" s="43"/>
      <c r="M150" s="43"/>
      <c r="N150" s="43"/>
      <c r="O150" s="43"/>
      <c r="P150" s="43"/>
      <c r="Q150" s="43"/>
    </row>
    <row r="151" spans="1:17" x14ac:dyDescent="0.25">
      <c r="A151" s="40">
        <v>149</v>
      </c>
      <c r="B151" s="40" t="s">
        <v>205</v>
      </c>
      <c r="C151" s="40" t="s">
        <v>1072</v>
      </c>
      <c r="D151" s="41" t="s">
        <v>1427</v>
      </c>
      <c r="E151" s="41"/>
      <c r="F151" s="42"/>
      <c r="G151" s="42"/>
      <c r="H151" s="42"/>
      <c r="I151" s="42"/>
      <c r="J151" s="42">
        <v>2</v>
      </c>
      <c r="K151" s="41" t="s">
        <v>1585</v>
      </c>
      <c r="L151" s="43" t="s">
        <v>205</v>
      </c>
      <c r="M151" s="43" t="s">
        <v>1484</v>
      </c>
      <c r="N151" s="43" t="s">
        <v>205</v>
      </c>
      <c r="O151" s="43" t="s">
        <v>1454</v>
      </c>
      <c r="P151" s="43" t="s">
        <v>1568</v>
      </c>
      <c r="Q151" s="43"/>
    </row>
    <row r="152" spans="1:17" x14ac:dyDescent="0.25">
      <c r="A152" s="40">
        <v>150</v>
      </c>
      <c r="B152" s="40" t="s">
        <v>206</v>
      </c>
      <c r="C152" s="40" t="s">
        <v>1073</v>
      </c>
      <c r="D152" s="41" t="s">
        <v>1553</v>
      </c>
      <c r="E152" s="41" t="s">
        <v>1554</v>
      </c>
      <c r="F152" s="42"/>
      <c r="G152" s="42">
        <v>2</v>
      </c>
      <c r="H152" s="42" t="s">
        <v>1481</v>
      </c>
      <c r="I152" s="42" t="s">
        <v>206</v>
      </c>
      <c r="J152" s="42"/>
      <c r="K152" s="41"/>
      <c r="L152" s="43"/>
      <c r="M152" s="43" t="s">
        <v>1481</v>
      </c>
      <c r="N152" s="43" t="s">
        <v>206</v>
      </c>
      <c r="O152" s="43" t="s">
        <v>1573</v>
      </c>
      <c r="P152" s="43"/>
      <c r="Q152" s="43"/>
    </row>
    <row r="153" spans="1:17" x14ac:dyDescent="0.25">
      <c r="A153" s="40">
        <v>151</v>
      </c>
      <c r="B153" s="40" t="s">
        <v>207</v>
      </c>
      <c r="C153" s="40" t="s">
        <v>1074</v>
      </c>
      <c r="D153" s="41" t="str">
        <f>VLOOKUP(B153,[1]CSG!$B$2:$C$169,2,0)</f>
        <v>CSG-CTCR29</v>
      </c>
      <c r="E153" s="41" t="s">
        <v>812</v>
      </c>
      <c r="F153" s="41"/>
      <c r="G153" s="41"/>
      <c r="H153" s="41"/>
      <c r="I153" s="41"/>
      <c r="J153" s="42"/>
      <c r="K153" s="41"/>
      <c r="L153" s="43"/>
      <c r="M153" s="43"/>
      <c r="N153" s="43"/>
      <c r="O153" s="43"/>
      <c r="P153" s="43"/>
      <c r="Q153" s="43"/>
    </row>
    <row r="154" spans="1:17" x14ac:dyDescent="0.25">
      <c r="A154" s="40">
        <v>152</v>
      </c>
      <c r="B154" s="40" t="s">
        <v>208</v>
      </c>
      <c r="C154" s="40" t="s">
        <v>1075</v>
      </c>
      <c r="D154" s="41" t="s">
        <v>1427</v>
      </c>
      <c r="E154" s="41"/>
      <c r="F154" s="42"/>
      <c r="G154" s="42"/>
      <c r="H154" s="42"/>
      <c r="I154" s="42"/>
      <c r="J154" s="42">
        <v>2</v>
      </c>
      <c r="K154" s="41" t="s">
        <v>1482</v>
      </c>
      <c r="L154" s="43" t="s">
        <v>208</v>
      </c>
      <c r="M154" s="43" t="s">
        <v>1475</v>
      </c>
      <c r="N154" s="43" t="s">
        <v>208</v>
      </c>
      <c r="O154" s="43" t="s">
        <v>1454</v>
      </c>
      <c r="P154" s="43" t="s">
        <v>1568</v>
      </c>
      <c r="Q154" s="43"/>
    </row>
    <row r="155" spans="1:17" x14ac:dyDescent="0.25">
      <c r="A155" s="40">
        <v>153</v>
      </c>
      <c r="B155" s="40" t="s">
        <v>83</v>
      </c>
      <c r="C155" s="40" t="s">
        <v>1076</v>
      </c>
      <c r="D155" s="41" t="s">
        <v>1454</v>
      </c>
      <c r="E155" s="41"/>
      <c r="F155" s="42"/>
      <c r="G155" s="42"/>
      <c r="H155" s="42"/>
      <c r="I155" s="42"/>
      <c r="J155" s="42"/>
      <c r="K155" s="41"/>
      <c r="L155" s="43"/>
      <c r="M155" s="43" t="s">
        <v>1484</v>
      </c>
      <c r="N155" s="43" t="s">
        <v>83</v>
      </c>
      <c r="O155" s="43" t="s">
        <v>1454</v>
      </c>
      <c r="P155" s="43" t="s">
        <v>1568</v>
      </c>
      <c r="Q155" s="43"/>
    </row>
    <row r="156" spans="1:17" x14ac:dyDescent="0.25">
      <c r="A156" s="40">
        <v>154</v>
      </c>
      <c r="B156" s="40" t="s">
        <v>209</v>
      </c>
      <c r="C156" s="40" t="s">
        <v>1077</v>
      </c>
      <c r="D156" s="41" t="str">
        <f>VLOOKUP(B156,[1]CSG!$B$2:$C$169,2,0)</f>
        <v>CSG-CTCR32</v>
      </c>
      <c r="E156" s="41" t="s">
        <v>812</v>
      </c>
      <c r="F156" s="41"/>
      <c r="G156" s="41"/>
      <c r="H156" s="41"/>
      <c r="I156" s="41"/>
      <c r="J156" s="42"/>
      <c r="K156" s="41"/>
      <c r="L156" s="43"/>
      <c r="M156" s="43"/>
      <c r="N156" s="43"/>
      <c r="O156" s="43"/>
      <c r="P156" s="43"/>
      <c r="Q156" s="43"/>
    </row>
    <row r="157" spans="1:17" x14ac:dyDescent="0.25">
      <c r="A157" s="40">
        <v>155</v>
      </c>
      <c r="B157" s="40" t="s">
        <v>89</v>
      </c>
      <c r="C157" s="40" t="s">
        <v>1078</v>
      </c>
      <c r="D157" s="41" t="s">
        <v>1553</v>
      </c>
      <c r="E157" s="41" t="s">
        <v>1554</v>
      </c>
      <c r="F157" s="42"/>
      <c r="G157" s="42">
        <v>2</v>
      </c>
      <c r="H157" s="42" t="s">
        <v>1487</v>
      </c>
      <c r="I157" s="42" t="s">
        <v>89</v>
      </c>
      <c r="J157" s="42"/>
      <c r="K157" s="41"/>
      <c r="L157" s="43"/>
      <c r="M157" s="43"/>
      <c r="N157" s="43"/>
      <c r="O157" s="43"/>
      <c r="P157" s="43" t="s">
        <v>1568</v>
      </c>
      <c r="Q157" s="43"/>
    </row>
    <row r="158" spans="1:17" x14ac:dyDescent="0.25">
      <c r="A158" s="40">
        <v>156</v>
      </c>
      <c r="B158" s="40" t="s">
        <v>130</v>
      </c>
      <c r="C158" s="40" t="s">
        <v>1079</v>
      </c>
      <c r="D158" s="41" t="str">
        <f>VLOOKUP(B158,[1]CSG!$B$2:$C$169,2,0)</f>
        <v>CSG-CTCR34</v>
      </c>
      <c r="E158" s="41" t="s">
        <v>812</v>
      </c>
      <c r="F158" s="41"/>
      <c r="G158" s="41"/>
      <c r="H158" s="41"/>
      <c r="I158" s="41"/>
      <c r="J158" s="42"/>
      <c r="K158" s="41"/>
      <c r="L158" s="43"/>
      <c r="M158" s="43"/>
      <c r="N158" s="43"/>
      <c r="O158" s="43"/>
      <c r="P158" s="43"/>
      <c r="Q158" s="43"/>
    </row>
    <row r="159" spans="1:17" x14ac:dyDescent="0.25">
      <c r="A159" s="40">
        <v>157</v>
      </c>
      <c r="B159" s="40" t="s">
        <v>210</v>
      </c>
      <c r="C159" s="40" t="s">
        <v>1080</v>
      </c>
      <c r="D159" s="41" t="str">
        <f>VLOOKUP(B159,[1]CSG!$B$2:$C$169,2,0)</f>
        <v>CSG-CTCR35</v>
      </c>
      <c r="E159" s="41" t="s">
        <v>812</v>
      </c>
      <c r="F159" s="41"/>
      <c r="G159" s="41"/>
      <c r="H159" s="41"/>
      <c r="I159" s="41"/>
      <c r="J159" s="42"/>
      <c r="K159" s="41"/>
      <c r="L159" s="43"/>
      <c r="M159" s="43"/>
      <c r="N159" s="43"/>
      <c r="O159" s="43"/>
      <c r="P159" s="43"/>
      <c r="Q159" s="43"/>
    </row>
    <row r="160" spans="1:17" x14ac:dyDescent="0.25">
      <c r="A160" s="40">
        <v>158</v>
      </c>
      <c r="B160" s="40" t="s">
        <v>211</v>
      </c>
      <c r="C160" s="40" t="s">
        <v>1081</v>
      </c>
      <c r="D160" s="41" t="s">
        <v>1427</v>
      </c>
      <c r="E160" s="41"/>
      <c r="F160" s="42"/>
      <c r="G160" s="42"/>
      <c r="H160" s="42"/>
      <c r="I160" s="42"/>
      <c r="J160" s="42">
        <v>2</v>
      </c>
      <c r="K160" s="41" t="s">
        <v>1585</v>
      </c>
      <c r="L160" s="43" t="s">
        <v>211</v>
      </c>
      <c r="M160" s="43" t="s">
        <v>1484</v>
      </c>
      <c r="N160" s="43" t="s">
        <v>211</v>
      </c>
      <c r="O160" s="43" t="s">
        <v>1454</v>
      </c>
      <c r="P160" s="43" t="s">
        <v>1568</v>
      </c>
      <c r="Q160" s="43"/>
    </row>
    <row r="161" spans="1:17" x14ac:dyDescent="0.25">
      <c r="A161" s="40">
        <v>159</v>
      </c>
      <c r="B161" s="40" t="s">
        <v>212</v>
      </c>
      <c r="C161" s="40" t="s">
        <v>1082</v>
      </c>
      <c r="D161" s="41" t="s">
        <v>1427</v>
      </c>
      <c r="E161" s="41"/>
      <c r="F161" s="42"/>
      <c r="G161" s="42"/>
      <c r="H161" s="42"/>
      <c r="I161" s="42"/>
      <c r="J161" s="42">
        <v>2</v>
      </c>
      <c r="K161" s="41" t="s">
        <v>1586</v>
      </c>
      <c r="L161" s="43" t="s">
        <v>212</v>
      </c>
      <c r="M161" s="43" t="s">
        <v>1484</v>
      </c>
      <c r="N161" s="43" t="s">
        <v>212</v>
      </c>
      <c r="O161" s="43" t="s">
        <v>1436</v>
      </c>
      <c r="P161" s="43" t="s">
        <v>1568</v>
      </c>
      <c r="Q161" s="43"/>
    </row>
    <row r="162" spans="1:17" x14ac:dyDescent="0.25">
      <c r="A162" s="40">
        <v>160</v>
      </c>
      <c r="B162" s="43" t="s">
        <v>385</v>
      </c>
      <c r="C162" s="40" t="s">
        <v>1083</v>
      </c>
      <c r="D162" s="41" t="s">
        <v>1427</v>
      </c>
      <c r="E162" s="41"/>
      <c r="F162" s="42"/>
      <c r="G162" s="42"/>
      <c r="H162" s="42"/>
      <c r="I162" s="42"/>
      <c r="J162" s="42">
        <v>2</v>
      </c>
      <c r="K162" s="41" t="s">
        <v>1485</v>
      </c>
      <c r="L162" s="43" t="s">
        <v>385</v>
      </c>
      <c r="M162" s="43" t="s">
        <v>1488</v>
      </c>
      <c r="N162" s="43" t="s">
        <v>385</v>
      </c>
      <c r="O162" s="43" t="s">
        <v>2420</v>
      </c>
      <c r="P162" s="43" t="s">
        <v>1568</v>
      </c>
      <c r="Q162" s="43" t="s">
        <v>2421</v>
      </c>
    </row>
    <row r="163" spans="1:17" x14ac:dyDescent="0.25">
      <c r="A163" s="40">
        <v>161</v>
      </c>
      <c r="B163" s="43" t="s">
        <v>388</v>
      </c>
      <c r="C163" s="40" t="s">
        <v>1085</v>
      </c>
      <c r="D163" s="41" t="s">
        <v>1553</v>
      </c>
      <c r="E163" s="41"/>
      <c r="F163" s="42"/>
      <c r="G163" s="42">
        <v>2</v>
      </c>
      <c r="H163" s="42" t="s">
        <v>1481</v>
      </c>
      <c r="I163" s="42" t="s">
        <v>388</v>
      </c>
      <c r="J163" s="42"/>
      <c r="K163" s="41"/>
      <c r="L163" s="43"/>
      <c r="M163" s="43"/>
      <c r="N163" s="43"/>
      <c r="O163" s="43"/>
      <c r="P163" s="43"/>
      <c r="Q163" s="43"/>
    </row>
    <row r="164" spans="1:17" x14ac:dyDescent="0.25">
      <c r="A164" s="40">
        <v>162</v>
      </c>
      <c r="B164" s="43" t="s">
        <v>423</v>
      </c>
      <c r="C164" s="40" t="s">
        <v>1087</v>
      </c>
      <c r="D164" s="41" t="str">
        <f>VLOOKUP(B164,[1]CSG!$B$2:$C$169,2,0)</f>
        <v>CSG-CTCR40</v>
      </c>
      <c r="E164" s="41" t="s">
        <v>812</v>
      </c>
      <c r="F164" s="41"/>
      <c r="G164" s="41"/>
      <c r="H164" s="41"/>
      <c r="I164" s="41"/>
      <c r="J164" s="42"/>
      <c r="K164" s="41"/>
      <c r="L164" s="43"/>
      <c r="M164" s="43"/>
      <c r="N164" s="43"/>
      <c r="O164" s="43"/>
      <c r="P164" s="43"/>
      <c r="Q164" s="43"/>
    </row>
    <row r="165" spans="1:17" x14ac:dyDescent="0.25">
      <c r="A165" s="40">
        <v>163</v>
      </c>
      <c r="B165" s="43" t="s">
        <v>440</v>
      </c>
      <c r="C165" s="40" t="s">
        <v>1088</v>
      </c>
      <c r="D165" s="41" t="str">
        <f>VLOOKUP(B165,[1]CSG!$B$2:$C$169,2,0)</f>
        <v>CSG-CTCR41</v>
      </c>
      <c r="E165" s="41" t="s">
        <v>812</v>
      </c>
      <c r="F165" s="41"/>
      <c r="G165" s="41"/>
      <c r="H165" s="41"/>
      <c r="I165" s="41"/>
      <c r="J165" s="42"/>
      <c r="K165" s="41"/>
      <c r="L165" s="43"/>
      <c r="M165" s="43"/>
      <c r="N165" s="43"/>
      <c r="O165" s="43"/>
      <c r="P165" s="43"/>
      <c r="Q165" s="43"/>
    </row>
    <row r="166" spans="1:17" x14ac:dyDescent="0.25">
      <c r="A166" s="40">
        <v>164</v>
      </c>
      <c r="B166" s="43" t="s">
        <v>447</v>
      </c>
      <c r="C166" s="40" t="s">
        <v>1090</v>
      </c>
      <c r="D166" s="41" t="s">
        <v>1436</v>
      </c>
      <c r="E166" s="41"/>
      <c r="F166" s="42"/>
      <c r="G166" s="42"/>
      <c r="H166" s="42"/>
      <c r="I166" s="42"/>
      <c r="J166" s="42"/>
      <c r="K166" s="41"/>
      <c r="L166" s="43"/>
      <c r="M166" s="43" t="s">
        <v>1482</v>
      </c>
      <c r="N166" s="43" t="s">
        <v>447</v>
      </c>
      <c r="O166" s="43" t="s">
        <v>1436</v>
      </c>
      <c r="P166" s="43"/>
      <c r="Q166" s="43"/>
    </row>
    <row r="167" spans="1:17" x14ac:dyDescent="0.25">
      <c r="A167" s="40">
        <v>165</v>
      </c>
      <c r="B167" s="43" t="s">
        <v>452</v>
      </c>
      <c r="C167" s="40" t="s">
        <v>1092</v>
      </c>
      <c r="D167" s="41" t="s">
        <v>1427</v>
      </c>
      <c r="E167" s="41"/>
      <c r="F167" s="42"/>
      <c r="G167" s="42"/>
      <c r="H167" s="42"/>
      <c r="I167" s="42"/>
      <c r="J167" s="42">
        <v>2</v>
      </c>
      <c r="K167" s="41" t="s">
        <v>1482</v>
      </c>
      <c r="L167" s="43" t="s">
        <v>452</v>
      </c>
      <c r="M167" s="43"/>
      <c r="N167" s="43"/>
      <c r="O167" s="43"/>
      <c r="P167" s="43"/>
      <c r="Q167" s="43"/>
    </row>
    <row r="168" spans="1:17" x14ac:dyDescent="0.25">
      <c r="A168" s="40">
        <v>166</v>
      </c>
      <c r="B168" s="43" t="s">
        <v>591</v>
      </c>
      <c r="C168" s="40" t="s">
        <v>641</v>
      </c>
      <c r="D168" s="41" t="s">
        <v>1484</v>
      </c>
      <c r="E168" s="41" t="s">
        <v>812</v>
      </c>
      <c r="F168" s="42"/>
      <c r="G168" s="42"/>
      <c r="H168" s="42"/>
      <c r="I168" s="42"/>
      <c r="J168" s="42"/>
      <c r="K168" s="41"/>
      <c r="L168" s="43"/>
      <c r="M168" s="43"/>
      <c r="N168" s="43"/>
      <c r="O168" s="43"/>
      <c r="P168" s="43"/>
      <c r="Q168" s="43"/>
    </row>
    <row r="169" spans="1:17" x14ac:dyDescent="0.25">
      <c r="A169" s="40">
        <v>167</v>
      </c>
      <c r="B169" s="43" t="s">
        <v>456</v>
      </c>
      <c r="C169" s="40" t="s">
        <v>642</v>
      </c>
      <c r="D169" s="41" t="s">
        <v>1553</v>
      </c>
      <c r="E169" s="41" t="s">
        <v>1554</v>
      </c>
      <c r="F169" s="42"/>
      <c r="G169" s="42">
        <v>2</v>
      </c>
      <c r="H169" s="42" t="s">
        <v>1475</v>
      </c>
      <c r="I169" s="42" t="s">
        <v>456</v>
      </c>
      <c r="J169" s="42"/>
      <c r="K169" s="41"/>
      <c r="L169" s="43"/>
      <c r="M169" s="43"/>
      <c r="N169" s="43"/>
      <c r="O169" s="43"/>
      <c r="P169" s="43" t="s">
        <v>1568</v>
      </c>
      <c r="Q169" s="43"/>
    </row>
    <row r="170" spans="1:17" x14ac:dyDescent="0.25">
      <c r="A170" s="40">
        <v>168</v>
      </c>
      <c r="B170" s="43" t="s">
        <v>457</v>
      </c>
      <c r="C170" s="40" t="s">
        <v>643</v>
      </c>
      <c r="D170" s="41" t="s">
        <v>1553</v>
      </c>
      <c r="E170" s="41"/>
      <c r="F170" s="42"/>
      <c r="G170" s="42">
        <v>2</v>
      </c>
      <c r="H170" s="42" t="s">
        <v>1489</v>
      </c>
      <c r="I170" s="42" t="s">
        <v>457</v>
      </c>
      <c r="J170" s="42"/>
      <c r="K170" s="41"/>
      <c r="L170" s="43"/>
      <c r="M170" s="43"/>
      <c r="N170" s="43"/>
      <c r="O170" s="43"/>
      <c r="P170" s="43"/>
      <c r="Q170" s="43"/>
    </row>
    <row r="171" spans="1:17" x14ac:dyDescent="0.25">
      <c r="A171" s="40">
        <v>169</v>
      </c>
      <c r="B171" s="43" t="s">
        <v>458</v>
      </c>
      <c r="C171" s="40" t="s">
        <v>644</v>
      </c>
      <c r="D171" s="41" t="s">
        <v>1553</v>
      </c>
      <c r="E171" s="41"/>
      <c r="F171" s="42"/>
      <c r="G171" s="42">
        <v>2</v>
      </c>
      <c r="H171" s="42" t="s">
        <v>1481</v>
      </c>
      <c r="I171" s="42" t="s">
        <v>458</v>
      </c>
      <c r="J171" s="42"/>
      <c r="K171" s="41"/>
      <c r="L171" s="43"/>
      <c r="M171" s="43"/>
      <c r="N171" s="43"/>
      <c r="O171" s="43"/>
      <c r="P171" s="43"/>
      <c r="Q171" s="43"/>
    </row>
    <row r="172" spans="1:17" x14ac:dyDescent="0.25">
      <c r="A172" s="40">
        <v>170</v>
      </c>
      <c r="B172" s="43" t="s">
        <v>455</v>
      </c>
      <c r="C172" s="40" t="s">
        <v>645</v>
      </c>
      <c r="D172" s="41" t="s">
        <v>1553</v>
      </c>
      <c r="E172" s="41"/>
      <c r="F172" s="42"/>
      <c r="G172" s="42">
        <v>2</v>
      </c>
      <c r="H172" s="42" t="s">
        <v>1490</v>
      </c>
      <c r="I172" s="42" t="s">
        <v>455</v>
      </c>
      <c r="J172" s="42"/>
      <c r="K172" s="41"/>
      <c r="L172" s="43"/>
      <c r="M172" s="43"/>
      <c r="N172" s="43"/>
      <c r="O172" s="43"/>
      <c r="P172" s="43"/>
      <c r="Q172" s="43"/>
    </row>
    <row r="173" spans="1:17" x14ac:dyDescent="0.25">
      <c r="A173" s="40">
        <v>171</v>
      </c>
      <c r="B173" s="43" t="s">
        <v>536</v>
      </c>
      <c r="C173" s="40" t="s">
        <v>646</v>
      </c>
      <c r="D173" s="41" t="s">
        <v>1427</v>
      </c>
      <c r="E173" s="41" t="s">
        <v>1554</v>
      </c>
      <c r="F173" s="42"/>
      <c r="G173" s="42"/>
      <c r="H173" s="42"/>
      <c r="I173" s="42"/>
      <c r="J173" s="42">
        <v>2</v>
      </c>
      <c r="K173" s="41" t="s">
        <v>1482</v>
      </c>
      <c r="L173" s="43" t="s">
        <v>536</v>
      </c>
      <c r="M173" s="43"/>
      <c r="N173" s="43"/>
      <c r="O173" s="43"/>
      <c r="P173" s="43" t="s">
        <v>1568</v>
      </c>
      <c r="Q173" s="43"/>
    </row>
    <row r="174" spans="1:17" x14ac:dyDescent="0.25">
      <c r="A174" s="40">
        <v>172</v>
      </c>
      <c r="B174" s="43" t="s">
        <v>522</v>
      </c>
      <c r="C174" s="40" t="s">
        <v>647</v>
      </c>
      <c r="D174" s="41" t="s">
        <v>1553</v>
      </c>
      <c r="E174" s="41"/>
      <c r="F174" s="42"/>
      <c r="G174" s="42">
        <v>2</v>
      </c>
      <c r="H174" s="42" t="s">
        <v>1479</v>
      </c>
      <c r="I174" s="42" t="s">
        <v>522</v>
      </c>
      <c r="J174" s="42"/>
      <c r="K174" s="41"/>
      <c r="L174" s="43"/>
      <c r="M174" s="43"/>
      <c r="N174" s="43"/>
      <c r="O174" s="43"/>
      <c r="P174" s="43"/>
      <c r="Q174" s="43"/>
    </row>
    <row r="175" spans="1:17" x14ac:dyDescent="0.25">
      <c r="A175" s="40">
        <v>173</v>
      </c>
      <c r="B175" s="43" t="s">
        <v>524</v>
      </c>
      <c r="C175" s="40" t="s">
        <v>648</v>
      </c>
      <c r="D175" s="41" t="s">
        <v>1553</v>
      </c>
      <c r="E175" s="41"/>
      <c r="F175" s="42"/>
      <c r="G175" s="42">
        <v>2</v>
      </c>
      <c r="H175" s="42" t="s">
        <v>1475</v>
      </c>
      <c r="I175" s="42" t="s">
        <v>524</v>
      </c>
      <c r="J175" s="42"/>
      <c r="K175" s="41"/>
      <c r="L175" s="43"/>
      <c r="M175" s="43"/>
      <c r="N175" s="43"/>
      <c r="O175" s="43"/>
      <c r="P175" s="43"/>
      <c r="Q175" s="43"/>
    </row>
    <row r="176" spans="1:17" x14ac:dyDescent="0.25">
      <c r="A176" s="40">
        <v>174</v>
      </c>
      <c r="B176" s="43" t="s">
        <v>523</v>
      </c>
      <c r="C176" s="40" t="s">
        <v>649</v>
      </c>
      <c r="D176" s="41" t="str">
        <f>VLOOKUP(B176,[1]CSG!$B$2:$C$169,2,0)</f>
        <v>CSG-CTCR52</v>
      </c>
      <c r="E176" s="41" t="s">
        <v>812</v>
      </c>
      <c r="F176" s="41"/>
      <c r="G176" s="41"/>
      <c r="H176" s="41"/>
      <c r="I176" s="41"/>
      <c r="J176" s="42"/>
      <c r="K176" s="41"/>
      <c r="L176" s="43"/>
      <c r="M176" s="43"/>
      <c r="N176" s="43"/>
      <c r="O176" s="43"/>
      <c r="P176" s="43"/>
      <c r="Q176" s="43"/>
    </row>
    <row r="177" spans="1:19" x14ac:dyDescent="0.25">
      <c r="A177" s="40">
        <v>175</v>
      </c>
      <c r="B177" s="43" t="s">
        <v>565</v>
      </c>
      <c r="C177" s="40" t="s">
        <v>650</v>
      </c>
      <c r="D177" s="41" t="s">
        <v>1553</v>
      </c>
      <c r="E177" s="41"/>
      <c r="F177" s="42"/>
      <c r="G177" s="42">
        <v>2</v>
      </c>
      <c r="H177" s="42" t="s">
        <v>1477</v>
      </c>
      <c r="I177" s="42" t="s">
        <v>565</v>
      </c>
      <c r="J177" s="42"/>
      <c r="K177" s="41"/>
      <c r="L177" s="43"/>
      <c r="M177" s="43"/>
      <c r="N177" s="43"/>
      <c r="O177" s="43"/>
      <c r="P177" s="43"/>
      <c r="Q177" s="43"/>
    </row>
    <row r="178" spans="1:19" x14ac:dyDescent="0.25">
      <c r="A178" s="40">
        <v>176</v>
      </c>
      <c r="B178" s="43" t="s">
        <v>566</v>
      </c>
      <c r="C178" s="40" t="s">
        <v>651</v>
      </c>
      <c r="D178" s="41" t="s">
        <v>1427</v>
      </c>
      <c r="E178" s="41"/>
      <c r="F178" s="42"/>
      <c r="G178" s="42"/>
      <c r="H178" s="42"/>
      <c r="I178" s="42"/>
      <c r="J178" s="42">
        <v>2</v>
      </c>
      <c r="K178" s="41" t="s">
        <v>1482</v>
      </c>
      <c r="L178" s="43" t="s">
        <v>566</v>
      </c>
      <c r="M178" s="43"/>
      <c r="N178" s="43"/>
      <c r="O178" s="43"/>
      <c r="P178" s="43"/>
      <c r="Q178" s="43"/>
    </row>
    <row r="179" spans="1:19" x14ac:dyDescent="0.25">
      <c r="A179" s="40">
        <v>177</v>
      </c>
      <c r="B179" s="43" t="s">
        <v>576</v>
      </c>
      <c r="C179" s="40" t="s">
        <v>652</v>
      </c>
      <c r="D179" s="41" t="s">
        <v>1427</v>
      </c>
      <c r="E179" s="41"/>
      <c r="F179" s="42"/>
      <c r="G179" s="42"/>
      <c r="H179" s="42"/>
      <c r="I179" s="42"/>
      <c r="J179" s="42">
        <v>2</v>
      </c>
      <c r="K179" s="41" t="s">
        <v>1476</v>
      </c>
      <c r="L179" s="43" t="s">
        <v>576</v>
      </c>
      <c r="M179" s="43" t="s">
        <v>1476</v>
      </c>
      <c r="N179" s="43" t="s">
        <v>576</v>
      </c>
      <c r="O179" s="43" t="s">
        <v>1573</v>
      </c>
      <c r="P179" s="43"/>
      <c r="Q179" s="43"/>
    </row>
    <row r="180" spans="1:19" x14ac:dyDescent="0.25">
      <c r="A180" s="40">
        <v>178</v>
      </c>
      <c r="B180" s="43" t="s">
        <v>579</v>
      </c>
      <c r="C180" s="40" t="s">
        <v>653</v>
      </c>
      <c r="D180" s="41" t="s">
        <v>1553</v>
      </c>
      <c r="E180" s="41"/>
      <c r="F180" s="42"/>
      <c r="G180" s="42">
        <v>2</v>
      </c>
      <c r="H180" s="42" t="s">
        <v>1478</v>
      </c>
      <c r="I180" s="42" t="s">
        <v>579</v>
      </c>
      <c r="J180" s="42"/>
      <c r="K180" s="41"/>
      <c r="L180" s="43"/>
      <c r="M180" s="43"/>
      <c r="N180" s="43"/>
      <c r="O180" s="43"/>
      <c r="P180" s="43"/>
      <c r="Q180" s="43"/>
    </row>
    <row r="181" spans="1:19" x14ac:dyDescent="0.25">
      <c r="A181" s="40">
        <v>179</v>
      </c>
      <c r="B181" s="43" t="s">
        <v>587</v>
      </c>
      <c r="C181" s="40" t="s">
        <v>654</v>
      </c>
      <c r="D181" s="41" t="s">
        <v>1461</v>
      </c>
      <c r="E181" s="41"/>
      <c r="F181" s="42"/>
      <c r="G181" s="42"/>
      <c r="H181" s="42"/>
      <c r="I181" s="42"/>
      <c r="J181" s="42"/>
      <c r="K181" s="41"/>
      <c r="L181" s="43"/>
      <c r="M181" s="43" t="s">
        <v>1482</v>
      </c>
      <c r="N181" s="43" t="s">
        <v>587</v>
      </c>
      <c r="O181" s="43" t="s">
        <v>1461</v>
      </c>
      <c r="P181" s="43"/>
      <c r="Q181" s="43"/>
    </row>
    <row r="182" spans="1:19" x14ac:dyDescent="0.25">
      <c r="A182" s="40">
        <v>180</v>
      </c>
      <c r="B182" s="40" t="s">
        <v>84</v>
      </c>
      <c r="C182" s="40" t="s">
        <v>1097</v>
      </c>
      <c r="D182" s="41" t="str">
        <f>VLOOKUP(B182,[1]CSG!$B$2:$C$169,2,0)</f>
        <v>CSG-CTNK01</v>
      </c>
      <c r="E182" s="41" t="s">
        <v>812</v>
      </c>
      <c r="F182" s="41"/>
      <c r="G182" s="41"/>
      <c r="H182" s="41"/>
      <c r="I182" s="41"/>
      <c r="J182" s="42"/>
      <c r="K182" s="41"/>
      <c r="L182" s="43"/>
      <c r="M182" s="43"/>
      <c r="N182" s="43"/>
      <c r="O182" s="43"/>
      <c r="P182" s="43"/>
      <c r="Q182" s="43"/>
    </row>
    <row r="183" spans="1:19" x14ac:dyDescent="0.25">
      <c r="A183" s="40">
        <v>181</v>
      </c>
      <c r="B183" s="40" t="s">
        <v>63</v>
      </c>
      <c r="C183" s="40" t="s">
        <v>1098</v>
      </c>
      <c r="D183" s="41" t="s">
        <v>1427</v>
      </c>
      <c r="E183" s="41" t="s">
        <v>1554</v>
      </c>
      <c r="F183" s="42"/>
      <c r="G183" s="42"/>
      <c r="H183" s="42"/>
      <c r="I183" s="42"/>
      <c r="J183" s="42">
        <v>4</v>
      </c>
      <c r="K183" s="41" t="s">
        <v>1491</v>
      </c>
      <c r="L183" s="43" t="s">
        <v>63</v>
      </c>
      <c r="M183" s="43"/>
      <c r="N183" s="43"/>
      <c r="O183" s="43"/>
      <c r="P183" s="43" t="s">
        <v>1568</v>
      </c>
      <c r="Q183" s="43"/>
    </row>
    <row r="184" spans="1:19" x14ac:dyDescent="0.25">
      <c r="A184" s="40">
        <v>182</v>
      </c>
      <c r="B184" s="40" t="s">
        <v>64</v>
      </c>
      <c r="C184" s="40" t="s">
        <v>1099</v>
      </c>
      <c r="D184" s="41" t="str">
        <f>VLOOKUP(B184,[1]CSG!$B$2:$C$169,2,0)</f>
        <v>CSG-CTNK03</v>
      </c>
      <c r="E184" s="41" t="s">
        <v>812</v>
      </c>
      <c r="F184" s="41"/>
      <c r="G184" s="41"/>
      <c r="H184" s="41"/>
      <c r="I184" s="41"/>
      <c r="J184" s="42"/>
      <c r="K184" s="41"/>
      <c r="L184" s="43"/>
      <c r="M184" s="43"/>
      <c r="N184" s="43"/>
      <c r="O184" s="43"/>
      <c r="P184" s="43"/>
      <c r="Q184" s="43"/>
    </row>
    <row r="185" spans="1:19" x14ac:dyDescent="0.25">
      <c r="A185" s="40">
        <v>183</v>
      </c>
      <c r="B185" s="40" t="s">
        <v>90</v>
      </c>
      <c r="C185" s="40" t="s">
        <v>1101</v>
      </c>
      <c r="D185" s="41" t="str">
        <f>VLOOKUP(B185,[1]CSG!$B$2:$C$169,2,0)</f>
        <v>CSG-CTNK04</v>
      </c>
      <c r="E185" s="41" t="s">
        <v>812</v>
      </c>
      <c r="F185" s="41"/>
      <c r="G185" s="41"/>
      <c r="H185" s="41"/>
      <c r="I185" s="41"/>
      <c r="J185" s="42"/>
      <c r="K185" s="41"/>
      <c r="L185" s="43"/>
      <c r="M185" s="43"/>
      <c r="N185" s="43"/>
      <c r="O185" s="43"/>
      <c r="P185" s="43"/>
      <c r="Q185" s="43"/>
    </row>
    <row r="186" spans="1:19" x14ac:dyDescent="0.25">
      <c r="A186" s="40">
        <v>184</v>
      </c>
      <c r="B186" s="40" t="s">
        <v>65</v>
      </c>
      <c r="C186" s="40" t="s">
        <v>1102</v>
      </c>
      <c r="D186" s="41" t="s">
        <v>1427</v>
      </c>
      <c r="E186" s="41"/>
      <c r="F186" s="42"/>
      <c r="G186" s="42"/>
      <c r="H186" s="42"/>
      <c r="I186" s="42"/>
      <c r="J186" s="42">
        <v>4</v>
      </c>
      <c r="K186" s="41" t="s">
        <v>1492</v>
      </c>
      <c r="L186" s="43" t="s">
        <v>65</v>
      </c>
      <c r="M186" s="43"/>
      <c r="N186" s="43"/>
      <c r="O186" s="43"/>
      <c r="P186" s="43" t="s">
        <v>1568</v>
      </c>
      <c r="Q186" s="43" t="s">
        <v>1647</v>
      </c>
      <c r="R186" s="44" t="s">
        <v>1710</v>
      </c>
      <c r="S186" s="44" t="s">
        <v>2336</v>
      </c>
    </row>
    <row r="187" spans="1:19" x14ac:dyDescent="0.25">
      <c r="A187" s="40">
        <v>185</v>
      </c>
      <c r="B187" s="40" t="s">
        <v>91</v>
      </c>
      <c r="C187" s="40" t="s">
        <v>1103</v>
      </c>
      <c r="D187" s="41" t="str">
        <f>VLOOKUP(B187,[1]CSG!$B$2:$C$169,2,0)</f>
        <v>CSG-CTNK06</v>
      </c>
      <c r="E187" s="41" t="s">
        <v>812</v>
      </c>
      <c r="F187" s="41"/>
      <c r="G187" s="41"/>
      <c r="H187" s="41"/>
      <c r="I187" s="41"/>
      <c r="J187" s="42"/>
      <c r="K187" s="41"/>
      <c r="L187" s="43"/>
      <c r="M187" s="43"/>
      <c r="N187" s="43"/>
      <c r="O187" s="43"/>
      <c r="P187" s="43"/>
      <c r="Q187" s="43"/>
    </row>
    <row r="188" spans="1:19" x14ac:dyDescent="0.25">
      <c r="A188" s="40">
        <v>186</v>
      </c>
      <c r="B188" s="40" t="s">
        <v>10</v>
      </c>
      <c r="C188" s="40" t="s">
        <v>1104</v>
      </c>
      <c r="D188" s="41" t="s">
        <v>1559</v>
      </c>
      <c r="E188" s="41" t="s">
        <v>812</v>
      </c>
      <c r="F188" s="42"/>
      <c r="G188" s="42"/>
      <c r="H188" s="42"/>
      <c r="I188" s="42"/>
      <c r="J188" s="42"/>
      <c r="K188" s="41"/>
      <c r="L188" s="43"/>
      <c r="M188" s="43"/>
      <c r="N188" s="43"/>
      <c r="O188" s="43"/>
      <c r="P188" s="43"/>
      <c r="Q188" s="43"/>
    </row>
    <row r="189" spans="1:19" x14ac:dyDescent="0.25">
      <c r="A189" s="40">
        <v>187</v>
      </c>
      <c r="B189" s="40" t="s">
        <v>92</v>
      </c>
      <c r="C189" s="40" t="s">
        <v>1105</v>
      </c>
      <c r="D189" s="41" t="s">
        <v>1560</v>
      </c>
      <c r="E189" s="41" t="s">
        <v>812</v>
      </c>
      <c r="F189" s="42"/>
      <c r="G189" s="42"/>
      <c r="H189" s="42"/>
      <c r="I189" s="42"/>
      <c r="J189" s="42"/>
      <c r="K189" s="41"/>
      <c r="L189" s="43"/>
      <c r="M189" s="43"/>
      <c r="N189" s="43"/>
      <c r="O189" s="43"/>
      <c r="P189" s="43"/>
      <c r="Q189" s="43"/>
    </row>
    <row r="190" spans="1:19" x14ac:dyDescent="0.25">
      <c r="A190" s="40">
        <v>188</v>
      </c>
      <c r="B190" s="40" t="s">
        <v>93</v>
      </c>
      <c r="C190" s="40" t="s">
        <v>1106</v>
      </c>
      <c r="D190" s="41" t="str">
        <f>VLOOKUP(B190,[1]CSG!$B$2:$C$169,2,0)</f>
        <v>CSG-CTNK09</v>
      </c>
      <c r="E190" s="41" t="s">
        <v>812</v>
      </c>
      <c r="F190" s="41"/>
      <c r="G190" s="41"/>
      <c r="H190" s="41"/>
      <c r="I190" s="41"/>
      <c r="J190" s="42"/>
      <c r="K190" s="41"/>
      <c r="L190" s="43"/>
      <c r="M190" s="43"/>
      <c r="N190" s="43"/>
      <c r="O190" s="43"/>
      <c r="P190" s="43"/>
      <c r="Q190" s="43"/>
    </row>
    <row r="191" spans="1:19" x14ac:dyDescent="0.25">
      <c r="A191" s="40">
        <v>189</v>
      </c>
      <c r="B191" s="40" t="s">
        <v>94</v>
      </c>
      <c r="C191" s="40" t="s">
        <v>1107</v>
      </c>
      <c r="D191" s="41" t="s">
        <v>1553</v>
      </c>
      <c r="E191" s="41"/>
      <c r="F191" s="42"/>
      <c r="G191" s="42">
        <v>2</v>
      </c>
      <c r="H191" s="42" t="s">
        <v>1493</v>
      </c>
      <c r="I191" s="42" t="s">
        <v>94</v>
      </c>
      <c r="J191" s="42"/>
      <c r="K191" s="41"/>
      <c r="L191" s="43"/>
      <c r="M191" s="43" t="s">
        <v>1494</v>
      </c>
      <c r="N191" s="43" t="s">
        <v>94</v>
      </c>
      <c r="O191" s="43" t="s">
        <v>1436</v>
      </c>
      <c r="P191" s="43" t="s">
        <v>1568</v>
      </c>
      <c r="Q191" s="43" t="s">
        <v>1647</v>
      </c>
    </row>
    <row r="192" spans="1:19" x14ac:dyDescent="0.25">
      <c r="A192" s="40">
        <v>190</v>
      </c>
      <c r="B192" s="40" t="s">
        <v>131</v>
      </c>
      <c r="C192" s="43" t="s">
        <v>2337</v>
      </c>
      <c r="D192" s="41" t="s">
        <v>1553</v>
      </c>
      <c r="E192" s="41"/>
      <c r="F192" s="42"/>
      <c r="G192" s="42">
        <v>2</v>
      </c>
      <c r="H192" s="42" t="s">
        <v>1558</v>
      </c>
      <c r="I192" s="42" t="s">
        <v>131</v>
      </c>
      <c r="J192" s="42"/>
      <c r="K192" s="41"/>
      <c r="L192" s="43"/>
      <c r="M192" s="43" t="s">
        <v>801</v>
      </c>
      <c r="N192" s="43" t="s">
        <v>131</v>
      </c>
      <c r="O192" s="43" t="s">
        <v>1569</v>
      </c>
      <c r="P192" s="43" t="s">
        <v>1568</v>
      </c>
      <c r="Q192" s="43"/>
    </row>
    <row r="193" spans="1:18" x14ac:dyDescent="0.25">
      <c r="A193" s="40">
        <v>191</v>
      </c>
      <c r="B193" s="40" t="s">
        <v>66</v>
      </c>
      <c r="C193" s="40" t="s">
        <v>1109</v>
      </c>
      <c r="D193" s="41" t="str">
        <f>VLOOKUP(B193,[1]CSG!$B$2:$C$169,2,0)</f>
        <v>CSG-CTNK12</v>
      </c>
      <c r="E193" s="41" t="s">
        <v>812</v>
      </c>
      <c r="F193" s="41"/>
      <c r="G193" s="41"/>
      <c r="H193" s="41"/>
      <c r="I193" s="41"/>
      <c r="J193" s="42"/>
      <c r="K193" s="41"/>
      <c r="L193" s="43"/>
      <c r="M193" s="43"/>
      <c r="N193" s="43"/>
      <c r="O193" s="43"/>
      <c r="P193" s="43"/>
      <c r="Q193" s="43"/>
    </row>
    <row r="194" spans="1:18" x14ac:dyDescent="0.25">
      <c r="A194" s="40">
        <v>192</v>
      </c>
      <c r="B194" s="40" t="s">
        <v>85</v>
      </c>
      <c r="C194" s="40" t="s">
        <v>655</v>
      </c>
      <c r="D194" s="41" t="str">
        <f>VLOOKUP(B194,[1]CSG!$B$2:$C$169,2,0)</f>
        <v>CSG-CTNK13</v>
      </c>
      <c r="E194" s="41" t="s">
        <v>812</v>
      </c>
      <c r="F194" s="41"/>
      <c r="G194" s="41"/>
      <c r="H194" s="41"/>
      <c r="I194" s="41"/>
      <c r="J194" s="42"/>
      <c r="K194" s="41"/>
      <c r="L194" s="43"/>
      <c r="M194" s="43"/>
      <c r="N194" s="43"/>
      <c r="O194" s="43"/>
      <c r="P194" s="43"/>
      <c r="Q194" s="43"/>
    </row>
    <row r="195" spans="1:18" x14ac:dyDescent="0.25">
      <c r="A195" s="40">
        <v>193</v>
      </c>
      <c r="B195" s="40" t="s">
        <v>95</v>
      </c>
      <c r="C195" s="40" t="s">
        <v>1110</v>
      </c>
      <c r="D195" s="41" t="str">
        <f>VLOOKUP(B195,[1]CSG!$B$2:$C$169,2,0)</f>
        <v>CSG-CTNK14</v>
      </c>
      <c r="E195" s="41" t="s">
        <v>812</v>
      </c>
      <c r="F195" s="41"/>
      <c r="G195" s="41"/>
      <c r="H195" s="41"/>
      <c r="I195" s="41"/>
      <c r="J195" s="42"/>
      <c r="K195" s="41"/>
      <c r="L195" s="43"/>
      <c r="M195" s="43"/>
      <c r="N195" s="43"/>
      <c r="O195" s="43"/>
      <c r="P195" s="43"/>
      <c r="Q195" s="43"/>
    </row>
    <row r="196" spans="1:18" x14ac:dyDescent="0.25">
      <c r="A196" s="40">
        <v>194</v>
      </c>
      <c r="B196" s="40" t="s">
        <v>67</v>
      </c>
      <c r="C196" s="40" t="s">
        <v>1111</v>
      </c>
      <c r="D196" s="41" t="str">
        <f>VLOOKUP(B196,[1]CSG!$B$2:$C$169,2,0)</f>
        <v>CSG-CTNK15</v>
      </c>
      <c r="E196" s="41" t="s">
        <v>812</v>
      </c>
      <c r="F196" s="41"/>
      <c r="G196" s="41"/>
      <c r="H196" s="41"/>
      <c r="I196" s="41"/>
      <c r="J196" s="42"/>
      <c r="K196" s="41"/>
      <c r="L196" s="43"/>
      <c r="M196" s="43"/>
      <c r="N196" s="43"/>
      <c r="O196" s="43"/>
      <c r="P196" s="43"/>
      <c r="Q196" s="43"/>
    </row>
    <row r="197" spans="1:18" x14ac:dyDescent="0.25">
      <c r="A197" s="40">
        <v>195</v>
      </c>
      <c r="B197" s="40" t="s">
        <v>68</v>
      </c>
      <c r="C197" s="40" t="s">
        <v>1112</v>
      </c>
      <c r="D197" s="41" t="s">
        <v>1553</v>
      </c>
      <c r="E197" s="41"/>
      <c r="F197" s="42"/>
      <c r="G197" s="42">
        <v>2</v>
      </c>
      <c r="H197" s="42" t="s">
        <v>1496</v>
      </c>
      <c r="I197" s="42" t="s">
        <v>68</v>
      </c>
      <c r="J197" s="42"/>
      <c r="K197" s="41"/>
      <c r="L197" s="43"/>
      <c r="M197" s="43"/>
      <c r="N197" s="43"/>
      <c r="O197" s="43"/>
      <c r="P197" s="43" t="s">
        <v>1568</v>
      </c>
      <c r="Q197" s="43" t="s">
        <v>1647</v>
      </c>
      <c r="R197" s="45" t="s">
        <v>2362</v>
      </c>
    </row>
    <row r="198" spans="1:18" x14ac:dyDescent="0.25">
      <c r="A198" s="40">
        <v>196</v>
      </c>
      <c r="B198" s="40" t="s">
        <v>96</v>
      </c>
      <c r="C198" s="40" t="s">
        <v>1113</v>
      </c>
      <c r="D198" s="41" t="str">
        <f>VLOOKUP(B198,[1]CSG!$B$2:$C$169,2,0)</f>
        <v>CSG-CTNK17</v>
      </c>
      <c r="E198" s="41" t="s">
        <v>812</v>
      </c>
      <c r="F198" s="41"/>
      <c r="G198" s="41"/>
      <c r="H198" s="41"/>
      <c r="I198" s="41"/>
      <c r="J198" s="42"/>
      <c r="K198" s="41"/>
      <c r="L198" s="43"/>
      <c r="M198" s="43"/>
      <c r="N198" s="43"/>
      <c r="O198" s="43"/>
      <c r="P198" s="43"/>
      <c r="Q198" s="43"/>
    </row>
    <row r="199" spans="1:18" x14ac:dyDescent="0.25">
      <c r="A199" s="40">
        <v>197</v>
      </c>
      <c r="B199" s="40" t="s">
        <v>97</v>
      </c>
      <c r="C199" s="40" t="s">
        <v>1114</v>
      </c>
      <c r="D199" s="41" t="str">
        <f>VLOOKUP(B199,[1]CSG!$B$2:$C$169,2,0)</f>
        <v>CSG-CTNK18</v>
      </c>
      <c r="E199" s="41" t="s">
        <v>812</v>
      </c>
      <c r="F199" s="41"/>
      <c r="G199" s="41"/>
      <c r="H199" s="41"/>
      <c r="I199" s="41"/>
      <c r="J199" s="42"/>
      <c r="K199" s="41"/>
      <c r="L199" s="43"/>
      <c r="M199" s="43"/>
      <c r="N199" s="43"/>
      <c r="O199" s="43"/>
      <c r="P199" s="43"/>
      <c r="Q199" s="43" t="s">
        <v>1647</v>
      </c>
    </row>
    <row r="200" spans="1:18" x14ac:dyDescent="0.25">
      <c r="A200" s="40">
        <v>198</v>
      </c>
      <c r="B200" s="40" t="s">
        <v>11</v>
      </c>
      <c r="C200" s="40" t="s">
        <v>1115</v>
      </c>
      <c r="D200" s="41" t="str">
        <f>VLOOKUP(B200,[1]CSG!$B$2:$C$169,2,0)</f>
        <v>CSG-CTNK19</v>
      </c>
      <c r="E200" s="41" t="s">
        <v>812</v>
      </c>
      <c r="F200" s="41"/>
      <c r="G200" s="41"/>
      <c r="H200" s="41"/>
      <c r="I200" s="41"/>
      <c r="J200" s="42"/>
      <c r="K200" s="41"/>
      <c r="L200" s="43"/>
      <c r="M200" s="43"/>
      <c r="N200" s="43"/>
      <c r="O200" s="43"/>
      <c r="P200" s="43"/>
      <c r="Q200" s="43"/>
    </row>
    <row r="201" spans="1:18" x14ac:dyDescent="0.25">
      <c r="A201" s="40">
        <v>199</v>
      </c>
      <c r="B201" s="40" t="s">
        <v>98</v>
      </c>
      <c r="C201" s="40" t="s">
        <v>1116</v>
      </c>
      <c r="D201" s="41" t="s">
        <v>1553</v>
      </c>
      <c r="E201" s="41" t="s">
        <v>1554</v>
      </c>
      <c r="F201" s="42"/>
      <c r="G201" s="42">
        <v>2</v>
      </c>
      <c r="H201" s="42" t="s">
        <v>1497</v>
      </c>
      <c r="I201" s="42" t="s">
        <v>98</v>
      </c>
      <c r="J201" s="42"/>
      <c r="K201" s="41"/>
      <c r="L201" s="43"/>
      <c r="M201" s="43"/>
      <c r="N201" s="43"/>
      <c r="O201" s="43"/>
      <c r="P201" s="43" t="s">
        <v>1568</v>
      </c>
      <c r="Q201" s="43"/>
    </row>
    <row r="202" spans="1:18" x14ac:dyDescent="0.25">
      <c r="A202" s="40">
        <v>200</v>
      </c>
      <c r="B202" s="40" t="s">
        <v>12</v>
      </c>
      <c r="C202" s="40" t="s">
        <v>1117</v>
      </c>
      <c r="D202" s="41" t="s">
        <v>1427</v>
      </c>
      <c r="E202" s="41"/>
      <c r="F202" s="42"/>
      <c r="G202" s="42"/>
      <c r="H202" s="42"/>
      <c r="I202" s="42"/>
      <c r="J202" s="42">
        <v>4</v>
      </c>
      <c r="K202" s="41" t="s">
        <v>1491</v>
      </c>
      <c r="L202" s="43" t="s">
        <v>12</v>
      </c>
      <c r="M202" s="43"/>
      <c r="N202" s="43"/>
      <c r="O202" s="43"/>
      <c r="P202" s="43"/>
      <c r="Q202" s="43"/>
    </row>
    <row r="203" spans="1:18" x14ac:dyDescent="0.25">
      <c r="A203" s="40">
        <v>201</v>
      </c>
      <c r="B203" s="40" t="s">
        <v>69</v>
      </c>
      <c r="C203" s="40" t="s">
        <v>1118</v>
      </c>
      <c r="D203" s="41" t="s">
        <v>1553</v>
      </c>
      <c r="E203" s="41"/>
      <c r="F203" s="42"/>
      <c r="G203" s="42">
        <v>2</v>
      </c>
      <c r="H203" s="42" t="s">
        <v>1496</v>
      </c>
      <c r="I203" s="42" t="s">
        <v>69</v>
      </c>
      <c r="J203" s="42"/>
      <c r="K203" s="41"/>
      <c r="L203" s="43"/>
      <c r="M203" s="43"/>
      <c r="N203" s="43"/>
      <c r="O203" s="43"/>
      <c r="P203" s="43"/>
      <c r="Q203" s="43"/>
    </row>
    <row r="204" spans="1:18" x14ac:dyDescent="0.25">
      <c r="A204" s="40">
        <v>202</v>
      </c>
      <c r="B204" s="40" t="s">
        <v>70</v>
      </c>
      <c r="C204" s="40" t="s">
        <v>1119</v>
      </c>
      <c r="D204" s="41" t="s">
        <v>1427</v>
      </c>
      <c r="E204" s="41"/>
      <c r="F204" s="42"/>
      <c r="G204" s="42"/>
      <c r="H204" s="42"/>
      <c r="I204" s="42"/>
      <c r="J204" s="42">
        <v>4</v>
      </c>
      <c r="K204" s="41" t="s">
        <v>1491</v>
      </c>
      <c r="L204" s="43" t="s">
        <v>70</v>
      </c>
      <c r="M204" s="43"/>
      <c r="N204" s="43"/>
      <c r="O204" s="43"/>
      <c r="P204" s="43"/>
      <c r="Q204" s="43"/>
    </row>
    <row r="205" spans="1:18" x14ac:dyDescent="0.25">
      <c r="A205" s="40">
        <v>203</v>
      </c>
      <c r="B205" s="40" t="s">
        <v>71</v>
      </c>
      <c r="C205" s="40" t="s">
        <v>1120</v>
      </c>
      <c r="D205" s="41" t="s">
        <v>1427</v>
      </c>
      <c r="E205" s="41" t="s">
        <v>2262</v>
      </c>
      <c r="F205" s="42"/>
      <c r="G205" s="42"/>
      <c r="H205" s="42"/>
      <c r="I205" s="42"/>
      <c r="J205" s="42">
        <v>4</v>
      </c>
      <c r="K205" s="41" t="s">
        <v>1491</v>
      </c>
      <c r="L205" s="43" t="s">
        <v>71</v>
      </c>
      <c r="M205" s="43"/>
      <c r="N205" s="43"/>
      <c r="O205" s="43"/>
      <c r="P205" s="43" t="s">
        <v>1568</v>
      </c>
      <c r="Q205" s="43"/>
    </row>
    <row r="206" spans="1:18" x14ac:dyDescent="0.25">
      <c r="A206" s="40">
        <v>204</v>
      </c>
      <c r="B206" s="40" t="s">
        <v>24</v>
      </c>
      <c r="C206" s="40" t="s">
        <v>1121</v>
      </c>
      <c r="D206" s="41" t="str">
        <f>VLOOKUP(B206,[1]CSG!$B$2:$C$169,2,0)</f>
        <v>CSG-CTNK25</v>
      </c>
      <c r="E206" s="41" t="s">
        <v>812</v>
      </c>
      <c r="F206" s="41"/>
      <c r="G206" s="41"/>
      <c r="H206" s="41"/>
      <c r="I206" s="41"/>
      <c r="J206" s="42"/>
      <c r="K206" s="41"/>
      <c r="L206" s="43"/>
      <c r="M206" s="43"/>
      <c r="N206" s="43"/>
      <c r="O206" s="43"/>
      <c r="P206" s="43"/>
      <c r="Q206" s="43"/>
    </row>
    <row r="207" spans="1:18" x14ac:dyDescent="0.25">
      <c r="A207" s="40">
        <v>205</v>
      </c>
      <c r="B207" s="40" t="s">
        <v>25</v>
      </c>
      <c r="C207" s="40" t="s">
        <v>1122</v>
      </c>
      <c r="D207" s="41" t="str">
        <f>VLOOKUP(B207,[1]CSG!$B$2:$C$169,2,0)</f>
        <v>CSG-CTNK26</v>
      </c>
      <c r="E207" s="41" t="s">
        <v>812</v>
      </c>
      <c r="F207" s="41"/>
      <c r="G207" s="41"/>
      <c r="H207" s="41"/>
      <c r="I207" s="41"/>
      <c r="J207" s="42"/>
      <c r="K207" s="41"/>
      <c r="L207" s="43"/>
      <c r="M207" s="43"/>
      <c r="N207" s="43"/>
      <c r="O207" s="43"/>
      <c r="P207" s="43"/>
      <c r="Q207" s="43"/>
    </row>
    <row r="208" spans="1:18" x14ac:dyDescent="0.25">
      <c r="A208" s="40">
        <v>206</v>
      </c>
      <c r="B208" s="40" t="s">
        <v>72</v>
      </c>
      <c r="C208" s="40" t="s">
        <v>1123</v>
      </c>
      <c r="D208" s="41" t="str">
        <f>VLOOKUP(B208,[1]CSG!$B$2:$C$169,2,0)</f>
        <v>CSG-CTNK27</v>
      </c>
      <c r="E208" s="41" t="s">
        <v>812</v>
      </c>
      <c r="F208" s="41"/>
      <c r="G208" s="41"/>
      <c r="H208" s="41"/>
      <c r="I208" s="41"/>
      <c r="J208" s="42"/>
      <c r="K208" s="41"/>
      <c r="L208" s="43"/>
      <c r="M208" s="43"/>
      <c r="N208" s="43"/>
      <c r="O208" s="43"/>
      <c r="P208" s="43"/>
      <c r="Q208" s="43"/>
    </row>
    <row r="209" spans="1:17" x14ac:dyDescent="0.25">
      <c r="A209" s="40">
        <v>207</v>
      </c>
      <c r="B209" s="40" t="s">
        <v>86</v>
      </c>
      <c r="C209" s="40" t="s">
        <v>1124</v>
      </c>
      <c r="D209" s="41" t="s">
        <v>1427</v>
      </c>
      <c r="E209" s="41"/>
      <c r="F209" s="42"/>
      <c r="G209" s="42"/>
      <c r="H209" s="42"/>
      <c r="I209" s="42"/>
      <c r="J209" s="42">
        <v>4</v>
      </c>
      <c r="K209" s="41" t="s">
        <v>1557</v>
      </c>
      <c r="L209" s="43" t="s">
        <v>86</v>
      </c>
      <c r="M209" s="43"/>
      <c r="N209" s="43"/>
      <c r="O209" s="43"/>
      <c r="P209" s="43"/>
      <c r="Q209" s="43"/>
    </row>
    <row r="210" spans="1:17" x14ac:dyDescent="0.25">
      <c r="A210" s="40">
        <v>208</v>
      </c>
      <c r="B210" s="40" t="s">
        <v>124</v>
      </c>
      <c r="C210" s="40" t="s">
        <v>1125</v>
      </c>
      <c r="D210" s="41" t="s">
        <v>1553</v>
      </c>
      <c r="E210" s="41"/>
      <c r="F210" s="42"/>
      <c r="G210" s="42">
        <v>2</v>
      </c>
      <c r="H210" s="42" t="s">
        <v>1499</v>
      </c>
      <c r="I210" s="42" t="s">
        <v>124</v>
      </c>
      <c r="J210" s="42"/>
      <c r="K210" s="41"/>
      <c r="L210" s="43"/>
      <c r="M210" s="43" t="s">
        <v>1441</v>
      </c>
      <c r="N210" s="43" t="s">
        <v>124</v>
      </c>
      <c r="O210" s="43" t="s">
        <v>1436</v>
      </c>
      <c r="P210" s="43" t="s">
        <v>1568</v>
      </c>
      <c r="Q210" s="43" t="s">
        <v>1647</v>
      </c>
    </row>
    <row r="211" spans="1:17" x14ac:dyDescent="0.25">
      <c r="A211" s="40">
        <v>209</v>
      </c>
      <c r="B211" s="40" t="s">
        <v>117</v>
      </c>
      <c r="C211" s="40" t="s">
        <v>1126</v>
      </c>
      <c r="D211" s="41" t="str">
        <f>VLOOKUP(B211,[1]CSG!$B$2:$C$169,2,0)</f>
        <v>CSG-CTNK30</v>
      </c>
      <c r="E211" s="41" t="s">
        <v>812</v>
      </c>
      <c r="F211" s="41"/>
      <c r="G211" s="41"/>
      <c r="H211" s="41"/>
      <c r="I211" s="41"/>
      <c r="J211" s="42"/>
      <c r="K211" s="41"/>
      <c r="L211" s="43"/>
      <c r="M211" s="43"/>
      <c r="N211" s="43"/>
      <c r="O211" s="43"/>
      <c r="P211" s="43"/>
      <c r="Q211" s="43"/>
    </row>
    <row r="212" spans="1:17" x14ac:dyDescent="0.25">
      <c r="A212" s="40">
        <v>210</v>
      </c>
      <c r="B212" s="40" t="s">
        <v>99</v>
      </c>
      <c r="C212" s="40" t="s">
        <v>1127</v>
      </c>
      <c r="D212" s="41" t="str">
        <f>VLOOKUP(B212,[1]CSG!$B$2:$C$169,2,0)</f>
        <v>CSG-CTNK31</v>
      </c>
      <c r="E212" s="41" t="s">
        <v>812</v>
      </c>
      <c r="F212" s="41"/>
      <c r="G212" s="41"/>
      <c r="H212" s="41"/>
      <c r="I212" s="41"/>
      <c r="J212" s="42"/>
      <c r="K212" s="41"/>
      <c r="L212" s="43"/>
      <c r="M212" s="43"/>
      <c r="N212" s="43"/>
      <c r="O212" s="43"/>
      <c r="P212" s="43"/>
      <c r="Q212" s="43"/>
    </row>
    <row r="213" spans="1:17" x14ac:dyDescent="0.25">
      <c r="A213" s="40">
        <v>211</v>
      </c>
      <c r="B213" s="40" t="s">
        <v>100</v>
      </c>
      <c r="C213" s="40" t="s">
        <v>1128</v>
      </c>
      <c r="D213" s="41" t="str">
        <f>VLOOKUP(B213,[1]CSG!$B$2:$C$169,2,0)</f>
        <v>CSG-CTNK32</v>
      </c>
      <c r="E213" s="41" t="s">
        <v>812</v>
      </c>
      <c r="F213" s="41"/>
      <c r="G213" s="41"/>
      <c r="H213" s="41"/>
      <c r="I213" s="41"/>
      <c r="J213" s="42"/>
      <c r="K213" s="41"/>
      <c r="L213" s="43"/>
      <c r="M213" s="43"/>
      <c r="N213" s="43"/>
      <c r="O213" s="43"/>
      <c r="P213" s="43"/>
      <c r="Q213" s="43" t="s">
        <v>1647</v>
      </c>
    </row>
    <row r="214" spans="1:17" x14ac:dyDescent="0.25">
      <c r="A214" s="40">
        <v>212</v>
      </c>
      <c r="B214" s="40" t="s">
        <v>118</v>
      </c>
      <c r="C214" s="40" t="s">
        <v>1129</v>
      </c>
      <c r="D214" s="41" t="str">
        <f>VLOOKUP(B214,[1]CSG!$B$2:$C$169,2,0)</f>
        <v>CSG-CTNK33</v>
      </c>
      <c r="E214" s="41" t="s">
        <v>812</v>
      </c>
      <c r="F214" s="41"/>
      <c r="G214" s="41"/>
      <c r="H214" s="41"/>
      <c r="I214" s="41"/>
      <c r="J214" s="42"/>
      <c r="K214" s="41"/>
      <c r="L214" s="43"/>
      <c r="M214" s="43"/>
      <c r="N214" s="43"/>
      <c r="O214" s="43"/>
      <c r="P214" s="43"/>
      <c r="Q214" s="43"/>
    </row>
    <row r="215" spans="1:17" x14ac:dyDescent="0.25">
      <c r="A215" s="40">
        <v>213</v>
      </c>
      <c r="B215" s="40" t="s">
        <v>101</v>
      </c>
      <c r="C215" s="40" t="s">
        <v>1130</v>
      </c>
      <c r="D215" s="41" t="s">
        <v>1427</v>
      </c>
      <c r="E215" s="41"/>
      <c r="F215" s="42"/>
      <c r="G215" s="42"/>
      <c r="H215" s="42"/>
      <c r="I215" s="42"/>
      <c r="J215" s="42">
        <v>4</v>
      </c>
      <c r="K215" s="41" t="s">
        <v>1500</v>
      </c>
      <c r="L215" s="43" t="s">
        <v>101</v>
      </c>
      <c r="M215" s="43"/>
      <c r="N215" s="43"/>
      <c r="O215" s="43"/>
      <c r="P215" s="43"/>
      <c r="Q215" s="43"/>
    </row>
    <row r="216" spans="1:17" x14ac:dyDescent="0.25">
      <c r="A216" s="40">
        <v>214</v>
      </c>
      <c r="B216" s="40" t="s">
        <v>102</v>
      </c>
      <c r="C216" s="40" t="s">
        <v>1131</v>
      </c>
      <c r="D216" s="41" t="str">
        <f>VLOOKUP(B216,[1]CSG!$B$2:$C$169,2,0)</f>
        <v>CSG-CTNK35</v>
      </c>
      <c r="E216" s="41" t="s">
        <v>812</v>
      </c>
      <c r="F216" s="41"/>
      <c r="G216" s="41"/>
      <c r="H216" s="41"/>
      <c r="I216" s="41"/>
      <c r="J216" s="42"/>
      <c r="K216" s="41"/>
      <c r="L216" s="43"/>
      <c r="M216" s="43"/>
      <c r="N216" s="43"/>
      <c r="O216" s="43"/>
      <c r="P216" s="43"/>
      <c r="Q216" s="43"/>
    </row>
    <row r="217" spans="1:17" x14ac:dyDescent="0.25">
      <c r="A217" s="40">
        <v>215</v>
      </c>
      <c r="B217" s="40" t="s">
        <v>13</v>
      </c>
      <c r="C217" s="40" t="s">
        <v>1132</v>
      </c>
      <c r="D217" s="41" t="s">
        <v>1553</v>
      </c>
      <c r="E217" s="41"/>
      <c r="F217" s="42"/>
      <c r="G217" s="42">
        <v>2</v>
      </c>
      <c r="H217" s="42" t="s">
        <v>1501</v>
      </c>
      <c r="I217" s="42" t="s">
        <v>13</v>
      </c>
      <c r="J217" s="42"/>
      <c r="K217" s="41"/>
      <c r="L217" s="43"/>
      <c r="M217" s="43"/>
      <c r="N217" s="43"/>
      <c r="O217" s="43"/>
      <c r="P217" s="43"/>
      <c r="Q217" s="43"/>
    </row>
    <row r="218" spans="1:17" x14ac:dyDescent="0.25">
      <c r="A218" s="40">
        <v>216</v>
      </c>
      <c r="B218" s="40" t="s">
        <v>73</v>
      </c>
      <c r="C218" s="40" t="s">
        <v>1133</v>
      </c>
      <c r="D218" s="41" t="str">
        <f>VLOOKUP(B218,[1]CSG!$B$2:$C$169,2,0)</f>
        <v>CSG-CTNK37</v>
      </c>
      <c r="E218" s="41" t="s">
        <v>812</v>
      </c>
      <c r="F218" s="41"/>
      <c r="G218" s="41"/>
      <c r="H218" s="41"/>
      <c r="I218" s="41"/>
      <c r="J218" s="42"/>
      <c r="K218" s="41"/>
      <c r="L218" s="43"/>
      <c r="M218" s="43"/>
      <c r="N218" s="43"/>
      <c r="O218" s="43"/>
      <c r="P218" s="43"/>
      <c r="Q218" s="43"/>
    </row>
    <row r="219" spans="1:17" x14ac:dyDescent="0.25">
      <c r="A219" s="40">
        <v>217</v>
      </c>
      <c r="B219" s="40" t="s">
        <v>14</v>
      </c>
      <c r="C219" s="40" t="s">
        <v>1134</v>
      </c>
      <c r="D219" s="41" t="str">
        <f>VLOOKUP(B219,[1]CSG!$B$2:$C$169,2,0)</f>
        <v>CSG-CTNK38</v>
      </c>
      <c r="E219" s="41" t="s">
        <v>812</v>
      </c>
      <c r="F219" s="41"/>
      <c r="G219" s="41"/>
      <c r="H219" s="41"/>
      <c r="I219" s="41"/>
      <c r="J219" s="42"/>
      <c r="K219" s="41"/>
      <c r="L219" s="43"/>
      <c r="M219" s="43"/>
      <c r="N219" s="43"/>
      <c r="O219" s="43"/>
      <c r="P219" s="43"/>
      <c r="Q219" s="43"/>
    </row>
    <row r="220" spans="1:17" x14ac:dyDescent="0.25">
      <c r="A220" s="40">
        <v>218</v>
      </c>
      <c r="B220" s="40" t="s">
        <v>87</v>
      </c>
      <c r="C220" s="40" t="s">
        <v>1136</v>
      </c>
      <c r="D220" s="41" t="str">
        <f>VLOOKUP(B220,[1]CSG!$B$2:$C$169,2,0)</f>
        <v>CSG-CTNK39</v>
      </c>
      <c r="E220" s="41" t="s">
        <v>812</v>
      </c>
      <c r="F220" s="41"/>
      <c r="G220" s="41"/>
      <c r="H220" s="41"/>
      <c r="I220" s="41"/>
      <c r="J220" s="42"/>
      <c r="K220" s="41"/>
      <c r="L220" s="43"/>
      <c r="M220" s="43"/>
      <c r="N220" s="43"/>
      <c r="O220" s="43"/>
      <c r="P220" s="43"/>
      <c r="Q220" s="43"/>
    </row>
    <row r="221" spans="1:17" x14ac:dyDescent="0.25">
      <c r="A221" s="40">
        <v>219</v>
      </c>
      <c r="B221" s="40" t="s">
        <v>74</v>
      </c>
      <c r="C221" s="40" t="s">
        <v>1138</v>
      </c>
      <c r="D221" s="41" t="str">
        <f>VLOOKUP(B221,[1]CSG!$B$2:$C$169,2,0)</f>
        <v>CSG-CTNK40</v>
      </c>
      <c r="E221" s="41" t="s">
        <v>812</v>
      </c>
      <c r="F221" s="41"/>
      <c r="G221" s="41"/>
      <c r="H221" s="41"/>
      <c r="I221" s="41"/>
      <c r="J221" s="42"/>
      <c r="K221" s="41"/>
      <c r="L221" s="43"/>
      <c r="M221" s="43"/>
      <c r="N221" s="43"/>
      <c r="O221" s="43"/>
      <c r="P221" s="43"/>
      <c r="Q221" s="43"/>
    </row>
    <row r="222" spans="1:17" x14ac:dyDescent="0.25">
      <c r="A222" s="40">
        <v>220</v>
      </c>
      <c r="B222" s="40" t="s">
        <v>159</v>
      </c>
      <c r="C222" s="40" t="s">
        <v>1140</v>
      </c>
      <c r="D222" s="41" t="str">
        <f>VLOOKUP(B222,[1]CSG!$B$2:$C$169,2,0)</f>
        <v>CSG-CTNK41</v>
      </c>
      <c r="E222" s="41" t="s">
        <v>812</v>
      </c>
      <c r="F222" s="41"/>
      <c r="G222" s="41"/>
      <c r="H222" s="41"/>
      <c r="I222" s="41"/>
      <c r="J222" s="42"/>
      <c r="K222" s="41"/>
      <c r="L222" s="43"/>
      <c r="M222" s="43"/>
      <c r="N222" s="43"/>
      <c r="O222" s="43"/>
      <c r="P222" s="43"/>
      <c r="Q222" s="43"/>
    </row>
    <row r="223" spans="1:17" x14ac:dyDescent="0.25">
      <c r="A223" s="40">
        <v>221</v>
      </c>
      <c r="B223" s="40" t="s">
        <v>125</v>
      </c>
      <c r="C223" s="40" t="s">
        <v>1141</v>
      </c>
      <c r="D223" s="41" t="str">
        <f>VLOOKUP(B223,[1]CSG!$B$2:$C$169,2,0)</f>
        <v>CSG-CTNK42</v>
      </c>
      <c r="E223" s="41" t="s">
        <v>812</v>
      </c>
      <c r="F223" s="41"/>
      <c r="G223" s="41"/>
      <c r="H223" s="41"/>
      <c r="I223" s="41"/>
      <c r="J223" s="42"/>
      <c r="K223" s="41"/>
      <c r="L223" s="43"/>
      <c r="M223" s="43"/>
      <c r="N223" s="43"/>
      <c r="O223" s="43"/>
      <c r="P223" s="43"/>
      <c r="Q223" s="43"/>
    </row>
    <row r="224" spans="1:17" x14ac:dyDescent="0.25">
      <c r="A224" s="40">
        <v>222</v>
      </c>
      <c r="B224" s="40" t="s">
        <v>75</v>
      </c>
      <c r="C224" s="40" t="s">
        <v>1142</v>
      </c>
      <c r="D224" s="41" t="str">
        <f>VLOOKUP(B224,[1]CSG!$B$2:$C$169,2,0)</f>
        <v>CSG-CTNK43</v>
      </c>
      <c r="E224" s="41" t="s">
        <v>812</v>
      </c>
      <c r="F224" s="41"/>
      <c r="G224" s="41"/>
      <c r="H224" s="41"/>
      <c r="I224" s="41"/>
      <c r="J224" s="42"/>
      <c r="K224" s="41"/>
      <c r="L224" s="43"/>
      <c r="M224" s="43"/>
      <c r="N224" s="43"/>
      <c r="O224" s="43"/>
      <c r="P224" s="43"/>
      <c r="Q224" s="43"/>
    </row>
    <row r="225" spans="1:19" x14ac:dyDescent="0.25">
      <c r="A225" s="40">
        <v>223</v>
      </c>
      <c r="B225" s="40" t="s">
        <v>15</v>
      </c>
      <c r="C225" s="40" t="s">
        <v>1143</v>
      </c>
      <c r="D225" s="41" t="str">
        <f>VLOOKUP(B225,[1]CSG!$B$2:$C$169,2,0)</f>
        <v>CSG-CTNK44</v>
      </c>
      <c r="E225" s="41" t="s">
        <v>812</v>
      </c>
      <c r="F225" s="41"/>
      <c r="G225" s="41"/>
      <c r="H225" s="41"/>
      <c r="I225" s="41"/>
      <c r="J225" s="42"/>
      <c r="K225" s="41"/>
      <c r="L225" s="43"/>
      <c r="M225" s="43"/>
      <c r="N225" s="43"/>
      <c r="O225" s="43"/>
      <c r="P225" s="43"/>
      <c r="Q225" s="43"/>
    </row>
    <row r="226" spans="1:19" x14ac:dyDescent="0.25">
      <c r="A226" s="40">
        <v>224</v>
      </c>
      <c r="B226" s="40" t="s">
        <v>16</v>
      </c>
      <c r="C226" s="40" t="s">
        <v>1145</v>
      </c>
      <c r="D226" s="41" t="str">
        <f>VLOOKUP(B226,[1]CSG!$B$2:$C$169,2,0)</f>
        <v>CSG-CTNK45</v>
      </c>
      <c r="E226" s="41" t="s">
        <v>812</v>
      </c>
      <c r="F226" s="41"/>
      <c r="G226" s="41"/>
      <c r="H226" s="41"/>
      <c r="I226" s="41"/>
      <c r="J226" s="42"/>
      <c r="K226" s="41"/>
      <c r="L226" s="43"/>
      <c r="M226" s="43"/>
      <c r="N226" s="43"/>
      <c r="O226" s="43"/>
      <c r="P226" s="43"/>
      <c r="Q226" s="43"/>
    </row>
    <row r="227" spans="1:19" x14ac:dyDescent="0.25">
      <c r="A227" s="40">
        <v>225</v>
      </c>
      <c r="B227" s="40" t="s">
        <v>17</v>
      </c>
      <c r="C227" s="40" t="s">
        <v>1146</v>
      </c>
      <c r="D227" s="41" t="str">
        <f>VLOOKUP(B227,[1]CSG!$B$2:$C$169,2,0)</f>
        <v>CSG-CTNK46</v>
      </c>
      <c r="E227" s="41" t="s">
        <v>812</v>
      </c>
      <c r="F227" s="41"/>
      <c r="G227" s="41"/>
      <c r="H227" s="41"/>
      <c r="I227" s="41"/>
      <c r="J227" s="42"/>
      <c r="K227" s="41"/>
      <c r="L227" s="43"/>
      <c r="M227" s="43"/>
      <c r="N227" s="43"/>
      <c r="O227" s="43"/>
      <c r="P227" s="43"/>
      <c r="Q227" s="43"/>
    </row>
    <row r="228" spans="1:19" x14ac:dyDescent="0.25">
      <c r="A228" s="40">
        <v>226</v>
      </c>
      <c r="B228" s="40" t="s">
        <v>160</v>
      </c>
      <c r="C228" s="40" t="s">
        <v>1148</v>
      </c>
      <c r="D228" s="41" t="s">
        <v>1553</v>
      </c>
      <c r="E228" s="41" t="s">
        <v>1554</v>
      </c>
      <c r="F228" s="42"/>
      <c r="G228" s="42">
        <v>2</v>
      </c>
      <c r="H228" s="42" t="s">
        <v>1502</v>
      </c>
      <c r="I228" s="42" t="s">
        <v>160</v>
      </c>
      <c r="J228" s="42"/>
      <c r="K228" s="41"/>
      <c r="L228" s="43"/>
      <c r="M228" s="43"/>
      <c r="N228" s="43"/>
      <c r="O228" s="43"/>
      <c r="P228" s="43" t="s">
        <v>1568</v>
      </c>
      <c r="Q228" s="43" t="s">
        <v>1647</v>
      </c>
      <c r="R228" s="44" t="s">
        <v>1710</v>
      </c>
      <c r="S228" s="44" t="s">
        <v>2336</v>
      </c>
    </row>
    <row r="229" spans="1:19" x14ac:dyDescent="0.25">
      <c r="A229" s="40">
        <v>227</v>
      </c>
      <c r="B229" s="40" t="s">
        <v>161</v>
      </c>
      <c r="C229" s="40" t="s">
        <v>656</v>
      </c>
      <c r="D229" s="41" t="s">
        <v>1553</v>
      </c>
      <c r="E229" s="41" t="s">
        <v>1554</v>
      </c>
      <c r="F229" s="42"/>
      <c r="G229" s="42">
        <v>2</v>
      </c>
      <c r="H229" s="42" t="s">
        <v>1441</v>
      </c>
      <c r="I229" s="42" t="s">
        <v>161</v>
      </c>
      <c r="J229" s="42"/>
      <c r="K229" s="41"/>
      <c r="L229" s="43"/>
      <c r="M229" s="43"/>
      <c r="N229" s="43"/>
      <c r="O229" s="43"/>
      <c r="P229" s="43" t="s">
        <v>1568</v>
      </c>
      <c r="Q229" s="43"/>
    </row>
    <row r="230" spans="1:19" x14ac:dyDescent="0.25">
      <c r="A230" s="40">
        <v>228</v>
      </c>
      <c r="B230" s="40" t="s">
        <v>76</v>
      </c>
      <c r="C230" s="40" t="s">
        <v>1149</v>
      </c>
      <c r="D230" s="41" t="s">
        <v>1427</v>
      </c>
      <c r="E230" s="41" t="s">
        <v>1554</v>
      </c>
      <c r="F230" s="42"/>
      <c r="G230" s="42"/>
      <c r="H230" s="42"/>
      <c r="I230" s="42"/>
      <c r="J230" s="42">
        <v>4</v>
      </c>
      <c r="K230" s="41" t="s">
        <v>1491</v>
      </c>
      <c r="L230" s="43" t="s">
        <v>76</v>
      </c>
      <c r="M230" s="43"/>
      <c r="N230" s="43"/>
      <c r="O230" s="43"/>
      <c r="P230" s="43" t="s">
        <v>1568</v>
      </c>
      <c r="Q230" s="43" t="s">
        <v>1647</v>
      </c>
      <c r="R230" s="45" t="s">
        <v>1710</v>
      </c>
    </row>
    <row r="231" spans="1:19" x14ac:dyDescent="0.25">
      <c r="A231" s="40">
        <v>229</v>
      </c>
      <c r="B231" s="40" t="s">
        <v>134</v>
      </c>
      <c r="C231" s="40" t="s">
        <v>834</v>
      </c>
      <c r="D231" s="41" t="s">
        <v>1553</v>
      </c>
      <c r="E231" s="41"/>
      <c r="F231" s="42"/>
      <c r="G231" s="42">
        <v>2</v>
      </c>
      <c r="H231" s="42" t="s">
        <v>800</v>
      </c>
      <c r="I231" s="42" t="s">
        <v>134</v>
      </c>
      <c r="J231" s="42"/>
      <c r="K231" s="41"/>
      <c r="L231" s="43"/>
      <c r="M231" s="43" t="s">
        <v>1441</v>
      </c>
      <c r="N231" s="43" t="s">
        <v>134</v>
      </c>
      <c r="O231" s="43" t="s">
        <v>1436</v>
      </c>
      <c r="P231" s="43" t="s">
        <v>1568</v>
      </c>
      <c r="Q231" s="43"/>
    </row>
    <row r="232" spans="1:19" x14ac:dyDescent="0.25">
      <c r="A232" s="40">
        <v>230</v>
      </c>
      <c r="B232" s="40" t="s">
        <v>119</v>
      </c>
      <c r="C232" s="40" t="s">
        <v>1150</v>
      </c>
      <c r="D232" s="41" t="s">
        <v>1427</v>
      </c>
      <c r="E232" s="41"/>
      <c r="F232" s="42"/>
      <c r="G232" s="42"/>
      <c r="H232" s="42"/>
      <c r="I232" s="42"/>
      <c r="J232" s="42">
        <v>4</v>
      </c>
      <c r="K232" s="41" t="s">
        <v>1441</v>
      </c>
      <c r="L232" s="43" t="s">
        <v>119</v>
      </c>
      <c r="M232" s="43"/>
      <c r="N232" s="43"/>
      <c r="O232" s="43"/>
      <c r="P232" s="43"/>
      <c r="Q232" s="43"/>
    </row>
    <row r="233" spans="1:19" x14ac:dyDescent="0.25">
      <c r="A233" s="40">
        <v>231</v>
      </c>
      <c r="B233" s="40" t="s">
        <v>121</v>
      </c>
      <c r="C233" s="40" t="s">
        <v>1151</v>
      </c>
      <c r="D233" s="41" t="str">
        <f>VLOOKUP(B233,[1]CSG!$B$2:$C$169,2,0)</f>
        <v>CSG-CTNK52</v>
      </c>
      <c r="E233" s="41" t="s">
        <v>812</v>
      </c>
      <c r="F233" s="41"/>
      <c r="G233" s="41"/>
      <c r="H233" s="41"/>
      <c r="I233" s="41"/>
      <c r="J233" s="42"/>
      <c r="K233" s="41"/>
      <c r="L233" s="43"/>
      <c r="M233" s="43"/>
      <c r="N233" s="43"/>
      <c r="O233" s="43"/>
      <c r="P233" s="43"/>
      <c r="Q233" s="43"/>
    </row>
    <row r="234" spans="1:19" x14ac:dyDescent="0.25">
      <c r="A234" s="40">
        <v>232</v>
      </c>
      <c r="B234" s="40" t="s">
        <v>103</v>
      </c>
      <c r="C234" s="40" t="s">
        <v>657</v>
      </c>
      <c r="D234" s="41" t="str">
        <f>VLOOKUP(B234,[1]CSG!$B$2:$C$169,2,0)</f>
        <v>CSG-CTNK53</v>
      </c>
      <c r="E234" s="41" t="s">
        <v>812</v>
      </c>
      <c r="F234" s="41"/>
      <c r="G234" s="41"/>
      <c r="H234" s="41"/>
      <c r="I234" s="41"/>
      <c r="J234" s="42"/>
      <c r="K234" s="41"/>
      <c r="L234" s="43"/>
      <c r="M234" s="43"/>
      <c r="N234" s="43"/>
      <c r="O234" s="43"/>
      <c r="P234" s="43"/>
      <c r="Q234" s="43"/>
    </row>
    <row r="235" spans="1:19" x14ac:dyDescent="0.25">
      <c r="A235" s="40">
        <v>233</v>
      </c>
      <c r="B235" s="40" t="s">
        <v>135</v>
      </c>
      <c r="C235" s="40" t="s">
        <v>1152</v>
      </c>
      <c r="D235" s="41" t="str">
        <f>VLOOKUP(B235,[1]CSG!$B$2:$C$169,2,0)</f>
        <v>CSG-CTNK54</v>
      </c>
      <c r="E235" s="41" t="s">
        <v>812</v>
      </c>
      <c r="F235" s="41"/>
      <c r="G235" s="41"/>
      <c r="H235" s="41"/>
      <c r="I235" s="41"/>
      <c r="J235" s="42"/>
      <c r="K235" s="41"/>
      <c r="L235" s="43"/>
      <c r="M235" s="43"/>
      <c r="N235" s="43"/>
      <c r="O235" s="43"/>
      <c r="P235" s="43"/>
      <c r="Q235" s="43" t="s">
        <v>1647</v>
      </c>
    </row>
    <row r="236" spans="1:19" x14ac:dyDescent="0.25">
      <c r="A236" s="40">
        <v>234</v>
      </c>
      <c r="B236" s="40" t="s">
        <v>77</v>
      </c>
      <c r="C236" s="40" t="s">
        <v>1154</v>
      </c>
      <c r="D236" s="41" t="str">
        <f>VLOOKUP(B236,[1]CSG!$B$2:$C$169,2,0)</f>
        <v>CSG-CTNK55</v>
      </c>
      <c r="E236" s="41" t="s">
        <v>812</v>
      </c>
      <c r="F236" s="41"/>
      <c r="G236" s="41"/>
      <c r="H236" s="41"/>
      <c r="I236" s="41"/>
      <c r="J236" s="42"/>
      <c r="K236" s="41"/>
      <c r="L236" s="43"/>
      <c r="M236" s="43"/>
      <c r="N236" s="43"/>
      <c r="O236" s="43"/>
      <c r="P236" s="43"/>
      <c r="Q236" s="43"/>
    </row>
    <row r="237" spans="1:19" x14ac:dyDescent="0.25">
      <c r="A237" s="40">
        <v>235</v>
      </c>
      <c r="B237" s="40" t="s">
        <v>104</v>
      </c>
      <c r="C237" s="40" t="s">
        <v>1155</v>
      </c>
      <c r="D237" s="41" t="s">
        <v>1553</v>
      </c>
      <c r="E237" s="41"/>
      <c r="F237" s="42"/>
      <c r="G237" s="42">
        <v>2</v>
      </c>
      <c r="H237" s="42" t="s">
        <v>1487</v>
      </c>
      <c r="I237" s="42" t="s">
        <v>104</v>
      </c>
      <c r="J237" s="42"/>
      <c r="K237" s="41"/>
      <c r="L237" s="43"/>
      <c r="M237" s="43" t="s">
        <v>1441</v>
      </c>
      <c r="N237" s="43" t="s">
        <v>104</v>
      </c>
      <c r="O237" s="43" t="s">
        <v>1436</v>
      </c>
      <c r="P237" s="43" t="s">
        <v>1568</v>
      </c>
      <c r="Q237" s="43"/>
    </row>
    <row r="238" spans="1:19" x14ac:dyDescent="0.25">
      <c r="A238" s="40">
        <v>236</v>
      </c>
      <c r="B238" s="40" t="s">
        <v>105</v>
      </c>
      <c r="C238" s="40" t="s">
        <v>1156</v>
      </c>
      <c r="D238" s="41" t="s">
        <v>1427</v>
      </c>
      <c r="E238" s="41"/>
      <c r="F238" s="41"/>
      <c r="G238" s="41"/>
      <c r="H238" s="41"/>
      <c r="I238" s="41"/>
      <c r="J238" s="42">
        <v>2</v>
      </c>
      <c r="K238" s="41" t="s">
        <v>1500</v>
      </c>
      <c r="L238" s="43" t="s">
        <v>105</v>
      </c>
      <c r="M238" s="43"/>
      <c r="N238" s="43"/>
      <c r="O238" s="43"/>
      <c r="P238" s="43"/>
      <c r="Q238" s="43"/>
    </row>
    <row r="239" spans="1:19" x14ac:dyDescent="0.25">
      <c r="A239" s="40">
        <v>237</v>
      </c>
      <c r="B239" s="43" t="s">
        <v>377</v>
      </c>
      <c r="C239" s="40" t="s">
        <v>1158</v>
      </c>
      <c r="D239" s="41" t="s">
        <v>1427</v>
      </c>
      <c r="E239" s="41" t="s">
        <v>1554</v>
      </c>
      <c r="F239" s="42"/>
      <c r="G239" s="42"/>
      <c r="H239" s="42"/>
      <c r="I239" s="42"/>
      <c r="J239" s="42">
        <v>4</v>
      </c>
      <c r="K239" s="41" t="s">
        <v>1441</v>
      </c>
      <c r="L239" s="43" t="s">
        <v>377</v>
      </c>
      <c r="M239" s="43"/>
      <c r="N239" s="43"/>
      <c r="O239" s="43"/>
      <c r="P239" s="43" t="s">
        <v>1568</v>
      </c>
      <c r="Q239" s="43"/>
    </row>
    <row r="240" spans="1:19" x14ac:dyDescent="0.25">
      <c r="A240" s="40">
        <v>238</v>
      </c>
      <c r="B240" s="40" t="s">
        <v>106</v>
      </c>
      <c r="C240" s="40" t="s">
        <v>1159</v>
      </c>
      <c r="D240" s="41" t="s">
        <v>1553</v>
      </c>
      <c r="E240" s="41"/>
      <c r="F240" s="42"/>
      <c r="G240" s="42">
        <v>2</v>
      </c>
      <c r="H240" s="42" t="s">
        <v>801</v>
      </c>
      <c r="I240" s="42" t="s">
        <v>106</v>
      </c>
      <c r="J240" s="42"/>
      <c r="K240" s="41"/>
      <c r="L240" s="43"/>
      <c r="M240" s="43"/>
      <c r="N240" s="43"/>
      <c r="O240" s="43"/>
      <c r="P240" s="43"/>
      <c r="Q240" s="43"/>
    </row>
    <row r="241" spans="1:19" x14ac:dyDescent="0.25">
      <c r="A241" s="40">
        <v>239</v>
      </c>
      <c r="B241" s="40" t="s">
        <v>126</v>
      </c>
      <c r="C241" s="40" t="s">
        <v>1161</v>
      </c>
      <c r="D241" s="41" t="s">
        <v>1553</v>
      </c>
      <c r="E241" s="41" t="s">
        <v>1554</v>
      </c>
      <c r="F241" s="42"/>
      <c r="G241" s="42">
        <v>2</v>
      </c>
      <c r="H241" s="42" t="s">
        <v>1504</v>
      </c>
      <c r="I241" s="42" t="s">
        <v>126</v>
      </c>
      <c r="J241" s="42"/>
      <c r="K241" s="41"/>
      <c r="L241" s="43"/>
      <c r="M241" s="43"/>
      <c r="N241" s="43"/>
      <c r="O241" s="43"/>
      <c r="P241" s="43" t="s">
        <v>1568</v>
      </c>
      <c r="Q241" s="43"/>
    </row>
    <row r="242" spans="1:19" x14ac:dyDescent="0.25">
      <c r="A242" s="40">
        <v>240</v>
      </c>
      <c r="B242" s="40" t="s">
        <v>107</v>
      </c>
      <c r="C242" s="40" t="s">
        <v>1162</v>
      </c>
      <c r="D242" s="41" t="str">
        <f>VLOOKUP(B242,[1]CSG!$B$2:$C$169,2,0)</f>
        <v>CSG-CTNK61</v>
      </c>
      <c r="E242" s="41" t="s">
        <v>812</v>
      </c>
      <c r="F242" s="41"/>
      <c r="G242" s="41"/>
      <c r="H242" s="41"/>
      <c r="I242" s="41"/>
      <c r="J242" s="42"/>
      <c r="K242" s="41"/>
      <c r="L242" s="43"/>
      <c r="M242" s="43"/>
      <c r="N242" s="43"/>
      <c r="O242" s="43"/>
      <c r="P242" s="43"/>
      <c r="Q242" s="43"/>
    </row>
    <row r="243" spans="1:19" x14ac:dyDescent="0.25">
      <c r="A243" s="40">
        <v>241</v>
      </c>
      <c r="B243" s="40" t="s">
        <v>108</v>
      </c>
      <c r="C243" s="40" t="s">
        <v>1163</v>
      </c>
      <c r="D243" s="41" t="str">
        <f>VLOOKUP(B243,[1]CSG!$B$2:$C$169,2,0)</f>
        <v>CSG-CTNK62</v>
      </c>
      <c r="E243" s="41" t="s">
        <v>812</v>
      </c>
      <c r="F243" s="41"/>
      <c r="G243" s="41"/>
      <c r="H243" s="41"/>
      <c r="I243" s="41"/>
      <c r="J243" s="42"/>
      <c r="K243" s="41"/>
      <c r="L243" s="43"/>
      <c r="M243" s="43"/>
      <c r="N243" s="43"/>
      <c r="O243" s="43"/>
      <c r="P243" s="43"/>
      <c r="Q243" s="43"/>
    </row>
    <row r="244" spans="1:19" x14ac:dyDescent="0.25">
      <c r="A244" s="40">
        <v>242</v>
      </c>
      <c r="B244" s="40" t="s">
        <v>78</v>
      </c>
      <c r="C244" s="40" t="s">
        <v>1164</v>
      </c>
      <c r="D244" s="41" t="s">
        <v>1427</v>
      </c>
      <c r="E244" s="41" t="s">
        <v>1554</v>
      </c>
      <c r="F244" s="42"/>
      <c r="G244" s="42"/>
      <c r="H244" s="42"/>
      <c r="I244" s="42"/>
      <c r="J244" s="42">
        <v>2</v>
      </c>
      <c r="K244" s="41" t="s">
        <v>1491</v>
      </c>
      <c r="L244" s="43" t="s">
        <v>78</v>
      </c>
      <c r="M244" s="43"/>
      <c r="N244" s="43"/>
      <c r="O244" s="43"/>
      <c r="P244" s="43"/>
      <c r="Q244" s="43"/>
      <c r="S244" s="44" t="s">
        <v>2422</v>
      </c>
    </row>
    <row r="245" spans="1:19" x14ac:dyDescent="0.25">
      <c r="A245" s="40">
        <v>243</v>
      </c>
      <c r="B245" s="40" t="s">
        <v>88</v>
      </c>
      <c r="C245" s="40" t="s">
        <v>1165</v>
      </c>
      <c r="D245" s="41" t="s">
        <v>1553</v>
      </c>
      <c r="E245" s="41"/>
      <c r="F245" s="42"/>
      <c r="G245" s="42">
        <v>2</v>
      </c>
      <c r="H245" s="42" t="s">
        <v>1503</v>
      </c>
      <c r="I245" s="42" t="s">
        <v>88</v>
      </c>
      <c r="J245" s="42"/>
      <c r="K245" s="41"/>
      <c r="L245" s="43"/>
      <c r="M245" s="43"/>
      <c r="N245" s="43"/>
      <c r="O245" s="43"/>
      <c r="P245" s="43"/>
      <c r="Q245" s="43"/>
    </row>
    <row r="246" spans="1:19" x14ac:dyDescent="0.25">
      <c r="A246" s="40">
        <v>244</v>
      </c>
      <c r="B246" s="40" t="s">
        <v>26</v>
      </c>
      <c r="C246" s="40" t="s">
        <v>1166</v>
      </c>
      <c r="D246" s="41" t="str">
        <f>VLOOKUP(B246,[1]CSG!$B$2:$C$169,2,0)</f>
        <v>CSG-CTNK65</v>
      </c>
      <c r="E246" s="41" t="s">
        <v>812</v>
      </c>
      <c r="F246" s="41"/>
      <c r="G246" s="41"/>
      <c r="H246" s="41"/>
      <c r="I246" s="41"/>
      <c r="J246" s="42"/>
      <c r="K246" s="41"/>
      <c r="L246" s="43"/>
      <c r="M246" s="43"/>
      <c r="N246" s="43"/>
      <c r="O246" s="43"/>
      <c r="P246" s="43"/>
      <c r="Q246" s="43" t="s">
        <v>1647</v>
      </c>
    </row>
    <row r="247" spans="1:19" x14ac:dyDescent="0.25">
      <c r="A247" s="40">
        <v>245</v>
      </c>
      <c r="B247" s="40" t="s">
        <v>132</v>
      </c>
      <c r="C247" s="40" t="s">
        <v>1167</v>
      </c>
      <c r="D247" s="41" t="str">
        <f>VLOOKUP(B247,[1]CSG!$B$2:$C$169,2,0)</f>
        <v>CSG-CTNK66</v>
      </c>
      <c r="E247" s="41" t="s">
        <v>812</v>
      </c>
      <c r="F247" s="41"/>
      <c r="G247" s="41"/>
      <c r="H247" s="41"/>
      <c r="I247" s="41"/>
      <c r="J247" s="42"/>
      <c r="K247" s="41"/>
      <c r="L247" s="43"/>
      <c r="M247" s="43"/>
      <c r="N247" s="43"/>
      <c r="O247" s="43"/>
      <c r="P247" s="43"/>
      <c r="Q247" s="43"/>
    </row>
    <row r="248" spans="1:19" x14ac:dyDescent="0.25">
      <c r="A248" s="40">
        <v>246</v>
      </c>
      <c r="B248" s="40" t="s">
        <v>2</v>
      </c>
      <c r="C248" s="40" t="s">
        <v>658</v>
      </c>
      <c r="D248" s="41" t="s">
        <v>1553</v>
      </c>
      <c r="E248" s="41" t="s">
        <v>1554</v>
      </c>
      <c r="F248" s="42"/>
      <c r="G248" s="42">
        <v>4</v>
      </c>
      <c r="H248" s="42" t="s">
        <v>1491</v>
      </c>
      <c r="I248" s="42" t="s">
        <v>2</v>
      </c>
      <c r="J248" s="42"/>
      <c r="K248" s="41"/>
      <c r="L248" s="43"/>
      <c r="M248" s="43"/>
      <c r="N248" s="43"/>
      <c r="O248" s="43"/>
      <c r="P248" s="43" t="s">
        <v>1568</v>
      </c>
      <c r="Q248" s="43" t="s">
        <v>1647</v>
      </c>
      <c r="R248" s="44" t="s">
        <v>2363</v>
      </c>
    </row>
    <row r="249" spans="1:19" x14ac:dyDescent="0.25">
      <c r="A249" s="40">
        <v>247</v>
      </c>
      <c r="B249" s="40" t="s">
        <v>109</v>
      </c>
      <c r="C249" s="40" t="s">
        <v>1168</v>
      </c>
      <c r="D249" s="41" t="str">
        <f>VLOOKUP(B249,[1]CSG!$B$2:$C$169,2,0)</f>
        <v>CSG-CTNK68</v>
      </c>
      <c r="E249" s="41" t="s">
        <v>812</v>
      </c>
      <c r="F249" s="41"/>
      <c r="G249" s="41"/>
      <c r="H249" s="41"/>
      <c r="I249" s="41"/>
      <c r="J249" s="42"/>
      <c r="K249" s="41"/>
      <c r="L249" s="43"/>
      <c r="M249" s="43"/>
      <c r="N249" s="43"/>
      <c r="O249" s="43"/>
      <c r="P249" s="43"/>
      <c r="Q249" s="43"/>
    </row>
    <row r="250" spans="1:19" x14ac:dyDescent="0.25">
      <c r="A250" s="40">
        <v>248</v>
      </c>
      <c r="B250" s="40" t="s">
        <v>18</v>
      </c>
      <c r="C250" s="40" t="s">
        <v>1170</v>
      </c>
      <c r="D250" s="41" t="str">
        <f>VLOOKUP(B250,[1]CSG!$B$2:$C$169,2,0)</f>
        <v>CSG-CTNK69</v>
      </c>
      <c r="E250" s="41" t="s">
        <v>812</v>
      </c>
      <c r="F250" s="41"/>
      <c r="G250" s="41"/>
      <c r="H250" s="41"/>
      <c r="I250" s="41"/>
      <c r="J250" s="42"/>
      <c r="K250" s="41"/>
      <c r="L250" s="43"/>
      <c r="M250" s="43"/>
      <c r="N250" s="43"/>
      <c r="O250" s="43"/>
      <c r="P250" s="43"/>
      <c r="Q250" s="43"/>
    </row>
    <row r="251" spans="1:19" x14ac:dyDescent="0.25">
      <c r="A251" s="40">
        <v>249</v>
      </c>
      <c r="B251" s="40" t="s">
        <v>79</v>
      </c>
      <c r="C251" s="40" t="s">
        <v>1172</v>
      </c>
      <c r="D251" s="41" t="s">
        <v>1553</v>
      </c>
      <c r="E251" s="41"/>
      <c r="F251" s="42"/>
      <c r="G251" s="42">
        <v>2</v>
      </c>
      <c r="H251" s="42" t="s">
        <v>1505</v>
      </c>
      <c r="I251" s="42" t="s">
        <v>79</v>
      </c>
      <c r="J251" s="42"/>
      <c r="K251" s="41"/>
      <c r="L251" s="43"/>
      <c r="M251" s="43" t="s">
        <v>1498</v>
      </c>
      <c r="N251" s="43" t="s">
        <v>79</v>
      </c>
      <c r="O251" s="43" t="s">
        <v>1436</v>
      </c>
      <c r="P251" s="43" t="s">
        <v>1568</v>
      </c>
      <c r="Q251" s="43"/>
    </row>
    <row r="252" spans="1:19" x14ac:dyDescent="0.25">
      <c r="A252" s="40">
        <v>250</v>
      </c>
      <c r="B252" s="40" t="s">
        <v>19</v>
      </c>
      <c r="C252" s="40" t="s">
        <v>1173</v>
      </c>
      <c r="D252" s="41" t="str">
        <f>VLOOKUP(B252,[1]CSG!$B$2:$C$169,2,0)</f>
        <v>CSG-CTNK71</v>
      </c>
      <c r="E252" s="41" t="s">
        <v>812</v>
      </c>
      <c r="F252" s="41"/>
      <c r="G252" s="41"/>
      <c r="H252" s="41"/>
      <c r="I252" s="41"/>
      <c r="J252" s="42"/>
      <c r="K252" s="41"/>
      <c r="L252" s="43"/>
      <c r="M252" s="43"/>
      <c r="N252" s="43"/>
      <c r="O252" s="43"/>
      <c r="P252" s="43"/>
      <c r="Q252" s="43"/>
    </row>
    <row r="253" spans="1:19" x14ac:dyDescent="0.25">
      <c r="A253" s="40">
        <v>251</v>
      </c>
      <c r="B253" s="40" t="s">
        <v>20</v>
      </c>
      <c r="C253" s="40" t="s">
        <v>1174</v>
      </c>
      <c r="D253" s="41" t="str">
        <f>VLOOKUP(B253,[1]CSG!$B$2:$C$169,2,0)</f>
        <v>CSG-CTNK72</v>
      </c>
      <c r="E253" s="41" t="s">
        <v>812</v>
      </c>
      <c r="F253" s="41"/>
      <c r="G253" s="41"/>
      <c r="H253" s="41"/>
      <c r="I253" s="41"/>
      <c r="J253" s="42"/>
      <c r="K253" s="41"/>
      <c r="L253" s="43"/>
      <c r="M253" s="43"/>
      <c r="N253" s="43"/>
      <c r="O253" s="43"/>
      <c r="P253" s="43"/>
      <c r="Q253" s="43"/>
    </row>
    <row r="254" spans="1:19" x14ac:dyDescent="0.25">
      <c r="A254" s="40">
        <v>252</v>
      </c>
      <c r="B254" s="40" t="s">
        <v>21</v>
      </c>
      <c r="C254" s="40" t="s">
        <v>1176</v>
      </c>
      <c r="D254" s="41" t="s">
        <v>1427</v>
      </c>
      <c r="E254" s="41" t="s">
        <v>1554</v>
      </c>
      <c r="F254" s="42"/>
      <c r="G254" s="42"/>
      <c r="H254" s="42"/>
      <c r="I254" s="42"/>
      <c r="J254" s="42">
        <v>2</v>
      </c>
      <c r="K254" s="41" t="s">
        <v>1507</v>
      </c>
      <c r="L254" s="43" t="s">
        <v>21</v>
      </c>
      <c r="M254" s="43"/>
      <c r="N254" s="43"/>
      <c r="O254" s="43"/>
      <c r="P254" s="43"/>
      <c r="Q254" s="43"/>
    </row>
    <row r="255" spans="1:19" x14ac:dyDescent="0.25">
      <c r="A255" s="40">
        <v>253</v>
      </c>
      <c r="B255" s="40" t="s">
        <v>110</v>
      </c>
      <c r="C255" s="40" t="s">
        <v>1177</v>
      </c>
      <c r="D255" s="41" t="str">
        <f>VLOOKUP(B255,[1]CSG!$B$2:$C$169,2,0)</f>
        <v>CSG-CTNK74</v>
      </c>
      <c r="E255" s="41" t="s">
        <v>812</v>
      </c>
      <c r="F255" s="41"/>
      <c r="G255" s="41"/>
      <c r="H255" s="41"/>
      <c r="I255" s="41"/>
      <c r="J255" s="42"/>
      <c r="K255" s="41"/>
      <c r="L255" s="43"/>
      <c r="M255" s="43"/>
      <c r="N255" s="43"/>
      <c r="O255" s="43"/>
      <c r="P255" s="43"/>
      <c r="Q255" s="43" t="s">
        <v>1647</v>
      </c>
    </row>
    <row r="256" spans="1:19" x14ac:dyDescent="0.25">
      <c r="A256" s="40">
        <v>254</v>
      </c>
      <c r="B256" s="40" t="s">
        <v>111</v>
      </c>
      <c r="C256" s="40" t="s">
        <v>1178</v>
      </c>
      <c r="D256" s="41" t="str">
        <f>VLOOKUP(B256,[1]CSG!$B$2:$C$169,2,0)</f>
        <v>CSG-CTNK75</v>
      </c>
      <c r="E256" s="41" t="s">
        <v>812</v>
      </c>
      <c r="F256" s="41"/>
      <c r="G256" s="41"/>
      <c r="H256" s="41"/>
      <c r="I256" s="41"/>
      <c r="J256" s="42"/>
      <c r="K256" s="41"/>
      <c r="L256" s="43"/>
      <c r="M256" s="43"/>
      <c r="N256" s="43"/>
      <c r="O256" s="43"/>
      <c r="P256" s="43"/>
      <c r="Q256" s="43" t="s">
        <v>1647</v>
      </c>
    </row>
    <row r="257" spans="1:19" x14ac:dyDescent="0.25">
      <c r="A257" s="40">
        <v>255</v>
      </c>
      <c r="B257" s="40" t="s">
        <v>27</v>
      </c>
      <c r="C257" s="40" t="s">
        <v>1179</v>
      </c>
      <c r="D257" s="41" t="str">
        <f>VLOOKUP(B257,[1]CSG!$B$2:$C$169,2,0)</f>
        <v>CSG-CTNK76</v>
      </c>
      <c r="E257" s="41" t="s">
        <v>812</v>
      </c>
      <c r="F257" s="41"/>
      <c r="G257" s="41"/>
      <c r="H257" s="41"/>
      <c r="I257" s="41"/>
      <c r="J257" s="42"/>
      <c r="K257" s="41"/>
      <c r="L257" s="43"/>
      <c r="M257" s="43"/>
      <c r="N257" s="43"/>
      <c r="O257" s="43"/>
      <c r="P257" s="43"/>
      <c r="Q257" s="43"/>
    </row>
    <row r="258" spans="1:19" x14ac:dyDescent="0.25">
      <c r="A258" s="40">
        <v>256</v>
      </c>
      <c r="B258" s="40" t="s">
        <v>133</v>
      </c>
      <c r="C258" s="40" t="s">
        <v>1180</v>
      </c>
      <c r="D258" s="41" t="s">
        <v>1427</v>
      </c>
      <c r="E258" s="41" t="s">
        <v>1554</v>
      </c>
      <c r="F258" s="42"/>
      <c r="G258" s="42"/>
      <c r="H258" s="42"/>
      <c r="I258" s="42"/>
      <c r="J258" s="42">
        <v>4</v>
      </c>
      <c r="K258" s="41" t="s">
        <v>1500</v>
      </c>
      <c r="L258" s="43" t="s">
        <v>133</v>
      </c>
      <c r="M258" s="43"/>
      <c r="N258" s="43"/>
      <c r="O258" s="43"/>
      <c r="P258" s="43" t="s">
        <v>1568</v>
      </c>
      <c r="Q258" s="43"/>
    </row>
    <row r="259" spans="1:19" x14ac:dyDescent="0.25">
      <c r="A259" s="40">
        <v>257</v>
      </c>
      <c r="B259" s="40" t="s">
        <v>22</v>
      </c>
      <c r="C259" s="40" t="s">
        <v>1181</v>
      </c>
      <c r="D259" s="41" t="str">
        <f>VLOOKUP(B259,[1]CSG!$B$2:$C$169,2,0)</f>
        <v>CSG-CTNK78</v>
      </c>
      <c r="E259" s="41" t="s">
        <v>812</v>
      </c>
      <c r="F259" s="41"/>
      <c r="G259" s="41"/>
      <c r="H259" s="41"/>
      <c r="I259" s="41"/>
      <c r="J259" s="42"/>
      <c r="K259" s="41"/>
      <c r="L259" s="43"/>
      <c r="M259" s="43"/>
      <c r="N259" s="43"/>
      <c r="O259" s="43"/>
      <c r="P259" s="43"/>
      <c r="Q259" s="43" t="s">
        <v>1647</v>
      </c>
    </row>
    <row r="260" spans="1:19" x14ac:dyDescent="0.25">
      <c r="A260" s="40">
        <v>258</v>
      </c>
      <c r="B260" s="40" t="s">
        <v>23</v>
      </c>
      <c r="C260" s="40" t="s">
        <v>1182</v>
      </c>
      <c r="D260" s="41" t="s">
        <v>1427</v>
      </c>
      <c r="E260" s="41" t="s">
        <v>1554</v>
      </c>
      <c r="F260" s="42"/>
      <c r="G260" s="42"/>
      <c r="H260" s="42"/>
      <c r="I260" s="42"/>
      <c r="J260" s="42">
        <v>2</v>
      </c>
      <c r="K260" s="41" t="s">
        <v>1563</v>
      </c>
      <c r="L260" s="43" t="s">
        <v>23</v>
      </c>
      <c r="M260" s="43"/>
      <c r="N260" s="43"/>
      <c r="O260" s="43"/>
      <c r="P260" s="43"/>
      <c r="Q260" s="43"/>
      <c r="R260" s="44" t="s">
        <v>1711</v>
      </c>
      <c r="S260" s="44" t="s">
        <v>2422</v>
      </c>
    </row>
    <row r="261" spans="1:19" x14ac:dyDescent="0.25">
      <c r="A261" s="40">
        <v>259</v>
      </c>
      <c r="B261" s="40" t="s">
        <v>112</v>
      </c>
      <c r="C261" s="40" t="s">
        <v>1183</v>
      </c>
      <c r="D261" s="41" t="s">
        <v>1427</v>
      </c>
      <c r="E261" s="41" t="s">
        <v>1554</v>
      </c>
      <c r="F261" s="42"/>
      <c r="G261" s="42"/>
      <c r="H261" s="42"/>
      <c r="I261" s="42"/>
      <c r="J261" s="42">
        <v>4</v>
      </c>
      <c r="K261" s="41" t="s">
        <v>1441</v>
      </c>
      <c r="L261" s="43" t="s">
        <v>112</v>
      </c>
      <c r="M261" s="43"/>
      <c r="N261" s="43"/>
      <c r="O261" s="43"/>
      <c r="P261" s="43" t="s">
        <v>1568</v>
      </c>
      <c r="Q261" s="43"/>
    </row>
    <row r="262" spans="1:19" x14ac:dyDescent="0.25">
      <c r="A262" s="40">
        <v>260</v>
      </c>
      <c r="B262" s="40" t="s">
        <v>113</v>
      </c>
      <c r="C262" s="40" t="s">
        <v>835</v>
      </c>
      <c r="D262" s="41" t="s">
        <v>1553</v>
      </c>
      <c r="E262" s="41"/>
      <c r="F262" s="42"/>
      <c r="G262" s="42">
        <v>2</v>
      </c>
      <c r="H262" s="42" t="s">
        <v>799</v>
      </c>
      <c r="I262" s="42" t="s">
        <v>113</v>
      </c>
      <c r="J262" s="42"/>
      <c r="K262" s="41"/>
      <c r="L262" s="43"/>
      <c r="M262" s="43" t="s">
        <v>1498</v>
      </c>
      <c r="N262" s="43" t="s">
        <v>113</v>
      </c>
      <c r="O262" s="43" t="s">
        <v>2420</v>
      </c>
      <c r="P262" s="43" t="s">
        <v>1568</v>
      </c>
      <c r="Q262" s="43" t="s">
        <v>2421</v>
      </c>
    </row>
    <row r="263" spans="1:19" x14ac:dyDescent="0.25">
      <c r="A263" s="40">
        <v>261</v>
      </c>
      <c r="B263" s="40" t="s">
        <v>114</v>
      </c>
      <c r="C263" s="40" t="s">
        <v>836</v>
      </c>
      <c r="D263" s="41" t="s">
        <v>1553</v>
      </c>
      <c r="E263" s="41"/>
      <c r="F263" s="42"/>
      <c r="G263" s="42">
        <v>2</v>
      </c>
      <c r="H263" s="42" t="s">
        <v>801</v>
      </c>
      <c r="I263" s="42" t="s">
        <v>114</v>
      </c>
      <c r="J263" s="42"/>
      <c r="K263" s="41"/>
      <c r="L263" s="43"/>
      <c r="M263" s="43"/>
      <c r="N263" s="43"/>
      <c r="O263" s="43"/>
      <c r="P263" s="43"/>
      <c r="Q263" s="43" t="s">
        <v>1647</v>
      </c>
    </row>
    <row r="264" spans="1:19" x14ac:dyDescent="0.25">
      <c r="A264" s="40">
        <v>262</v>
      </c>
      <c r="B264" s="40" t="s">
        <v>120</v>
      </c>
      <c r="C264" s="40" t="s">
        <v>1185</v>
      </c>
      <c r="D264" s="41" t="str">
        <f>VLOOKUP(B264,[1]CSG!$B$2:$C$169,2,0)</f>
        <v>CSG-CTNK83</v>
      </c>
      <c r="E264" s="41" t="s">
        <v>812</v>
      </c>
      <c r="F264" s="41"/>
      <c r="G264" s="41"/>
      <c r="H264" s="41"/>
      <c r="I264" s="41"/>
      <c r="J264" s="42"/>
      <c r="K264" s="41"/>
      <c r="L264" s="43"/>
      <c r="M264" s="43"/>
      <c r="N264" s="43"/>
      <c r="O264" s="43"/>
      <c r="P264" s="43"/>
      <c r="Q264" s="43" t="s">
        <v>1647</v>
      </c>
    </row>
    <row r="265" spans="1:19" x14ac:dyDescent="0.25">
      <c r="A265" s="40">
        <v>263</v>
      </c>
      <c r="B265" s="40" t="s">
        <v>115</v>
      </c>
      <c r="C265" s="40" t="s">
        <v>1186</v>
      </c>
      <c r="D265" s="41" t="s">
        <v>1553</v>
      </c>
      <c r="E265" s="41" t="s">
        <v>1554</v>
      </c>
      <c r="F265" s="42"/>
      <c r="G265" s="42">
        <v>2</v>
      </c>
      <c r="H265" s="42" t="s">
        <v>1506</v>
      </c>
      <c r="I265" s="42" t="s">
        <v>115</v>
      </c>
      <c r="J265" s="42"/>
      <c r="K265" s="41"/>
      <c r="L265" s="43"/>
      <c r="M265" s="43"/>
      <c r="N265" s="43"/>
      <c r="O265" s="43"/>
      <c r="P265" s="43" t="s">
        <v>1568</v>
      </c>
      <c r="Q265" s="43"/>
    </row>
    <row r="266" spans="1:19" x14ac:dyDescent="0.25">
      <c r="A266" s="40">
        <v>264</v>
      </c>
      <c r="B266" s="40" t="s">
        <v>136</v>
      </c>
      <c r="C266" s="40" t="s">
        <v>1187</v>
      </c>
      <c r="D266" s="41" t="str">
        <f>VLOOKUP(B266,[1]CSG!$B$2:$C$169,2,0)</f>
        <v>CSG-CTNK85</v>
      </c>
      <c r="E266" s="41" t="s">
        <v>812</v>
      </c>
      <c r="F266" s="41"/>
      <c r="G266" s="41"/>
      <c r="H266" s="41"/>
      <c r="I266" s="41"/>
      <c r="J266" s="42"/>
      <c r="K266" s="41"/>
      <c r="L266" s="43"/>
      <c r="M266" s="43"/>
      <c r="N266" s="43"/>
      <c r="O266" s="43"/>
      <c r="P266" s="43"/>
      <c r="Q266" s="43"/>
    </row>
    <row r="267" spans="1:19" x14ac:dyDescent="0.25">
      <c r="A267" s="40">
        <v>265</v>
      </c>
      <c r="B267" s="40" t="s">
        <v>116</v>
      </c>
      <c r="C267" s="40" t="s">
        <v>1188</v>
      </c>
      <c r="D267" s="41" t="str">
        <f>VLOOKUP(B267,[1]CSG!$B$2:$C$169,2,0)</f>
        <v>CSG-CTNK86</v>
      </c>
      <c r="E267" s="41" t="s">
        <v>812</v>
      </c>
      <c r="F267" s="41"/>
      <c r="G267" s="41"/>
      <c r="H267" s="41"/>
      <c r="I267" s="41"/>
      <c r="J267" s="42"/>
      <c r="K267" s="41"/>
      <c r="L267" s="43"/>
      <c r="M267" s="43"/>
      <c r="N267" s="43"/>
      <c r="O267" s="43"/>
      <c r="P267" s="43"/>
      <c r="Q267" s="43"/>
    </row>
    <row r="268" spans="1:19" x14ac:dyDescent="0.25">
      <c r="A268" s="40">
        <v>266</v>
      </c>
      <c r="B268" s="40" t="s">
        <v>162</v>
      </c>
      <c r="C268" s="40" t="s">
        <v>1189</v>
      </c>
      <c r="D268" s="41" t="s">
        <v>1427</v>
      </c>
      <c r="E268" s="41" t="s">
        <v>1554</v>
      </c>
      <c r="F268" s="42"/>
      <c r="G268" s="42"/>
      <c r="H268" s="42"/>
      <c r="I268" s="42"/>
      <c r="J268" s="42">
        <v>4</v>
      </c>
      <c r="K268" s="41" t="s">
        <v>1441</v>
      </c>
      <c r="L268" s="43" t="s">
        <v>162</v>
      </c>
      <c r="M268" s="43"/>
      <c r="N268" s="43"/>
      <c r="O268" s="43"/>
      <c r="P268" s="43" t="s">
        <v>1568</v>
      </c>
      <c r="Q268" s="43"/>
    </row>
    <row r="269" spans="1:19" x14ac:dyDescent="0.25">
      <c r="A269" s="40">
        <v>267</v>
      </c>
      <c r="B269" s="40" t="s">
        <v>35</v>
      </c>
      <c r="C269" s="40" t="s">
        <v>1190</v>
      </c>
      <c r="D269" s="41" t="str">
        <f>VLOOKUP(B269,[1]CSG!$B$2:$C$169,2,0)</f>
        <v>CSG-CTNK88</v>
      </c>
      <c r="E269" s="41" t="s">
        <v>812</v>
      </c>
      <c r="F269" s="41"/>
      <c r="G269" s="41"/>
      <c r="H269" s="41"/>
      <c r="I269" s="41"/>
      <c r="J269" s="42"/>
      <c r="K269" s="41"/>
      <c r="L269" s="43"/>
      <c r="M269" s="43"/>
      <c r="N269" s="43"/>
      <c r="O269" s="43"/>
      <c r="P269" s="43"/>
      <c r="Q269" s="43" t="s">
        <v>1647</v>
      </c>
    </row>
    <row r="270" spans="1:19" x14ac:dyDescent="0.25">
      <c r="A270" s="40">
        <v>268</v>
      </c>
      <c r="B270" s="40" t="s">
        <v>137</v>
      </c>
      <c r="C270" s="40" t="s">
        <v>1192</v>
      </c>
      <c r="D270" s="41" t="str">
        <f>VLOOKUP(B270,[1]CSG!$B$2:$C$169,2,0)</f>
        <v>CSG-CTNK89</v>
      </c>
      <c r="E270" s="41" t="s">
        <v>812</v>
      </c>
      <c r="F270" s="41"/>
      <c r="G270" s="41"/>
      <c r="H270" s="41"/>
      <c r="I270" s="41"/>
      <c r="J270" s="42"/>
      <c r="K270" s="41"/>
      <c r="L270" s="43"/>
      <c r="M270" s="43"/>
      <c r="N270" s="43"/>
      <c r="O270" s="43"/>
      <c r="P270" s="43"/>
      <c r="Q270" s="43"/>
    </row>
    <row r="271" spans="1:19" x14ac:dyDescent="0.25">
      <c r="A271" s="40">
        <v>269</v>
      </c>
      <c r="B271" s="40" t="s">
        <v>138</v>
      </c>
      <c r="C271" s="40" t="s">
        <v>1193</v>
      </c>
      <c r="D271" s="41" t="s">
        <v>1553</v>
      </c>
      <c r="E271" s="41"/>
      <c r="F271" s="42"/>
      <c r="G271" s="42">
        <v>2</v>
      </c>
      <c r="H271" s="42" t="s">
        <v>1499</v>
      </c>
      <c r="I271" s="42" t="s">
        <v>138</v>
      </c>
      <c r="J271" s="42"/>
      <c r="K271" s="41"/>
      <c r="L271" s="43"/>
      <c r="M271" s="43"/>
      <c r="N271" s="43"/>
      <c r="O271" s="43"/>
      <c r="P271" s="43"/>
      <c r="Q271" s="43"/>
    </row>
    <row r="272" spans="1:19" x14ac:dyDescent="0.25">
      <c r="A272" s="40">
        <v>270</v>
      </c>
      <c r="B272" s="40" t="s">
        <v>139</v>
      </c>
      <c r="C272" s="40" t="s">
        <v>1195</v>
      </c>
      <c r="D272" s="41" t="str">
        <f>VLOOKUP(B272,[1]CSG!$B$2:$C$169,2,0)</f>
        <v>CSG-CTNK91</v>
      </c>
      <c r="E272" s="41" t="s">
        <v>812</v>
      </c>
      <c r="F272" s="41"/>
      <c r="G272" s="41"/>
      <c r="H272" s="41"/>
      <c r="I272" s="41"/>
      <c r="J272" s="42"/>
      <c r="K272" s="41"/>
      <c r="L272" s="43"/>
      <c r="M272" s="43"/>
      <c r="N272" s="43"/>
      <c r="O272" s="43"/>
      <c r="P272" s="43"/>
      <c r="Q272" s="43" t="s">
        <v>1647</v>
      </c>
    </row>
    <row r="273" spans="1:18" x14ac:dyDescent="0.25">
      <c r="A273" s="40">
        <v>271</v>
      </c>
      <c r="B273" s="40" t="s">
        <v>140</v>
      </c>
      <c r="C273" s="40" t="s">
        <v>1196</v>
      </c>
      <c r="D273" s="41" t="s">
        <v>1427</v>
      </c>
      <c r="E273" s="41" t="s">
        <v>1554</v>
      </c>
      <c r="F273" s="42"/>
      <c r="G273" s="42"/>
      <c r="H273" s="42"/>
      <c r="I273" s="42"/>
      <c r="J273" s="42">
        <v>4</v>
      </c>
      <c r="K273" s="41" t="s">
        <v>1441</v>
      </c>
      <c r="L273" s="43" t="s">
        <v>140</v>
      </c>
      <c r="M273" s="43"/>
      <c r="N273" s="43"/>
      <c r="O273" s="43"/>
      <c r="P273" s="43" t="s">
        <v>1568</v>
      </c>
      <c r="Q273" s="43"/>
    </row>
    <row r="274" spans="1:18" x14ac:dyDescent="0.25">
      <c r="A274" s="40">
        <v>272</v>
      </c>
      <c r="B274" s="40" t="s">
        <v>36</v>
      </c>
      <c r="C274" s="40" t="s">
        <v>1197</v>
      </c>
      <c r="D274" s="41" t="s">
        <v>1427</v>
      </c>
      <c r="E274" s="41"/>
      <c r="F274" s="41"/>
      <c r="G274" s="41"/>
      <c r="H274" s="41"/>
      <c r="I274" s="41"/>
      <c r="J274" s="42">
        <v>2</v>
      </c>
      <c r="K274" s="41" t="s">
        <v>1507</v>
      </c>
      <c r="L274" s="43" t="s">
        <v>36</v>
      </c>
      <c r="M274" s="43"/>
      <c r="N274" s="43"/>
      <c r="O274" s="43"/>
      <c r="P274" s="43"/>
      <c r="Q274" s="43"/>
    </row>
    <row r="275" spans="1:18" x14ac:dyDescent="0.25">
      <c r="A275" s="40">
        <v>273</v>
      </c>
      <c r="B275" s="43" t="s">
        <v>383</v>
      </c>
      <c r="C275" s="40" t="s">
        <v>1198</v>
      </c>
      <c r="D275" s="41" t="s">
        <v>1427</v>
      </c>
      <c r="E275" s="41" t="s">
        <v>1554</v>
      </c>
      <c r="F275" s="42"/>
      <c r="G275" s="42"/>
      <c r="H275" s="42"/>
      <c r="I275" s="42"/>
      <c r="J275" s="42">
        <v>4</v>
      </c>
      <c r="K275" s="41" t="s">
        <v>1491</v>
      </c>
      <c r="L275" s="43" t="s">
        <v>383</v>
      </c>
      <c r="M275" s="43"/>
      <c r="N275" s="43"/>
      <c r="O275" s="43"/>
      <c r="P275" s="43" t="s">
        <v>1568</v>
      </c>
      <c r="Q275" s="43"/>
    </row>
    <row r="276" spans="1:18" x14ac:dyDescent="0.25">
      <c r="A276" s="40">
        <v>274</v>
      </c>
      <c r="B276" s="43" t="s">
        <v>384</v>
      </c>
      <c r="C276" s="40" t="s">
        <v>1199</v>
      </c>
      <c r="D276" s="41" t="s">
        <v>1427</v>
      </c>
      <c r="E276" s="41"/>
      <c r="F276" s="42"/>
      <c r="G276" s="42"/>
      <c r="H276" s="42"/>
      <c r="I276" s="42"/>
      <c r="J276" s="42">
        <v>4</v>
      </c>
      <c r="K276" s="41" t="s">
        <v>1564</v>
      </c>
      <c r="L276" s="43" t="s">
        <v>384</v>
      </c>
      <c r="M276" s="43"/>
      <c r="N276" s="43"/>
      <c r="O276" s="43"/>
      <c r="P276" s="43"/>
      <c r="Q276" s="43"/>
    </row>
    <row r="277" spans="1:18" x14ac:dyDescent="0.25">
      <c r="A277" s="40">
        <v>275</v>
      </c>
      <c r="B277" s="43" t="s">
        <v>424</v>
      </c>
      <c r="C277" s="40" t="s">
        <v>1200</v>
      </c>
      <c r="D277" s="41" t="s">
        <v>2364</v>
      </c>
      <c r="E277" s="41"/>
      <c r="F277" s="42" t="s">
        <v>2365</v>
      </c>
      <c r="G277" s="42"/>
      <c r="H277" s="42"/>
      <c r="I277" s="42"/>
      <c r="J277" s="42"/>
      <c r="K277" s="41"/>
      <c r="L277" s="43"/>
      <c r="M277" s="43"/>
      <c r="N277" s="43"/>
      <c r="O277" s="43"/>
      <c r="P277" s="43"/>
      <c r="Q277" s="43"/>
    </row>
    <row r="278" spans="1:18" x14ac:dyDescent="0.25">
      <c r="A278" s="40">
        <v>276</v>
      </c>
      <c r="B278" s="43" t="s">
        <v>390</v>
      </c>
      <c r="C278" s="40" t="s">
        <v>1201</v>
      </c>
      <c r="D278" s="41" t="str">
        <f>VLOOKUP(B278,[1]CSG!$B$2:$C$169,2,0)</f>
        <v>CSG-CTNK97</v>
      </c>
      <c r="E278" s="41" t="s">
        <v>812</v>
      </c>
      <c r="F278" s="41"/>
      <c r="G278" s="41"/>
      <c r="H278" s="41"/>
      <c r="I278" s="41"/>
      <c r="J278" s="42"/>
      <c r="K278" s="41"/>
      <c r="L278" s="43"/>
      <c r="M278" s="43"/>
      <c r="N278" s="43"/>
      <c r="O278" s="43"/>
      <c r="P278" s="43"/>
      <c r="Q278" s="43"/>
    </row>
    <row r="279" spans="1:18" x14ac:dyDescent="0.25">
      <c r="A279" s="40">
        <v>277</v>
      </c>
      <c r="B279" s="43" t="s">
        <v>391</v>
      </c>
      <c r="C279" s="40" t="s">
        <v>1202</v>
      </c>
      <c r="D279" s="41" t="s">
        <v>1427</v>
      </c>
      <c r="E279" s="41"/>
      <c r="F279" s="42"/>
      <c r="G279" s="42"/>
      <c r="H279" s="42"/>
      <c r="I279" s="42"/>
      <c r="J279" s="42">
        <v>4</v>
      </c>
      <c r="K279" s="41" t="s">
        <v>1480</v>
      </c>
      <c r="L279" s="43" t="s">
        <v>391</v>
      </c>
      <c r="M279" s="43"/>
      <c r="N279" s="43"/>
      <c r="O279" s="43"/>
      <c r="P279" s="43"/>
      <c r="Q279" s="43"/>
    </row>
    <row r="280" spans="1:18" x14ac:dyDescent="0.25">
      <c r="A280" s="40">
        <v>278</v>
      </c>
      <c r="B280" s="43" t="s">
        <v>438</v>
      </c>
      <c r="C280" s="40" t="s">
        <v>1203</v>
      </c>
      <c r="D280" s="41" t="str">
        <f>VLOOKUP(B280,[1]CSG!$B$2:$C$169,2,0)</f>
        <v>CSG-CTNK99</v>
      </c>
      <c r="E280" s="41" t="s">
        <v>812</v>
      </c>
      <c r="F280" s="41"/>
      <c r="G280" s="41"/>
      <c r="H280" s="41"/>
      <c r="I280" s="41"/>
      <c r="J280" s="42"/>
      <c r="K280" s="41"/>
      <c r="L280" s="43"/>
      <c r="M280" s="43"/>
      <c r="N280" s="43"/>
      <c r="O280" s="43"/>
      <c r="P280" s="43"/>
      <c r="Q280" s="43"/>
    </row>
    <row r="281" spans="1:18" x14ac:dyDescent="0.25">
      <c r="A281" s="40">
        <v>279</v>
      </c>
      <c r="B281" s="43" t="s">
        <v>449</v>
      </c>
      <c r="C281" s="40" t="s">
        <v>1204</v>
      </c>
      <c r="D281" s="41" t="s">
        <v>1427</v>
      </c>
      <c r="E281" s="41"/>
      <c r="F281" s="42"/>
      <c r="G281" s="42"/>
      <c r="H281" s="42"/>
      <c r="I281" s="42"/>
      <c r="J281" s="42">
        <v>4</v>
      </c>
      <c r="K281" s="41" t="s">
        <v>1491</v>
      </c>
      <c r="L281" s="43" t="s">
        <v>449</v>
      </c>
      <c r="M281" s="43"/>
      <c r="N281" s="43"/>
      <c r="O281" s="43"/>
      <c r="P281" s="43"/>
      <c r="Q281" s="43"/>
    </row>
    <row r="282" spans="1:18" x14ac:dyDescent="0.25">
      <c r="A282" s="40">
        <v>280</v>
      </c>
      <c r="B282" s="43" t="s">
        <v>547</v>
      </c>
      <c r="C282" s="40" t="s">
        <v>1411</v>
      </c>
      <c r="D282" s="41" t="s">
        <v>1427</v>
      </c>
      <c r="E282" s="41"/>
      <c r="F282" s="42"/>
      <c r="G282" s="42"/>
      <c r="H282" s="42"/>
      <c r="I282" s="42"/>
      <c r="J282" s="42">
        <v>4</v>
      </c>
      <c r="K282" s="41" t="s">
        <v>1455</v>
      </c>
      <c r="L282" s="43" t="s">
        <v>547</v>
      </c>
      <c r="M282" s="43"/>
      <c r="N282" s="43"/>
      <c r="O282" s="43"/>
      <c r="P282" s="43"/>
      <c r="Q282" s="43"/>
    </row>
    <row r="283" spans="1:18" x14ac:dyDescent="0.25">
      <c r="A283" s="40">
        <v>281</v>
      </c>
      <c r="B283" s="43" t="s">
        <v>588</v>
      </c>
      <c r="C283" s="40" t="s">
        <v>1412</v>
      </c>
      <c r="D283" s="41" t="s">
        <v>1427</v>
      </c>
      <c r="E283" s="41"/>
      <c r="F283" s="42"/>
      <c r="G283" s="42"/>
      <c r="H283" s="42"/>
      <c r="I283" s="42"/>
      <c r="J283" s="42">
        <v>2</v>
      </c>
      <c r="K283" s="41" t="s">
        <v>1503</v>
      </c>
      <c r="L283" s="43" t="s">
        <v>588</v>
      </c>
      <c r="M283" s="43"/>
      <c r="N283" s="43"/>
      <c r="O283" s="43"/>
      <c r="P283" s="43"/>
      <c r="Q283" s="43"/>
    </row>
    <row r="284" spans="1:18" x14ac:dyDescent="0.25">
      <c r="A284" s="40">
        <v>282</v>
      </c>
      <c r="B284" s="43" t="s">
        <v>546</v>
      </c>
      <c r="C284" s="40" t="s">
        <v>1205</v>
      </c>
      <c r="D284" s="41" t="s">
        <v>1427</v>
      </c>
      <c r="E284" s="41"/>
      <c r="F284" s="42"/>
      <c r="G284" s="42"/>
      <c r="H284" s="42"/>
      <c r="I284" s="42"/>
      <c r="J284" s="42">
        <v>2</v>
      </c>
      <c r="K284" s="41" t="s">
        <v>1503</v>
      </c>
      <c r="L284" s="43" t="s">
        <v>546</v>
      </c>
      <c r="M284" s="43"/>
      <c r="N284" s="43"/>
      <c r="O284" s="43"/>
      <c r="P284" s="43"/>
      <c r="Q284" s="43"/>
    </row>
    <row r="285" spans="1:18" x14ac:dyDescent="0.25">
      <c r="A285" s="40">
        <v>283</v>
      </c>
      <c r="B285" s="43" t="s">
        <v>450</v>
      </c>
      <c r="C285" s="40" t="s">
        <v>1206</v>
      </c>
      <c r="D285" s="41" t="s">
        <v>1427</v>
      </c>
      <c r="E285" s="41"/>
      <c r="F285" s="42"/>
      <c r="G285" s="42"/>
      <c r="H285" s="42"/>
      <c r="I285" s="42"/>
      <c r="J285" s="42">
        <v>4</v>
      </c>
      <c r="K285" s="41" t="s">
        <v>1491</v>
      </c>
      <c r="L285" s="43" t="s">
        <v>450</v>
      </c>
      <c r="M285" s="43"/>
      <c r="N285" s="43"/>
      <c r="O285" s="43"/>
      <c r="P285" s="43"/>
      <c r="Q285" s="43"/>
    </row>
    <row r="286" spans="1:18" x14ac:dyDescent="0.25">
      <c r="A286" s="40">
        <v>284</v>
      </c>
      <c r="B286" s="43" t="s">
        <v>441</v>
      </c>
      <c r="C286" s="40" t="s">
        <v>1208</v>
      </c>
      <c r="D286" s="41" t="str">
        <f>VLOOKUP(B286,[1]CSG!$B$2:$C$169,2,0)</f>
        <v>CSG-CTNKA5</v>
      </c>
      <c r="E286" s="41" t="s">
        <v>812</v>
      </c>
      <c r="F286" s="41"/>
      <c r="G286" s="41"/>
      <c r="H286" s="41"/>
      <c r="I286" s="41"/>
      <c r="J286" s="42"/>
      <c r="K286" s="41"/>
      <c r="L286" s="43"/>
      <c r="M286" s="43"/>
      <c r="N286" s="43"/>
      <c r="O286" s="43"/>
      <c r="P286" s="43"/>
      <c r="Q286" s="43"/>
    </row>
    <row r="287" spans="1:18" x14ac:dyDescent="0.25">
      <c r="A287" s="40">
        <v>285</v>
      </c>
      <c r="B287" s="43" t="s">
        <v>464</v>
      </c>
      <c r="C287" s="40" t="s">
        <v>1210</v>
      </c>
      <c r="D287" s="41" t="s">
        <v>1427</v>
      </c>
      <c r="E287" s="41"/>
      <c r="F287" s="42"/>
      <c r="G287" s="42"/>
      <c r="H287" s="42"/>
      <c r="I287" s="42"/>
      <c r="J287" s="42">
        <v>4</v>
      </c>
      <c r="K287" s="41" t="s">
        <v>1441</v>
      </c>
      <c r="L287" s="43" t="s">
        <v>464</v>
      </c>
      <c r="M287" s="43"/>
      <c r="N287" s="43"/>
      <c r="O287" s="43"/>
      <c r="P287" s="43"/>
      <c r="Q287" s="43"/>
    </row>
    <row r="288" spans="1:18" x14ac:dyDescent="0.25">
      <c r="A288" s="40">
        <v>286</v>
      </c>
      <c r="B288" s="43" t="s">
        <v>451</v>
      </c>
      <c r="C288" s="40" t="s">
        <v>1211</v>
      </c>
      <c r="D288" s="41" t="s">
        <v>1427</v>
      </c>
      <c r="E288" s="41"/>
      <c r="F288" s="42"/>
      <c r="G288" s="42"/>
      <c r="H288" s="42"/>
      <c r="I288" s="42"/>
      <c r="J288" s="42">
        <v>2</v>
      </c>
      <c r="K288" s="41" t="s">
        <v>1562</v>
      </c>
      <c r="L288" s="43" t="s">
        <v>451</v>
      </c>
      <c r="M288" s="43"/>
      <c r="N288" s="43"/>
      <c r="O288" s="43"/>
      <c r="P288" s="43"/>
      <c r="Q288" s="43"/>
      <c r="R288" s="44" t="s">
        <v>2423</v>
      </c>
    </row>
    <row r="289" spans="1:17" x14ac:dyDescent="0.25">
      <c r="A289" s="40">
        <v>287</v>
      </c>
      <c r="B289" s="43" t="s">
        <v>466</v>
      </c>
      <c r="C289" s="40" t="s">
        <v>1213</v>
      </c>
      <c r="D289" s="41" t="s">
        <v>1427</v>
      </c>
      <c r="E289" s="41"/>
      <c r="F289" s="42"/>
      <c r="G289" s="42"/>
      <c r="H289" s="42"/>
      <c r="I289" s="42"/>
      <c r="J289" s="42">
        <v>2</v>
      </c>
      <c r="K289" s="41" t="s">
        <v>1491</v>
      </c>
      <c r="L289" s="43" t="s">
        <v>466</v>
      </c>
      <c r="M289" s="43"/>
      <c r="N289" s="43"/>
      <c r="O289" s="43"/>
      <c r="P289" s="43"/>
      <c r="Q289" s="43"/>
    </row>
    <row r="290" spans="1:17" x14ac:dyDescent="0.25">
      <c r="A290" s="40">
        <v>288</v>
      </c>
      <c r="B290" s="43" t="s">
        <v>465</v>
      </c>
      <c r="C290" s="40" t="s">
        <v>1214</v>
      </c>
      <c r="D290" s="41" t="s">
        <v>2364</v>
      </c>
      <c r="E290" s="41"/>
      <c r="F290" s="42" t="s">
        <v>2366</v>
      </c>
      <c r="G290" s="42"/>
      <c r="H290" s="42"/>
      <c r="I290" s="42"/>
      <c r="J290" s="42"/>
      <c r="K290" s="41"/>
      <c r="L290" s="43"/>
      <c r="M290" s="43"/>
      <c r="N290" s="43"/>
      <c r="O290" s="43"/>
      <c r="P290" s="43"/>
      <c r="Q290" s="43"/>
    </row>
    <row r="291" spans="1:17" x14ac:dyDescent="0.25">
      <c r="A291" s="40">
        <v>289</v>
      </c>
      <c r="B291" s="43" t="s">
        <v>472</v>
      </c>
      <c r="C291" s="40" t="s">
        <v>659</v>
      </c>
      <c r="D291" s="41" t="s">
        <v>1553</v>
      </c>
      <c r="E291" s="41"/>
      <c r="F291" s="42"/>
      <c r="G291" s="42">
        <v>2</v>
      </c>
      <c r="H291" s="42" t="s">
        <v>1504</v>
      </c>
      <c r="I291" s="42" t="s">
        <v>472</v>
      </c>
      <c r="J291" s="42"/>
      <c r="K291" s="41"/>
      <c r="L291" s="43"/>
      <c r="M291" s="43"/>
      <c r="N291" s="43"/>
      <c r="O291" s="43"/>
      <c r="P291" s="43"/>
      <c r="Q291" s="43"/>
    </row>
    <row r="292" spans="1:17" x14ac:dyDescent="0.25">
      <c r="A292" s="40">
        <v>290</v>
      </c>
      <c r="B292" s="43" t="s">
        <v>473</v>
      </c>
      <c r="C292" s="40" t="s">
        <v>660</v>
      </c>
      <c r="D292" s="41" t="s">
        <v>1427</v>
      </c>
      <c r="E292" s="41"/>
      <c r="F292" s="42"/>
      <c r="G292" s="42"/>
      <c r="H292" s="42"/>
      <c r="I292" s="42"/>
      <c r="J292" s="42">
        <v>2</v>
      </c>
      <c r="K292" s="41" t="s">
        <v>1491</v>
      </c>
      <c r="L292" s="43" t="s">
        <v>473</v>
      </c>
      <c r="M292" s="43"/>
      <c r="N292" s="43"/>
      <c r="O292" s="43"/>
      <c r="P292" s="43"/>
      <c r="Q292" s="43"/>
    </row>
    <row r="293" spans="1:17" x14ac:dyDescent="0.25">
      <c r="A293" s="40">
        <v>291</v>
      </c>
      <c r="B293" s="43" t="s">
        <v>484</v>
      </c>
      <c r="C293" s="40" t="s">
        <v>1216</v>
      </c>
      <c r="D293" s="41" t="s">
        <v>1553</v>
      </c>
      <c r="E293" s="41"/>
      <c r="F293" s="42"/>
      <c r="G293" s="42">
        <v>2</v>
      </c>
      <c r="H293" s="42" t="s">
        <v>1508</v>
      </c>
      <c r="I293" s="42" t="s">
        <v>484</v>
      </c>
      <c r="J293" s="42"/>
      <c r="K293" s="41"/>
      <c r="L293" s="43"/>
      <c r="M293" s="43"/>
      <c r="N293" s="43"/>
      <c r="O293" s="43"/>
      <c r="P293" s="43"/>
      <c r="Q293" s="43"/>
    </row>
    <row r="294" spans="1:17" x14ac:dyDescent="0.25">
      <c r="A294" s="40">
        <v>292</v>
      </c>
      <c r="B294" s="43" t="s">
        <v>471</v>
      </c>
      <c r="C294" s="40" t="s">
        <v>661</v>
      </c>
      <c r="D294" s="41" t="s">
        <v>1553</v>
      </c>
      <c r="E294" s="41"/>
      <c r="F294" s="42"/>
      <c r="G294" s="42">
        <v>2</v>
      </c>
      <c r="H294" s="42" t="s">
        <v>1495</v>
      </c>
      <c r="I294" s="42" t="s">
        <v>471</v>
      </c>
      <c r="J294" s="42"/>
      <c r="K294" s="41"/>
      <c r="L294" s="43"/>
      <c r="M294" s="43"/>
      <c r="N294" s="43"/>
      <c r="O294" s="43"/>
      <c r="P294" s="43"/>
      <c r="Q294" s="43"/>
    </row>
    <row r="295" spans="1:17" x14ac:dyDescent="0.25">
      <c r="A295" s="40">
        <v>293</v>
      </c>
      <c r="B295" s="43" t="s">
        <v>567</v>
      </c>
      <c r="C295" s="40" t="s">
        <v>662</v>
      </c>
      <c r="D295" s="41" t="s">
        <v>1427</v>
      </c>
      <c r="E295" s="41"/>
      <c r="F295" s="42"/>
      <c r="G295" s="42"/>
      <c r="H295" s="42"/>
      <c r="I295" s="42"/>
      <c r="J295" s="42">
        <v>2</v>
      </c>
      <c r="K295" s="41" t="s">
        <v>1498</v>
      </c>
      <c r="L295" s="43" t="s">
        <v>567</v>
      </c>
      <c r="M295" s="43"/>
      <c r="N295" s="43"/>
      <c r="O295" s="43"/>
      <c r="P295" s="43"/>
      <c r="Q295" s="43"/>
    </row>
    <row r="296" spans="1:17" x14ac:dyDescent="0.25">
      <c r="A296" s="40">
        <v>294</v>
      </c>
      <c r="B296" s="43" t="s">
        <v>580</v>
      </c>
      <c r="C296" s="40" t="s">
        <v>663</v>
      </c>
      <c r="D296" s="41" t="s">
        <v>1553</v>
      </c>
      <c r="E296" s="41"/>
      <c r="F296" s="42"/>
      <c r="G296" s="42">
        <v>2</v>
      </c>
      <c r="H296" s="42" t="s">
        <v>1504</v>
      </c>
      <c r="I296" s="42" t="s">
        <v>580</v>
      </c>
      <c r="J296" s="42"/>
      <c r="K296" s="41"/>
      <c r="L296" s="43"/>
      <c r="M296" s="43"/>
      <c r="N296" s="43"/>
      <c r="O296" s="43"/>
      <c r="P296" s="43"/>
      <c r="Q296" s="43"/>
    </row>
    <row r="297" spans="1:17" x14ac:dyDescent="0.25">
      <c r="A297" s="40">
        <v>295</v>
      </c>
      <c r="B297" s="43" t="s">
        <v>585</v>
      </c>
      <c r="C297" s="40" t="s">
        <v>1410</v>
      </c>
      <c r="D297" s="41" t="s">
        <v>1427</v>
      </c>
      <c r="E297" s="41"/>
      <c r="F297" s="42"/>
      <c r="G297" s="42"/>
      <c r="H297" s="42"/>
      <c r="I297" s="42"/>
      <c r="J297" s="42">
        <v>2</v>
      </c>
      <c r="K297" s="41" t="s">
        <v>800</v>
      </c>
      <c r="L297" s="43" t="s">
        <v>585</v>
      </c>
      <c r="M297" s="43"/>
      <c r="N297" s="43"/>
      <c r="O297" s="43"/>
      <c r="P297" s="43"/>
      <c r="Q297" s="43"/>
    </row>
    <row r="298" spans="1:17" x14ac:dyDescent="0.25">
      <c r="A298" s="40">
        <v>296</v>
      </c>
      <c r="B298" s="40" t="s">
        <v>352</v>
      </c>
      <c r="C298" s="40" t="s">
        <v>1217</v>
      </c>
      <c r="D298" s="41" t="s">
        <v>1553</v>
      </c>
      <c r="E298" s="41"/>
      <c r="F298" s="42"/>
      <c r="G298" s="42">
        <v>2</v>
      </c>
      <c r="H298" s="42" t="s">
        <v>802</v>
      </c>
      <c r="I298" s="42" t="s">
        <v>352</v>
      </c>
      <c r="J298" s="42"/>
      <c r="K298" s="41"/>
      <c r="L298" s="43"/>
      <c r="M298" s="43" t="s">
        <v>1509</v>
      </c>
      <c r="N298" s="43" t="s">
        <v>352</v>
      </c>
      <c r="O298" s="43" t="s">
        <v>1436</v>
      </c>
      <c r="P298" s="43" t="s">
        <v>1568</v>
      </c>
      <c r="Q298" s="43"/>
    </row>
    <row r="299" spans="1:17" x14ac:dyDescent="0.25">
      <c r="A299" s="40">
        <v>297</v>
      </c>
      <c r="B299" s="40" t="s">
        <v>347</v>
      </c>
      <c r="C299" s="40" t="s">
        <v>1218</v>
      </c>
      <c r="D299" s="41" t="str">
        <f>VLOOKUP(B299,[1]CSG!$B$2:$C$169,2,0)</f>
        <v>CSG-CTOM02</v>
      </c>
      <c r="E299" s="41" t="s">
        <v>812</v>
      </c>
      <c r="F299" s="41"/>
      <c r="G299" s="41"/>
      <c r="H299" s="41"/>
      <c r="I299" s="41"/>
      <c r="J299" s="42"/>
      <c r="K299" s="41"/>
      <c r="L299" s="43"/>
      <c r="M299" s="43"/>
      <c r="N299" s="43"/>
      <c r="O299" s="43"/>
      <c r="P299" s="43"/>
      <c r="Q299" s="43"/>
    </row>
    <row r="300" spans="1:17" x14ac:dyDescent="0.25">
      <c r="A300" s="40">
        <v>298</v>
      </c>
      <c r="B300" s="40" t="s">
        <v>366</v>
      </c>
      <c r="C300" s="40" t="s">
        <v>1219</v>
      </c>
      <c r="D300" s="41" t="s">
        <v>1553</v>
      </c>
      <c r="E300" s="41" t="s">
        <v>1554</v>
      </c>
      <c r="F300" s="42"/>
      <c r="G300" s="42">
        <v>2</v>
      </c>
      <c r="H300" s="42" t="s">
        <v>1470</v>
      </c>
      <c r="I300" s="42" t="s">
        <v>366</v>
      </c>
      <c r="J300" s="42"/>
      <c r="K300" s="41"/>
      <c r="L300" s="43"/>
      <c r="M300" s="43"/>
      <c r="N300" s="43"/>
      <c r="O300" s="43"/>
      <c r="P300" s="43" t="s">
        <v>1568</v>
      </c>
      <c r="Q300" s="43"/>
    </row>
    <row r="301" spans="1:17" x14ac:dyDescent="0.25">
      <c r="A301" s="40">
        <v>299</v>
      </c>
      <c r="B301" s="40" t="s">
        <v>348</v>
      </c>
      <c r="C301" s="40" t="s">
        <v>1220</v>
      </c>
      <c r="D301" s="41" t="s">
        <v>1553</v>
      </c>
      <c r="E301" s="41" t="s">
        <v>1554</v>
      </c>
      <c r="F301" s="42"/>
      <c r="G301" s="42">
        <v>2</v>
      </c>
      <c r="H301" s="42" t="s">
        <v>1510</v>
      </c>
      <c r="I301" s="42" t="s">
        <v>348</v>
      </c>
      <c r="J301" s="42"/>
      <c r="K301" s="41"/>
      <c r="L301" s="43"/>
      <c r="M301" s="43"/>
      <c r="N301" s="43"/>
      <c r="O301" s="43"/>
      <c r="P301" s="43" t="s">
        <v>1568</v>
      </c>
      <c r="Q301" s="43"/>
    </row>
    <row r="302" spans="1:17" x14ac:dyDescent="0.25">
      <c r="A302" s="40">
        <v>300</v>
      </c>
      <c r="B302" s="40" t="s">
        <v>354</v>
      </c>
      <c r="C302" s="40" t="s">
        <v>1221</v>
      </c>
      <c r="D302" s="41" t="str">
        <f>VLOOKUP(B302,[1]CSG!$B$2:$C$169,2,0)</f>
        <v>CSG-CTOM05</v>
      </c>
      <c r="E302" s="41" t="s">
        <v>812</v>
      </c>
      <c r="F302" s="41"/>
      <c r="G302" s="41"/>
      <c r="H302" s="41"/>
      <c r="I302" s="41"/>
      <c r="J302" s="42"/>
      <c r="K302" s="41"/>
      <c r="L302" s="43"/>
      <c r="M302" s="43"/>
      <c r="N302" s="43"/>
      <c r="O302" s="43"/>
      <c r="P302" s="43"/>
      <c r="Q302" s="43"/>
    </row>
    <row r="303" spans="1:17" x14ac:dyDescent="0.25">
      <c r="A303" s="40">
        <v>301</v>
      </c>
      <c r="B303" s="40" t="s">
        <v>349</v>
      </c>
      <c r="C303" s="40" t="s">
        <v>1224</v>
      </c>
      <c r="D303" s="41" t="str">
        <f>VLOOKUP(B303,[1]CSG!$B$2:$C$169,2,0)</f>
        <v>CSG-CTOM06</v>
      </c>
      <c r="E303" s="41" t="s">
        <v>812</v>
      </c>
      <c r="F303" s="41"/>
      <c r="G303" s="41"/>
      <c r="H303" s="41"/>
      <c r="I303" s="41"/>
      <c r="J303" s="42"/>
      <c r="K303" s="41"/>
      <c r="L303" s="43"/>
      <c r="M303" s="43"/>
      <c r="N303" s="43"/>
      <c r="O303" s="43"/>
      <c r="P303" s="43"/>
      <c r="Q303" s="43"/>
    </row>
    <row r="304" spans="1:17" x14ac:dyDescent="0.25">
      <c r="A304" s="40">
        <v>302</v>
      </c>
      <c r="B304" s="40" t="s">
        <v>363</v>
      </c>
      <c r="C304" s="40" t="s">
        <v>1225</v>
      </c>
      <c r="D304" s="41" t="str">
        <f>VLOOKUP(B304,[1]CSG!$B$2:$C$169,2,0)</f>
        <v>CSG-CTOM07</v>
      </c>
      <c r="E304" s="41" t="s">
        <v>812</v>
      </c>
      <c r="F304" s="41"/>
      <c r="G304" s="41"/>
      <c r="H304" s="41"/>
      <c r="I304" s="41"/>
      <c r="J304" s="42"/>
      <c r="K304" s="41"/>
      <c r="L304" s="43"/>
      <c r="M304" s="43"/>
      <c r="N304" s="43"/>
      <c r="O304" s="43"/>
      <c r="P304" s="43"/>
      <c r="Q304" s="43"/>
    </row>
    <row r="305" spans="1:17" x14ac:dyDescent="0.25">
      <c r="A305" s="40">
        <v>303</v>
      </c>
      <c r="B305" s="40" t="s">
        <v>350</v>
      </c>
      <c r="C305" s="40" t="s">
        <v>1226</v>
      </c>
      <c r="D305" s="41" t="s">
        <v>1553</v>
      </c>
      <c r="E305" s="41" t="s">
        <v>1554</v>
      </c>
      <c r="F305" s="42"/>
      <c r="G305" s="42">
        <v>2</v>
      </c>
      <c r="H305" s="42" t="s">
        <v>802</v>
      </c>
      <c r="I305" s="42" t="s">
        <v>350</v>
      </c>
      <c r="J305" s="42"/>
      <c r="K305" s="41"/>
      <c r="L305" s="43"/>
      <c r="M305" s="43" t="s">
        <v>1509</v>
      </c>
      <c r="N305" s="43" t="s">
        <v>350</v>
      </c>
      <c r="O305" s="43" t="s">
        <v>1571</v>
      </c>
      <c r="P305" s="43" t="s">
        <v>1568</v>
      </c>
      <c r="Q305" s="43"/>
    </row>
    <row r="306" spans="1:17" x14ac:dyDescent="0.25">
      <c r="A306" s="40">
        <v>304</v>
      </c>
      <c r="B306" s="40" t="s">
        <v>351</v>
      </c>
      <c r="C306" s="40" t="s">
        <v>1227</v>
      </c>
      <c r="D306" s="41" t="s">
        <v>1553</v>
      </c>
      <c r="E306" s="41" t="s">
        <v>1554</v>
      </c>
      <c r="F306" s="42"/>
      <c r="G306" s="42">
        <v>2</v>
      </c>
      <c r="H306" s="42" t="s">
        <v>1509</v>
      </c>
      <c r="I306" s="42" t="s">
        <v>351</v>
      </c>
      <c r="J306" s="42"/>
      <c r="K306" s="41"/>
      <c r="L306" s="43"/>
      <c r="M306" s="43"/>
      <c r="N306" s="43"/>
      <c r="O306" s="43"/>
      <c r="P306" s="43" t="s">
        <v>1568</v>
      </c>
      <c r="Q306" s="43"/>
    </row>
    <row r="307" spans="1:17" x14ac:dyDescent="0.25">
      <c r="A307" s="40">
        <v>305</v>
      </c>
      <c r="B307" s="40" t="s">
        <v>344</v>
      </c>
      <c r="C307" s="40" t="s">
        <v>1228</v>
      </c>
      <c r="D307" s="41" t="s">
        <v>1427</v>
      </c>
      <c r="E307" s="41" t="s">
        <v>1554</v>
      </c>
      <c r="F307" s="42"/>
      <c r="G307" s="42"/>
      <c r="H307" s="42"/>
      <c r="I307" s="42"/>
      <c r="J307" s="42">
        <v>4</v>
      </c>
      <c r="K307" s="41" t="s">
        <v>1470</v>
      </c>
      <c r="L307" s="43" t="s">
        <v>344</v>
      </c>
      <c r="M307" s="43"/>
      <c r="N307" s="43"/>
      <c r="O307" s="43"/>
      <c r="P307" s="43" t="s">
        <v>1568</v>
      </c>
      <c r="Q307" s="43"/>
    </row>
    <row r="308" spans="1:17" x14ac:dyDescent="0.25">
      <c r="A308" s="40">
        <v>306</v>
      </c>
      <c r="B308" s="40" t="s">
        <v>372</v>
      </c>
      <c r="C308" s="40" t="s">
        <v>1229</v>
      </c>
      <c r="D308" s="41" t="str">
        <f>VLOOKUP(B308,[1]CSG!$B$2:$C$169,2,0)</f>
        <v>CSG-CTOM11</v>
      </c>
      <c r="E308" s="41" t="s">
        <v>812</v>
      </c>
      <c r="F308" s="41"/>
      <c r="G308" s="41"/>
      <c r="H308" s="41"/>
      <c r="I308" s="41"/>
      <c r="J308" s="42"/>
      <c r="K308" s="41"/>
      <c r="L308" s="43"/>
      <c r="M308" s="43"/>
      <c r="N308" s="43"/>
      <c r="O308" s="43"/>
      <c r="P308" s="43"/>
      <c r="Q308" s="43"/>
    </row>
    <row r="309" spans="1:17" x14ac:dyDescent="0.25">
      <c r="A309" s="40">
        <v>307</v>
      </c>
      <c r="B309" s="40" t="s">
        <v>370</v>
      </c>
      <c r="C309" s="40" t="s">
        <v>1231</v>
      </c>
      <c r="D309" s="41" t="str">
        <f>VLOOKUP(B309,[1]CSG!$B$2:$C$169,2,0)</f>
        <v>CSG-CTOM12</v>
      </c>
      <c r="E309" s="41" t="s">
        <v>812</v>
      </c>
      <c r="F309" s="41"/>
      <c r="G309" s="41"/>
      <c r="H309" s="41"/>
      <c r="I309" s="41"/>
      <c r="J309" s="42"/>
      <c r="K309" s="41"/>
      <c r="L309" s="43"/>
      <c r="M309" s="43"/>
      <c r="N309" s="43"/>
      <c r="O309" s="43"/>
      <c r="P309" s="43"/>
      <c r="Q309" s="43"/>
    </row>
    <row r="310" spans="1:17" x14ac:dyDescent="0.25">
      <c r="A310" s="40">
        <v>308</v>
      </c>
      <c r="B310" s="40" t="s">
        <v>359</v>
      </c>
      <c r="C310" s="40" t="s">
        <v>1232</v>
      </c>
      <c r="D310" s="41" t="s">
        <v>1553</v>
      </c>
      <c r="E310" s="41" t="s">
        <v>1554</v>
      </c>
      <c r="F310" s="42"/>
      <c r="G310" s="42">
        <v>2</v>
      </c>
      <c r="H310" s="42" t="s">
        <v>1449</v>
      </c>
      <c r="I310" s="42" t="s">
        <v>359</v>
      </c>
      <c r="J310" s="42"/>
      <c r="K310" s="41"/>
      <c r="L310" s="43"/>
      <c r="M310" s="43" t="s">
        <v>1449</v>
      </c>
      <c r="N310" s="43" t="s">
        <v>359</v>
      </c>
      <c r="O310" s="43" t="s">
        <v>1573</v>
      </c>
      <c r="P310" s="43"/>
      <c r="Q310" s="43"/>
    </row>
    <row r="311" spans="1:17" x14ac:dyDescent="0.25">
      <c r="A311" s="40">
        <v>309</v>
      </c>
      <c r="B311" s="40" t="s">
        <v>358</v>
      </c>
      <c r="C311" s="40" t="s">
        <v>1233</v>
      </c>
      <c r="D311" s="41" t="str">
        <f>VLOOKUP(B311,[1]CSG!$B$2:$C$169,2,0)</f>
        <v>CSG-CTOM14</v>
      </c>
      <c r="E311" s="41" t="s">
        <v>812</v>
      </c>
      <c r="F311" s="41"/>
      <c r="G311" s="41"/>
      <c r="H311" s="41"/>
      <c r="I311" s="41"/>
      <c r="J311" s="42"/>
      <c r="K311" s="41"/>
      <c r="L311" s="43"/>
      <c r="M311" s="43"/>
      <c r="N311" s="43"/>
      <c r="O311" s="43"/>
      <c r="P311" s="43"/>
      <c r="Q311" s="43"/>
    </row>
    <row r="312" spans="1:17" x14ac:dyDescent="0.25">
      <c r="A312" s="40">
        <v>310</v>
      </c>
      <c r="B312" s="40" t="s">
        <v>356</v>
      </c>
      <c r="C312" s="40" t="s">
        <v>1235</v>
      </c>
      <c r="D312" s="41" t="s">
        <v>1427</v>
      </c>
      <c r="E312" s="41" t="s">
        <v>1554</v>
      </c>
      <c r="F312" s="42"/>
      <c r="G312" s="42"/>
      <c r="H312" s="42"/>
      <c r="I312" s="42"/>
      <c r="J312" s="42">
        <v>2</v>
      </c>
      <c r="K312" s="41" t="s">
        <v>806</v>
      </c>
      <c r="L312" s="43" t="s">
        <v>356</v>
      </c>
      <c r="M312" s="43"/>
      <c r="N312" s="43"/>
      <c r="O312" s="43"/>
      <c r="P312" s="43" t="s">
        <v>1568</v>
      </c>
      <c r="Q312" s="43"/>
    </row>
    <row r="313" spans="1:17" x14ac:dyDescent="0.25">
      <c r="A313" s="40">
        <v>311</v>
      </c>
      <c r="B313" s="40" t="s">
        <v>371</v>
      </c>
      <c r="C313" s="40" t="s">
        <v>1236</v>
      </c>
      <c r="D313" s="41" t="s">
        <v>1427</v>
      </c>
      <c r="E313" s="41"/>
      <c r="F313" s="42"/>
      <c r="G313" s="42"/>
      <c r="H313" s="42"/>
      <c r="I313" s="42"/>
      <c r="J313" s="42">
        <v>2</v>
      </c>
      <c r="K313" s="41" t="s">
        <v>804</v>
      </c>
      <c r="L313" s="43" t="s">
        <v>371</v>
      </c>
      <c r="M313" s="43" t="s">
        <v>1511</v>
      </c>
      <c r="N313" s="43" t="s">
        <v>371</v>
      </c>
      <c r="O313" s="43" t="s">
        <v>1574</v>
      </c>
      <c r="P313" s="43" t="s">
        <v>1568</v>
      </c>
      <c r="Q313" s="43"/>
    </row>
    <row r="314" spans="1:17" x14ac:dyDescent="0.25">
      <c r="A314" s="40">
        <v>312</v>
      </c>
      <c r="B314" s="40" t="s">
        <v>360</v>
      </c>
      <c r="C314" s="40" t="s">
        <v>1237</v>
      </c>
      <c r="D314" s="41" t="str">
        <f>VLOOKUP(B314,[1]CSG!$B$2:$C$169,2,0)</f>
        <v>CSG-CTOM17</v>
      </c>
      <c r="E314" s="41" t="s">
        <v>812</v>
      </c>
      <c r="F314" s="41"/>
      <c r="G314" s="41"/>
      <c r="H314" s="41"/>
      <c r="I314" s="41"/>
      <c r="J314" s="42"/>
      <c r="K314" s="41"/>
      <c r="L314" s="43"/>
      <c r="M314" s="43"/>
      <c r="N314" s="43"/>
      <c r="O314" s="43"/>
      <c r="P314" s="43"/>
      <c r="Q314" s="43"/>
    </row>
    <row r="315" spans="1:17" x14ac:dyDescent="0.25">
      <c r="A315" s="40">
        <v>313</v>
      </c>
      <c r="B315" s="40" t="s">
        <v>353</v>
      </c>
      <c r="C315" s="40" t="s">
        <v>1238</v>
      </c>
      <c r="D315" s="41" t="s">
        <v>1553</v>
      </c>
      <c r="E315" s="41" t="s">
        <v>1554</v>
      </c>
      <c r="F315" s="42"/>
      <c r="G315" s="42">
        <v>2</v>
      </c>
      <c r="H315" s="42" t="s">
        <v>1512</v>
      </c>
      <c r="I315" s="42" t="s">
        <v>353</v>
      </c>
      <c r="J315" s="42"/>
      <c r="K315" s="41"/>
      <c r="L315" s="43"/>
      <c r="M315" s="43"/>
      <c r="N315" s="43"/>
      <c r="O315" s="43"/>
      <c r="P315" s="43" t="s">
        <v>1568</v>
      </c>
      <c r="Q315" s="43"/>
    </row>
    <row r="316" spans="1:17" x14ac:dyDescent="0.25">
      <c r="A316" s="40">
        <v>314</v>
      </c>
      <c r="B316" s="40" t="s">
        <v>368</v>
      </c>
      <c r="C316" s="40" t="s">
        <v>1239</v>
      </c>
      <c r="D316" s="41" t="s">
        <v>1553</v>
      </c>
      <c r="E316" s="41" t="s">
        <v>1554</v>
      </c>
      <c r="F316" s="42"/>
      <c r="G316" s="42">
        <v>2</v>
      </c>
      <c r="H316" s="42" t="s">
        <v>1512</v>
      </c>
      <c r="I316" s="42" t="s">
        <v>368</v>
      </c>
      <c r="J316" s="42"/>
      <c r="K316" s="41"/>
      <c r="L316" s="43"/>
      <c r="M316" s="43" t="s">
        <v>1513</v>
      </c>
      <c r="N316" s="43" t="s">
        <v>368</v>
      </c>
      <c r="O316" s="43" t="s">
        <v>1571</v>
      </c>
      <c r="P316" s="43" t="s">
        <v>1568</v>
      </c>
      <c r="Q316" s="43"/>
    </row>
    <row r="317" spans="1:17" x14ac:dyDescent="0.25">
      <c r="A317" s="40">
        <v>315</v>
      </c>
      <c r="B317" s="40" t="s">
        <v>369</v>
      </c>
      <c r="C317" s="40" t="s">
        <v>1240</v>
      </c>
      <c r="D317" s="41" t="str">
        <f>VLOOKUP(B317,[1]CSG!$B$2:$C$169,2,0)</f>
        <v>CSG-CTOM20</v>
      </c>
      <c r="E317" s="41" t="s">
        <v>812</v>
      </c>
      <c r="F317" s="41"/>
      <c r="G317" s="41"/>
      <c r="H317" s="41"/>
      <c r="I317" s="41"/>
      <c r="J317" s="42"/>
      <c r="K317" s="41"/>
      <c r="L317" s="43"/>
      <c r="M317" s="43"/>
      <c r="N317" s="43"/>
      <c r="O317" s="43"/>
      <c r="P317" s="43"/>
      <c r="Q317" s="43"/>
    </row>
    <row r="318" spans="1:17" x14ac:dyDescent="0.25">
      <c r="A318" s="40">
        <v>316</v>
      </c>
      <c r="B318" s="40" t="s">
        <v>392</v>
      </c>
      <c r="C318" s="40" t="s">
        <v>1241</v>
      </c>
      <c r="D318" s="41" t="s">
        <v>1553</v>
      </c>
      <c r="E318" s="41" t="s">
        <v>1554</v>
      </c>
      <c r="F318" s="42"/>
      <c r="G318" s="42">
        <v>2</v>
      </c>
      <c r="H318" s="42" t="s">
        <v>804</v>
      </c>
      <c r="I318" s="42" t="s">
        <v>392</v>
      </c>
      <c r="J318" s="42"/>
      <c r="K318" s="41"/>
      <c r="L318" s="43"/>
      <c r="M318" s="43"/>
      <c r="N318" s="43"/>
      <c r="O318" s="43"/>
      <c r="P318" s="43" t="s">
        <v>1568</v>
      </c>
      <c r="Q318" s="43"/>
    </row>
    <row r="319" spans="1:17" x14ac:dyDescent="0.25">
      <c r="A319" s="40">
        <v>317</v>
      </c>
      <c r="B319" s="40" t="s">
        <v>364</v>
      </c>
      <c r="C319" s="40" t="s">
        <v>1242</v>
      </c>
      <c r="D319" s="41" t="s">
        <v>1553</v>
      </c>
      <c r="E319" s="41"/>
      <c r="F319" s="42"/>
      <c r="G319" s="42">
        <v>2</v>
      </c>
      <c r="H319" s="42" t="s">
        <v>1513</v>
      </c>
      <c r="I319" s="42" t="s">
        <v>364</v>
      </c>
      <c r="J319" s="42"/>
      <c r="K319" s="41"/>
      <c r="L319" s="43"/>
      <c r="M319" s="43" t="s">
        <v>1513</v>
      </c>
      <c r="N319" s="43" t="s">
        <v>364</v>
      </c>
      <c r="O319" s="43" t="s">
        <v>1436</v>
      </c>
      <c r="P319" s="43" t="s">
        <v>1568</v>
      </c>
      <c r="Q319" s="43"/>
    </row>
    <row r="320" spans="1:17" x14ac:dyDescent="0.25">
      <c r="A320" s="40">
        <v>318</v>
      </c>
      <c r="B320" s="40" t="s">
        <v>355</v>
      </c>
      <c r="C320" s="40" t="s">
        <v>1243</v>
      </c>
      <c r="D320" s="41" t="s">
        <v>1553</v>
      </c>
      <c r="E320" s="41" t="s">
        <v>1554</v>
      </c>
      <c r="F320" s="42"/>
      <c r="G320" s="42">
        <v>2</v>
      </c>
      <c r="H320" s="42" t="s">
        <v>1512</v>
      </c>
      <c r="I320" s="42" t="s">
        <v>355</v>
      </c>
      <c r="J320" s="42"/>
      <c r="K320" s="41"/>
      <c r="L320" s="43"/>
      <c r="M320" s="43" t="s">
        <v>1470</v>
      </c>
      <c r="N320" s="43" t="s">
        <v>355</v>
      </c>
      <c r="O320" s="43" t="s">
        <v>1571</v>
      </c>
      <c r="P320" s="43" t="s">
        <v>1568</v>
      </c>
      <c r="Q320" s="43"/>
    </row>
    <row r="321" spans="1:18" x14ac:dyDescent="0.25">
      <c r="A321" s="40">
        <v>319</v>
      </c>
      <c r="B321" s="40" t="s">
        <v>357</v>
      </c>
      <c r="C321" s="40" t="s">
        <v>1244</v>
      </c>
      <c r="D321" s="41" t="str">
        <f>VLOOKUP(B321,[1]CSG!$B$2:$C$169,2,0)</f>
        <v>CSG-CTOM24</v>
      </c>
      <c r="E321" s="41" t="s">
        <v>812</v>
      </c>
      <c r="F321" s="41"/>
      <c r="G321" s="41"/>
      <c r="H321" s="41"/>
      <c r="I321" s="41"/>
      <c r="J321" s="42"/>
      <c r="K321" s="41"/>
      <c r="L321" s="43"/>
      <c r="M321" s="43"/>
      <c r="N321" s="43"/>
      <c r="O321" s="43"/>
      <c r="P321" s="43"/>
      <c r="Q321" s="43"/>
    </row>
    <row r="322" spans="1:18" x14ac:dyDescent="0.25">
      <c r="A322" s="40">
        <v>320</v>
      </c>
      <c r="B322" s="40" t="s">
        <v>361</v>
      </c>
      <c r="C322" s="40" t="s">
        <v>1245</v>
      </c>
      <c r="D322" s="41" t="str">
        <f>VLOOKUP(B322,[1]CSG!$B$2:$C$169,2,0)</f>
        <v>CSG-CTOM25</v>
      </c>
      <c r="E322" s="41" t="s">
        <v>812</v>
      </c>
      <c r="F322" s="41"/>
      <c r="G322" s="41"/>
      <c r="H322" s="41"/>
      <c r="I322" s="41"/>
      <c r="J322" s="42"/>
      <c r="K322" s="41"/>
      <c r="L322" s="43"/>
      <c r="M322" s="43"/>
      <c r="N322" s="43"/>
      <c r="O322" s="43"/>
      <c r="P322" s="43"/>
      <c r="Q322" s="43"/>
    </row>
    <row r="323" spans="1:18" x14ac:dyDescent="0.25">
      <c r="A323" s="40">
        <v>321</v>
      </c>
      <c r="B323" s="40" t="s">
        <v>362</v>
      </c>
      <c r="C323" s="40" t="s">
        <v>1246</v>
      </c>
      <c r="D323" s="41" t="s">
        <v>1553</v>
      </c>
      <c r="E323" s="41"/>
      <c r="F323" s="42"/>
      <c r="G323" s="42">
        <v>2</v>
      </c>
      <c r="H323" s="42" t="s">
        <v>807</v>
      </c>
      <c r="I323" s="42" t="s">
        <v>362</v>
      </c>
      <c r="J323" s="42"/>
      <c r="K323" s="41"/>
      <c r="L323" s="43"/>
      <c r="M323" s="43" t="s">
        <v>1449</v>
      </c>
      <c r="N323" s="43" t="s">
        <v>362</v>
      </c>
      <c r="O323" s="43" t="s">
        <v>1436</v>
      </c>
      <c r="P323" s="43" t="s">
        <v>1568</v>
      </c>
      <c r="Q323" s="43"/>
    </row>
    <row r="324" spans="1:18" x14ac:dyDescent="0.25">
      <c r="A324" s="40">
        <v>322</v>
      </c>
      <c r="B324" s="40" t="s">
        <v>373</v>
      </c>
      <c r="C324" s="40" t="s">
        <v>1247</v>
      </c>
      <c r="D324" s="41" t="s">
        <v>1553</v>
      </c>
      <c r="E324" s="41" t="s">
        <v>1554</v>
      </c>
      <c r="F324" s="42"/>
      <c r="G324" s="42">
        <v>2</v>
      </c>
      <c r="H324" s="42" t="s">
        <v>804</v>
      </c>
      <c r="I324" s="42" t="s">
        <v>373</v>
      </c>
      <c r="J324" s="42"/>
      <c r="K324" s="41"/>
      <c r="L324" s="43"/>
      <c r="M324" s="43"/>
      <c r="N324" s="43"/>
      <c r="O324" s="43"/>
      <c r="P324" s="43" t="s">
        <v>1568</v>
      </c>
      <c r="Q324" s="43"/>
    </row>
    <row r="325" spans="1:18" x14ac:dyDescent="0.25">
      <c r="A325" s="40">
        <v>323</v>
      </c>
      <c r="B325" s="40" t="s">
        <v>345</v>
      </c>
      <c r="C325" s="40" t="s">
        <v>1248</v>
      </c>
      <c r="D325" s="41" t="str">
        <f>VLOOKUP(B325,[1]CSG!$B$2:$C$169,2,0)</f>
        <v>CSG-CTOM28</v>
      </c>
      <c r="E325" s="41" t="s">
        <v>812</v>
      </c>
      <c r="F325" s="41"/>
      <c r="G325" s="41"/>
      <c r="H325" s="41"/>
      <c r="I325" s="41"/>
      <c r="J325" s="42"/>
      <c r="K325" s="41"/>
      <c r="L325" s="43"/>
      <c r="M325" s="43"/>
      <c r="N325" s="43"/>
      <c r="O325" s="43"/>
      <c r="P325" s="43"/>
      <c r="Q325" s="43"/>
    </row>
    <row r="326" spans="1:18" x14ac:dyDescent="0.25">
      <c r="A326" s="40">
        <v>324</v>
      </c>
      <c r="B326" s="40" t="s">
        <v>367</v>
      </c>
      <c r="C326" s="40" t="s">
        <v>1250</v>
      </c>
      <c r="D326" s="41" t="s">
        <v>1553</v>
      </c>
      <c r="E326" s="41" t="s">
        <v>1554</v>
      </c>
      <c r="F326" s="42"/>
      <c r="G326" s="42">
        <v>2</v>
      </c>
      <c r="H326" s="42" t="s">
        <v>1514</v>
      </c>
      <c r="I326" s="42" t="s">
        <v>367</v>
      </c>
      <c r="J326" s="42"/>
      <c r="K326" s="41"/>
      <c r="L326" s="43"/>
      <c r="M326" s="43" t="s">
        <v>1472</v>
      </c>
      <c r="N326" s="43" t="s">
        <v>367</v>
      </c>
      <c r="O326" s="43" t="s">
        <v>1571</v>
      </c>
      <c r="P326" s="43" t="s">
        <v>1568</v>
      </c>
      <c r="Q326" s="43"/>
    </row>
    <row r="327" spans="1:18" x14ac:dyDescent="0.25">
      <c r="A327" s="40">
        <v>325</v>
      </c>
      <c r="B327" s="40" t="s">
        <v>346</v>
      </c>
      <c r="C327" s="40" t="s">
        <v>839</v>
      </c>
      <c r="D327" s="41" t="s">
        <v>1553</v>
      </c>
      <c r="E327" s="41"/>
      <c r="F327" s="42"/>
      <c r="G327" s="42">
        <v>2</v>
      </c>
      <c r="H327" s="42" t="s">
        <v>802</v>
      </c>
      <c r="I327" s="42" t="s">
        <v>346</v>
      </c>
      <c r="J327" s="42"/>
      <c r="K327" s="41"/>
      <c r="L327" s="43"/>
      <c r="M327" s="43" t="s">
        <v>806</v>
      </c>
      <c r="N327" s="43" t="s">
        <v>346</v>
      </c>
      <c r="O327" s="43" t="s">
        <v>1570</v>
      </c>
      <c r="P327" s="43"/>
      <c r="Q327" s="43"/>
    </row>
    <row r="328" spans="1:18" x14ac:dyDescent="0.25">
      <c r="A328" s="40">
        <v>326</v>
      </c>
      <c r="B328" s="40" t="s">
        <v>365</v>
      </c>
      <c r="C328" s="40" t="s">
        <v>1251</v>
      </c>
      <c r="D328" s="41" t="s">
        <v>1553</v>
      </c>
      <c r="E328" s="41" t="s">
        <v>1554</v>
      </c>
      <c r="F328" s="42"/>
      <c r="G328" s="42">
        <v>2</v>
      </c>
      <c r="H328" s="42" t="s">
        <v>802</v>
      </c>
      <c r="I328" s="42" t="s">
        <v>365</v>
      </c>
      <c r="J328" s="42"/>
      <c r="K328" s="41"/>
      <c r="L328" s="43"/>
      <c r="M328" s="43"/>
      <c r="N328" s="43"/>
      <c r="O328" s="43"/>
      <c r="P328" s="43" t="s">
        <v>1568</v>
      </c>
      <c r="Q328" s="43"/>
    </row>
    <row r="329" spans="1:18" x14ac:dyDescent="0.25">
      <c r="A329" s="40">
        <v>327</v>
      </c>
      <c r="B329" s="40" t="s">
        <v>376</v>
      </c>
      <c r="C329" s="40" t="s">
        <v>1253</v>
      </c>
      <c r="D329" s="41" t="str">
        <f>VLOOKUP(B329,[1]CSG!$B$2:$C$169,2,0)</f>
        <v>CSG-CTOM32</v>
      </c>
      <c r="E329" s="41" t="s">
        <v>812</v>
      </c>
      <c r="F329" s="41"/>
      <c r="G329" s="41"/>
      <c r="H329" s="41"/>
      <c r="I329" s="41"/>
      <c r="J329" s="42"/>
      <c r="K329" s="41"/>
      <c r="L329" s="43"/>
      <c r="M329" s="43"/>
      <c r="N329" s="43"/>
      <c r="O329" s="43"/>
      <c r="P329" s="43"/>
      <c r="Q329" s="43"/>
    </row>
    <row r="330" spans="1:18" x14ac:dyDescent="0.25">
      <c r="A330" s="40">
        <v>328</v>
      </c>
      <c r="B330" s="40" t="s">
        <v>374</v>
      </c>
      <c r="C330" s="40" t="s">
        <v>1254</v>
      </c>
      <c r="D330" s="41" t="s">
        <v>1427</v>
      </c>
      <c r="E330" s="41"/>
      <c r="F330" s="42"/>
      <c r="G330" s="42"/>
      <c r="H330" s="42"/>
      <c r="I330" s="42"/>
      <c r="J330" s="42">
        <v>2</v>
      </c>
      <c r="K330" s="41" t="s">
        <v>1587</v>
      </c>
      <c r="L330" s="43" t="s">
        <v>374</v>
      </c>
      <c r="M330" s="43" t="s">
        <v>1513</v>
      </c>
      <c r="N330" s="43" t="s">
        <v>374</v>
      </c>
      <c r="O330" s="43" t="s">
        <v>1461</v>
      </c>
      <c r="P330" s="43" t="s">
        <v>1568</v>
      </c>
      <c r="Q330" s="43"/>
    </row>
    <row r="331" spans="1:18" x14ac:dyDescent="0.25">
      <c r="A331" s="40">
        <v>329</v>
      </c>
      <c r="B331" s="43" t="s">
        <v>375</v>
      </c>
      <c r="C331" s="40" t="s">
        <v>1256</v>
      </c>
      <c r="D331" s="41" t="s">
        <v>1553</v>
      </c>
      <c r="E331" s="41" t="s">
        <v>1554</v>
      </c>
      <c r="F331" s="42"/>
      <c r="G331" s="42">
        <v>2</v>
      </c>
      <c r="H331" s="42" t="s">
        <v>804</v>
      </c>
      <c r="I331" s="42" t="s">
        <v>375</v>
      </c>
      <c r="J331" s="42"/>
      <c r="K331" s="41"/>
      <c r="L331" s="43"/>
      <c r="M331" s="43" t="s">
        <v>806</v>
      </c>
      <c r="N331" s="43" t="s">
        <v>375</v>
      </c>
      <c r="O331" s="43" t="s">
        <v>1573</v>
      </c>
      <c r="P331" s="43"/>
      <c r="Q331" s="43"/>
    </row>
    <row r="332" spans="1:18" x14ac:dyDescent="0.25">
      <c r="A332" s="40">
        <v>330</v>
      </c>
      <c r="B332" s="43" t="s">
        <v>411</v>
      </c>
      <c r="C332" s="40" t="s">
        <v>1257</v>
      </c>
      <c r="D332" s="41" t="s">
        <v>1553</v>
      </c>
      <c r="E332" s="41" t="s">
        <v>1554</v>
      </c>
      <c r="F332" s="42"/>
      <c r="G332" s="42">
        <v>2</v>
      </c>
      <c r="H332" s="42" t="s">
        <v>807</v>
      </c>
      <c r="I332" s="42" t="s">
        <v>411</v>
      </c>
      <c r="J332" s="42"/>
      <c r="K332" s="41"/>
      <c r="L332" s="43"/>
      <c r="M332" s="43" t="s">
        <v>806</v>
      </c>
      <c r="N332" s="43" t="s">
        <v>411</v>
      </c>
      <c r="O332" s="43" t="s">
        <v>1571</v>
      </c>
      <c r="P332" s="43" t="s">
        <v>1568</v>
      </c>
      <c r="Q332" s="43"/>
    </row>
    <row r="333" spans="1:18" x14ac:dyDescent="0.25">
      <c r="A333" s="40">
        <v>331</v>
      </c>
      <c r="B333" s="43" t="s">
        <v>410</v>
      </c>
      <c r="C333" s="40" t="s">
        <v>1258</v>
      </c>
      <c r="D333" s="41" t="s">
        <v>1427</v>
      </c>
      <c r="E333" s="41"/>
      <c r="F333" s="42"/>
      <c r="G333" s="42"/>
      <c r="H333" s="42"/>
      <c r="I333" s="42"/>
      <c r="J333" s="42">
        <v>2</v>
      </c>
      <c r="K333" s="41" t="s">
        <v>1588</v>
      </c>
      <c r="L333" s="43" t="s">
        <v>410</v>
      </c>
      <c r="M333" s="43" t="s">
        <v>1509</v>
      </c>
      <c r="N333" s="43" t="s">
        <v>410</v>
      </c>
      <c r="O333" s="43" t="s">
        <v>2261</v>
      </c>
      <c r="P333" s="43" t="s">
        <v>1568</v>
      </c>
      <c r="Q333" s="43"/>
    </row>
    <row r="334" spans="1:18" x14ac:dyDescent="0.25">
      <c r="A334" s="40">
        <v>332</v>
      </c>
      <c r="B334" s="43" t="s">
        <v>420</v>
      </c>
      <c r="C334" s="40" t="s">
        <v>1259</v>
      </c>
      <c r="D334" s="41" t="s">
        <v>1553</v>
      </c>
      <c r="E334" s="41"/>
      <c r="F334" s="42"/>
      <c r="G334" s="42">
        <v>2</v>
      </c>
      <c r="H334" s="42" t="s">
        <v>1516</v>
      </c>
      <c r="I334" s="42" t="s">
        <v>420</v>
      </c>
      <c r="J334" s="42"/>
      <c r="K334" s="41"/>
      <c r="L334" s="43"/>
      <c r="M334" s="43"/>
      <c r="N334" s="43"/>
      <c r="O334" s="43"/>
      <c r="P334" s="43"/>
      <c r="Q334" s="43"/>
    </row>
    <row r="335" spans="1:18" x14ac:dyDescent="0.25">
      <c r="A335" s="40">
        <v>333</v>
      </c>
      <c r="B335" s="43" t="s">
        <v>443</v>
      </c>
      <c r="C335" s="40" t="s">
        <v>1260</v>
      </c>
      <c r="D335" s="41" t="s">
        <v>1553</v>
      </c>
      <c r="E335" s="41" t="s">
        <v>1554</v>
      </c>
      <c r="F335" s="42"/>
      <c r="G335" s="42">
        <v>2</v>
      </c>
      <c r="H335" s="42" t="s">
        <v>1516</v>
      </c>
      <c r="I335" s="42" t="s">
        <v>443</v>
      </c>
      <c r="J335" s="42"/>
      <c r="K335" s="41"/>
      <c r="L335" s="43"/>
      <c r="M335" s="43"/>
      <c r="N335" s="43"/>
      <c r="O335" s="43"/>
      <c r="P335" s="43"/>
      <c r="Q335" s="43"/>
      <c r="R335" s="44" t="s">
        <v>2362</v>
      </c>
    </row>
    <row r="336" spans="1:18" x14ac:dyDescent="0.25">
      <c r="A336" s="40">
        <v>334</v>
      </c>
      <c r="B336" s="43" t="s">
        <v>444</v>
      </c>
      <c r="C336" s="40" t="s">
        <v>1262</v>
      </c>
      <c r="D336" s="41" t="s">
        <v>1553</v>
      </c>
      <c r="E336" s="41" t="s">
        <v>1554</v>
      </c>
      <c r="F336" s="42"/>
      <c r="G336" s="42">
        <v>2</v>
      </c>
      <c r="H336" s="42" t="s">
        <v>1512</v>
      </c>
      <c r="I336" s="42" t="s">
        <v>444</v>
      </c>
      <c r="J336" s="42"/>
      <c r="K336" s="41"/>
      <c r="L336" s="43"/>
      <c r="M336" s="43"/>
      <c r="N336" s="43"/>
      <c r="O336" s="43"/>
      <c r="P336" s="43" t="s">
        <v>1568</v>
      </c>
      <c r="Q336" s="43"/>
    </row>
    <row r="337" spans="1:17" x14ac:dyDescent="0.25">
      <c r="A337" s="40">
        <v>335</v>
      </c>
      <c r="B337" s="43" t="s">
        <v>445</v>
      </c>
      <c r="C337" s="40" t="s">
        <v>1264</v>
      </c>
      <c r="D337" s="41" t="s">
        <v>1553</v>
      </c>
      <c r="E337" s="41" t="s">
        <v>1554</v>
      </c>
      <c r="F337" s="42"/>
      <c r="G337" s="42">
        <v>2</v>
      </c>
      <c r="H337" s="42" t="s">
        <v>1512</v>
      </c>
      <c r="I337" s="42" t="s">
        <v>445</v>
      </c>
      <c r="J337" s="42"/>
      <c r="K337" s="41"/>
      <c r="L337" s="43"/>
      <c r="M337" s="43"/>
      <c r="N337" s="43"/>
      <c r="O337" s="43"/>
      <c r="P337" s="43" t="s">
        <v>1568</v>
      </c>
      <c r="Q337" s="43"/>
    </row>
    <row r="338" spans="1:17" x14ac:dyDescent="0.25">
      <c r="A338" s="40">
        <v>336</v>
      </c>
      <c r="B338" s="43" t="s">
        <v>446</v>
      </c>
      <c r="C338" s="40" t="s">
        <v>1265</v>
      </c>
      <c r="D338" s="41" t="s">
        <v>1553</v>
      </c>
      <c r="E338" s="41"/>
      <c r="F338" s="42"/>
      <c r="G338" s="42">
        <v>2</v>
      </c>
      <c r="H338" s="42" t="s">
        <v>806</v>
      </c>
      <c r="I338" s="42" t="s">
        <v>446</v>
      </c>
      <c r="J338" s="42"/>
      <c r="K338" s="41"/>
      <c r="L338" s="43"/>
      <c r="M338" s="43"/>
      <c r="N338" s="43"/>
      <c r="O338" s="43"/>
      <c r="P338" s="43"/>
      <c r="Q338" s="43"/>
    </row>
    <row r="339" spans="1:17" x14ac:dyDescent="0.25">
      <c r="A339" s="40">
        <v>337</v>
      </c>
      <c r="B339" s="43" t="s">
        <v>475</v>
      </c>
      <c r="C339" s="40" t="s">
        <v>664</v>
      </c>
      <c r="D339" s="41" t="s">
        <v>1553</v>
      </c>
      <c r="E339" s="41"/>
      <c r="F339" s="42"/>
      <c r="G339" s="42">
        <v>2</v>
      </c>
      <c r="H339" s="42" t="s">
        <v>806</v>
      </c>
      <c r="I339" s="42" t="s">
        <v>475</v>
      </c>
      <c r="J339" s="42"/>
      <c r="K339" s="41"/>
      <c r="L339" s="43"/>
      <c r="M339" s="43"/>
      <c r="N339" s="43"/>
      <c r="O339" s="43"/>
      <c r="P339" s="43"/>
      <c r="Q339" s="43"/>
    </row>
    <row r="340" spans="1:17" x14ac:dyDescent="0.25">
      <c r="A340" s="40">
        <v>338</v>
      </c>
      <c r="B340" s="43" t="s">
        <v>476</v>
      </c>
      <c r="C340" s="40" t="s">
        <v>665</v>
      </c>
      <c r="D340" s="41" t="s">
        <v>1553</v>
      </c>
      <c r="E340" s="41"/>
      <c r="F340" s="42"/>
      <c r="G340" s="42">
        <v>2</v>
      </c>
      <c r="H340" s="42" t="s">
        <v>806</v>
      </c>
      <c r="I340" s="42" t="s">
        <v>476</v>
      </c>
      <c r="J340" s="42"/>
      <c r="K340" s="41"/>
      <c r="L340" s="43"/>
      <c r="M340" s="43"/>
      <c r="N340" s="43"/>
      <c r="O340" s="43"/>
      <c r="P340" s="43"/>
      <c r="Q340" s="43"/>
    </row>
    <row r="341" spans="1:17" x14ac:dyDescent="0.25">
      <c r="A341" s="40">
        <v>339</v>
      </c>
      <c r="B341" s="43" t="s">
        <v>485</v>
      </c>
      <c r="C341" s="40" t="s">
        <v>666</v>
      </c>
      <c r="D341" s="41" t="s">
        <v>1553</v>
      </c>
      <c r="E341" s="41"/>
      <c r="F341" s="42"/>
      <c r="G341" s="42">
        <v>2</v>
      </c>
      <c r="H341" s="42" t="s">
        <v>807</v>
      </c>
      <c r="I341" s="42" t="s">
        <v>485</v>
      </c>
      <c r="J341" s="42"/>
      <c r="K341" s="41"/>
      <c r="L341" s="43"/>
      <c r="M341" s="43"/>
      <c r="N341" s="43"/>
      <c r="O341" s="43"/>
      <c r="P341" s="43"/>
      <c r="Q341" s="43"/>
    </row>
    <row r="342" spans="1:17" x14ac:dyDescent="0.25">
      <c r="A342" s="40">
        <v>340</v>
      </c>
      <c r="B342" s="43" t="s">
        <v>538</v>
      </c>
      <c r="C342" s="40" t="s">
        <v>667</v>
      </c>
      <c r="D342" s="41" t="s">
        <v>1427</v>
      </c>
      <c r="E342" s="41"/>
      <c r="F342" s="42"/>
      <c r="G342" s="42"/>
      <c r="H342" s="42"/>
      <c r="I342" s="42"/>
      <c r="J342" s="42">
        <v>2</v>
      </c>
      <c r="K342" s="41" t="s">
        <v>806</v>
      </c>
      <c r="L342" s="43" t="s">
        <v>538</v>
      </c>
      <c r="M342" s="43"/>
      <c r="N342" s="43"/>
      <c r="O342" s="43"/>
      <c r="P342" s="43"/>
      <c r="Q342" s="43"/>
    </row>
    <row r="343" spans="1:17" x14ac:dyDescent="0.25">
      <c r="A343" s="40">
        <v>341</v>
      </c>
      <c r="B343" s="43" t="s">
        <v>510</v>
      </c>
      <c r="C343" s="40" t="s">
        <v>668</v>
      </c>
      <c r="D343" s="41" t="s">
        <v>1553</v>
      </c>
      <c r="E343" s="41"/>
      <c r="F343" s="42"/>
      <c r="G343" s="42">
        <v>2</v>
      </c>
      <c r="H343" s="42" t="s">
        <v>805</v>
      </c>
      <c r="I343" s="42" t="s">
        <v>510</v>
      </c>
      <c r="J343" s="42"/>
      <c r="K343" s="41"/>
      <c r="L343" s="43"/>
      <c r="M343" s="43"/>
      <c r="N343" s="43"/>
      <c r="O343" s="43"/>
      <c r="P343" s="43"/>
      <c r="Q343" s="43"/>
    </row>
    <row r="344" spans="1:17" x14ac:dyDescent="0.25">
      <c r="A344" s="40">
        <v>342</v>
      </c>
      <c r="B344" s="43" t="s">
        <v>477</v>
      </c>
      <c r="C344" s="40" t="s">
        <v>669</v>
      </c>
      <c r="D344" s="41" t="s">
        <v>1553</v>
      </c>
      <c r="E344" s="41"/>
      <c r="F344" s="42"/>
      <c r="G344" s="42">
        <v>2</v>
      </c>
      <c r="H344" s="42" t="s">
        <v>804</v>
      </c>
      <c r="I344" s="42" t="s">
        <v>477</v>
      </c>
      <c r="J344" s="42"/>
      <c r="K344" s="41"/>
      <c r="L344" s="43"/>
      <c r="M344" s="43"/>
      <c r="N344" s="43"/>
      <c r="O344" s="43"/>
      <c r="P344" s="43"/>
      <c r="Q344" s="43"/>
    </row>
    <row r="345" spans="1:17" x14ac:dyDescent="0.25">
      <c r="A345" s="40">
        <v>343</v>
      </c>
      <c r="B345" s="43" t="s">
        <v>539</v>
      </c>
      <c r="C345" s="40" t="s">
        <v>670</v>
      </c>
      <c r="D345" s="41" t="s">
        <v>1427</v>
      </c>
      <c r="E345" s="41"/>
      <c r="F345" s="42"/>
      <c r="G345" s="42"/>
      <c r="H345" s="42"/>
      <c r="I345" s="42"/>
      <c r="J345" s="42">
        <v>2</v>
      </c>
      <c r="K345" s="41" t="s">
        <v>1513</v>
      </c>
      <c r="L345" s="43" t="s">
        <v>539</v>
      </c>
      <c r="M345" s="43"/>
      <c r="N345" s="43"/>
      <c r="O345" s="43"/>
      <c r="P345" s="43"/>
      <c r="Q345" s="43"/>
    </row>
    <row r="346" spans="1:17" x14ac:dyDescent="0.25">
      <c r="A346" s="40">
        <v>344</v>
      </c>
      <c r="B346" s="43" t="s">
        <v>478</v>
      </c>
      <c r="C346" s="40" t="s">
        <v>671</v>
      </c>
      <c r="D346" s="41" t="s">
        <v>1553</v>
      </c>
      <c r="E346" s="41"/>
      <c r="F346" s="42"/>
      <c r="G346" s="42">
        <v>2</v>
      </c>
      <c r="H346" s="42" t="s">
        <v>802</v>
      </c>
      <c r="I346" s="42" t="s">
        <v>478</v>
      </c>
      <c r="J346" s="42"/>
      <c r="K346" s="41"/>
      <c r="L346" s="43"/>
      <c r="M346" s="43"/>
      <c r="N346" s="43"/>
      <c r="O346" s="43"/>
      <c r="P346" s="43"/>
      <c r="Q346" s="43"/>
    </row>
    <row r="347" spans="1:17" x14ac:dyDescent="0.25">
      <c r="A347" s="40">
        <v>345</v>
      </c>
      <c r="B347" s="43" t="s">
        <v>474</v>
      </c>
      <c r="C347" s="40" t="s">
        <v>672</v>
      </c>
      <c r="D347" s="41" t="s">
        <v>1553</v>
      </c>
      <c r="E347" s="41"/>
      <c r="F347" s="42"/>
      <c r="G347" s="42">
        <v>2</v>
      </c>
      <c r="H347" s="42" t="s">
        <v>805</v>
      </c>
      <c r="I347" s="42" t="s">
        <v>474</v>
      </c>
      <c r="J347" s="42"/>
      <c r="K347" s="41"/>
      <c r="L347" s="43"/>
      <c r="M347" s="43"/>
      <c r="N347" s="43"/>
      <c r="O347" s="43"/>
      <c r="P347" s="43"/>
      <c r="Q347" s="43"/>
    </row>
    <row r="348" spans="1:17" x14ac:dyDescent="0.25">
      <c r="A348" s="40">
        <v>346</v>
      </c>
      <c r="B348" s="43" t="s">
        <v>1630</v>
      </c>
      <c r="C348" s="40" t="e">
        <v>#N/A</v>
      </c>
      <c r="D348" s="41" t="s">
        <v>1553</v>
      </c>
      <c r="E348" s="41"/>
      <c r="F348" s="42"/>
      <c r="G348" s="42">
        <v>2</v>
      </c>
      <c r="H348" s="42" t="s">
        <v>1517</v>
      </c>
      <c r="I348" s="42" t="s">
        <v>1630</v>
      </c>
      <c r="J348" s="42"/>
      <c r="K348" s="41"/>
      <c r="L348" s="43"/>
      <c r="M348" s="43"/>
      <c r="N348" s="43"/>
      <c r="O348" s="43"/>
      <c r="P348" s="43"/>
      <c r="Q348" s="43"/>
    </row>
    <row r="349" spans="1:17" x14ac:dyDescent="0.25">
      <c r="A349" s="40">
        <v>347</v>
      </c>
      <c r="B349" s="43" t="s">
        <v>543</v>
      </c>
      <c r="C349" s="40" t="s">
        <v>673</v>
      </c>
      <c r="D349" s="41" t="s">
        <v>1553</v>
      </c>
      <c r="E349" s="41"/>
      <c r="F349" s="42"/>
      <c r="G349" s="42">
        <v>2</v>
      </c>
      <c r="H349" s="42" t="s">
        <v>1470</v>
      </c>
      <c r="I349" s="42" t="s">
        <v>543</v>
      </c>
      <c r="J349" s="42"/>
      <c r="K349" s="41"/>
      <c r="L349" s="43"/>
      <c r="M349" s="43"/>
      <c r="N349" s="43"/>
      <c r="O349" s="43"/>
      <c r="P349" s="43"/>
      <c r="Q349" s="43"/>
    </row>
    <row r="350" spans="1:17" x14ac:dyDescent="0.25">
      <c r="A350" s="40">
        <v>348</v>
      </c>
      <c r="B350" s="43" t="s">
        <v>537</v>
      </c>
      <c r="C350" s="40" t="s">
        <v>674</v>
      </c>
      <c r="D350" s="41" t="s">
        <v>1427</v>
      </c>
      <c r="E350" s="41"/>
      <c r="F350" s="42"/>
      <c r="G350" s="42"/>
      <c r="H350" s="42"/>
      <c r="I350" s="42"/>
      <c r="J350" s="42">
        <v>2</v>
      </c>
      <c r="K350" s="41" t="s">
        <v>1515</v>
      </c>
      <c r="L350" s="43" t="s">
        <v>537</v>
      </c>
      <c r="M350" s="43"/>
      <c r="N350" s="43"/>
      <c r="O350" s="43"/>
      <c r="P350" s="43"/>
      <c r="Q350" s="43"/>
    </row>
    <row r="351" spans="1:17" x14ac:dyDescent="0.25">
      <c r="A351" s="40">
        <v>349</v>
      </c>
      <c r="B351" s="43" t="s">
        <v>498</v>
      </c>
      <c r="C351" s="40" t="s">
        <v>675</v>
      </c>
      <c r="D351" s="41" t="s">
        <v>1553</v>
      </c>
      <c r="E351" s="41"/>
      <c r="F351" s="42"/>
      <c r="G351" s="42">
        <v>2</v>
      </c>
      <c r="H351" s="42" t="s">
        <v>1512</v>
      </c>
      <c r="I351" s="42" t="s">
        <v>498</v>
      </c>
      <c r="J351" s="42"/>
      <c r="K351" s="41"/>
      <c r="L351" s="43"/>
      <c r="M351" s="43"/>
      <c r="N351" s="43"/>
      <c r="O351" s="43"/>
      <c r="P351" s="43"/>
      <c r="Q351" s="43"/>
    </row>
    <row r="352" spans="1:17" x14ac:dyDescent="0.25">
      <c r="A352" s="40">
        <v>350</v>
      </c>
      <c r="B352" s="43" t="s">
        <v>526</v>
      </c>
      <c r="C352" s="40" t="s">
        <v>676</v>
      </c>
      <c r="D352" s="41" t="s">
        <v>1553</v>
      </c>
      <c r="E352" s="41"/>
      <c r="F352" s="42"/>
      <c r="G352" s="42">
        <v>2</v>
      </c>
      <c r="H352" s="42" t="s">
        <v>802</v>
      </c>
      <c r="I352" s="42" t="s">
        <v>526</v>
      </c>
      <c r="J352" s="42"/>
      <c r="K352" s="41"/>
      <c r="L352" s="43"/>
      <c r="M352" s="43"/>
      <c r="N352" s="43"/>
      <c r="O352" s="43"/>
      <c r="P352" s="43"/>
      <c r="Q352" s="43"/>
    </row>
    <row r="353" spans="1:17" x14ac:dyDescent="0.25">
      <c r="A353" s="40">
        <v>351</v>
      </c>
      <c r="B353" s="43" t="s">
        <v>511</v>
      </c>
      <c r="C353" s="40" t="s">
        <v>677</v>
      </c>
      <c r="D353" s="41" t="s">
        <v>1553</v>
      </c>
      <c r="E353" s="41"/>
      <c r="F353" s="42"/>
      <c r="G353" s="42">
        <v>2</v>
      </c>
      <c r="H353" s="42" t="s">
        <v>804</v>
      </c>
      <c r="I353" s="42" t="s">
        <v>511</v>
      </c>
      <c r="J353" s="42"/>
      <c r="K353" s="41"/>
      <c r="L353" s="43"/>
      <c r="M353" s="43"/>
      <c r="N353" s="43"/>
      <c r="O353" s="43"/>
      <c r="P353" s="43"/>
      <c r="Q353" s="43"/>
    </row>
    <row r="354" spans="1:17" x14ac:dyDescent="0.25">
      <c r="A354" s="40">
        <v>352</v>
      </c>
      <c r="B354" s="43" t="s">
        <v>525</v>
      </c>
      <c r="C354" s="40" t="s">
        <v>678</v>
      </c>
      <c r="D354" s="41" t="s">
        <v>1436</v>
      </c>
      <c r="E354" s="41"/>
      <c r="F354" s="42"/>
      <c r="G354" s="42"/>
      <c r="H354" s="42"/>
      <c r="I354" s="42"/>
      <c r="J354" s="42"/>
      <c r="K354" s="41"/>
      <c r="L354" s="43"/>
      <c r="M354" s="43" t="s">
        <v>1515</v>
      </c>
      <c r="N354" s="43" t="s">
        <v>525</v>
      </c>
      <c r="O354" s="43" t="s">
        <v>1436</v>
      </c>
      <c r="P354" s="43"/>
      <c r="Q354" s="43"/>
    </row>
    <row r="355" spans="1:17" x14ac:dyDescent="0.25">
      <c r="A355" s="40">
        <v>353</v>
      </c>
      <c r="B355" s="43" t="s">
        <v>512</v>
      </c>
      <c r="C355" s="40" t="s">
        <v>679</v>
      </c>
      <c r="D355" s="41" t="s">
        <v>1553</v>
      </c>
      <c r="E355" s="41"/>
      <c r="F355" s="42"/>
      <c r="G355" s="42">
        <v>2</v>
      </c>
      <c r="H355" s="42" t="s">
        <v>1449</v>
      </c>
      <c r="I355" s="42" t="s">
        <v>512</v>
      </c>
      <c r="J355" s="42"/>
      <c r="K355" s="41"/>
      <c r="L355" s="43"/>
      <c r="M355" s="43"/>
      <c r="N355" s="43"/>
      <c r="O355" s="43"/>
      <c r="P355" s="43"/>
      <c r="Q355" s="43"/>
    </row>
    <row r="356" spans="1:17" x14ac:dyDescent="0.25">
      <c r="A356" s="40">
        <v>354</v>
      </c>
      <c r="B356" s="43" t="s">
        <v>527</v>
      </c>
      <c r="C356" s="40" t="s">
        <v>680</v>
      </c>
      <c r="D356" s="41" t="s">
        <v>1553</v>
      </c>
      <c r="E356" s="41"/>
      <c r="F356" s="42"/>
      <c r="G356" s="42">
        <v>2</v>
      </c>
      <c r="H356" s="42" t="s">
        <v>1513</v>
      </c>
      <c r="I356" s="42" t="s">
        <v>527</v>
      </c>
      <c r="J356" s="42"/>
      <c r="K356" s="41"/>
      <c r="L356" s="43"/>
      <c r="M356" s="43"/>
      <c r="N356" s="43"/>
      <c r="O356" s="43"/>
      <c r="P356" s="43"/>
      <c r="Q356" s="43"/>
    </row>
    <row r="357" spans="1:17" x14ac:dyDescent="0.25">
      <c r="A357" s="40">
        <v>355</v>
      </c>
      <c r="B357" s="43" t="s">
        <v>513</v>
      </c>
      <c r="C357" s="40" t="s">
        <v>681</v>
      </c>
      <c r="D357" s="41" t="s">
        <v>1553</v>
      </c>
      <c r="E357" s="41"/>
      <c r="F357" s="42"/>
      <c r="G357" s="42">
        <v>2</v>
      </c>
      <c r="H357" s="42" t="s">
        <v>1514</v>
      </c>
      <c r="I357" s="42" t="s">
        <v>513</v>
      </c>
      <c r="J357" s="42"/>
      <c r="K357" s="41"/>
      <c r="L357" s="43"/>
      <c r="M357" s="43"/>
      <c r="N357" s="43"/>
      <c r="O357" s="43"/>
      <c r="P357" s="43"/>
      <c r="Q357" s="43"/>
    </row>
    <row r="358" spans="1:17" x14ac:dyDescent="0.25">
      <c r="A358" s="40">
        <v>356</v>
      </c>
      <c r="B358" s="43" t="s">
        <v>559</v>
      </c>
      <c r="C358" s="40" t="s">
        <v>682</v>
      </c>
      <c r="D358" s="41" t="s">
        <v>1553</v>
      </c>
      <c r="E358" s="41"/>
      <c r="F358" s="42"/>
      <c r="G358" s="42">
        <v>2</v>
      </c>
      <c r="H358" s="42" t="s">
        <v>1470</v>
      </c>
      <c r="I358" s="42" t="s">
        <v>559</v>
      </c>
      <c r="J358" s="42"/>
      <c r="K358" s="41"/>
      <c r="L358" s="43"/>
      <c r="M358" s="43"/>
      <c r="N358" s="43"/>
      <c r="O358" s="43"/>
      <c r="P358" s="43"/>
      <c r="Q358" s="43"/>
    </row>
    <row r="359" spans="1:17" x14ac:dyDescent="0.25">
      <c r="A359" s="40">
        <v>357</v>
      </c>
      <c r="B359" s="43" t="s">
        <v>558</v>
      </c>
      <c r="C359" s="40" t="s">
        <v>683</v>
      </c>
      <c r="D359" s="41" t="s">
        <v>1553</v>
      </c>
      <c r="E359" s="41"/>
      <c r="F359" s="42"/>
      <c r="G359" s="42">
        <v>2</v>
      </c>
      <c r="H359" s="42" t="s">
        <v>1512</v>
      </c>
      <c r="I359" s="42" t="s">
        <v>558</v>
      </c>
      <c r="J359" s="42"/>
      <c r="K359" s="41"/>
      <c r="L359" s="43"/>
      <c r="M359" s="43"/>
      <c r="N359" s="43"/>
      <c r="O359" s="43"/>
      <c r="P359" s="43"/>
      <c r="Q359" s="43"/>
    </row>
    <row r="360" spans="1:17" x14ac:dyDescent="0.25">
      <c r="A360" s="40">
        <v>358</v>
      </c>
      <c r="B360" s="43" t="s">
        <v>568</v>
      </c>
      <c r="C360" s="40" t="s">
        <v>684</v>
      </c>
      <c r="D360" s="41" t="s">
        <v>1427</v>
      </c>
      <c r="E360" s="41"/>
      <c r="F360" s="42"/>
      <c r="G360" s="42"/>
      <c r="H360" s="42"/>
      <c r="I360" s="42"/>
      <c r="J360" s="42">
        <v>2</v>
      </c>
      <c r="K360" s="41" t="s">
        <v>1518</v>
      </c>
      <c r="L360" s="43" t="s">
        <v>568</v>
      </c>
      <c r="M360" s="43"/>
      <c r="N360" s="43"/>
      <c r="O360" s="43"/>
      <c r="P360" s="43"/>
      <c r="Q360" s="43"/>
    </row>
    <row r="361" spans="1:17" x14ac:dyDescent="0.25">
      <c r="A361" s="40">
        <v>359</v>
      </c>
      <c r="B361" s="43" t="s">
        <v>581</v>
      </c>
      <c r="C361" s="40" t="s">
        <v>685</v>
      </c>
      <c r="D361" s="41" t="s">
        <v>1427</v>
      </c>
      <c r="E361" s="41"/>
      <c r="F361" s="42"/>
      <c r="G361" s="42"/>
      <c r="H361" s="42"/>
      <c r="I361" s="42"/>
      <c r="J361" s="42">
        <v>4</v>
      </c>
      <c r="K361" s="41" t="s">
        <v>805</v>
      </c>
      <c r="L361" s="43" t="s">
        <v>581</v>
      </c>
      <c r="M361" s="43"/>
      <c r="N361" s="43"/>
      <c r="O361" s="43"/>
      <c r="P361" s="43"/>
      <c r="Q361" s="43"/>
    </row>
    <row r="362" spans="1:17" x14ac:dyDescent="0.25">
      <c r="A362" s="40">
        <v>360</v>
      </c>
      <c r="B362" s="43" t="s">
        <v>582</v>
      </c>
      <c r="C362" s="40" t="s">
        <v>686</v>
      </c>
      <c r="D362" s="41" t="s">
        <v>1427</v>
      </c>
      <c r="E362" s="41"/>
      <c r="F362" s="42"/>
      <c r="G362" s="42"/>
      <c r="H362" s="42"/>
      <c r="I362" s="42"/>
      <c r="J362" s="42">
        <v>2</v>
      </c>
      <c r="K362" s="41" t="s">
        <v>802</v>
      </c>
      <c r="L362" s="43" t="s">
        <v>582</v>
      </c>
      <c r="M362" s="43" t="s">
        <v>802</v>
      </c>
      <c r="N362" s="43" t="s">
        <v>582</v>
      </c>
      <c r="O362" s="43" t="s">
        <v>1573</v>
      </c>
      <c r="P362" s="43"/>
      <c r="Q362" s="43"/>
    </row>
    <row r="363" spans="1:17" x14ac:dyDescent="0.25">
      <c r="A363" s="40">
        <v>361</v>
      </c>
      <c r="B363" s="43" t="s">
        <v>578</v>
      </c>
      <c r="C363" s="40" t="s">
        <v>687</v>
      </c>
      <c r="D363" s="41" t="s">
        <v>1427</v>
      </c>
      <c r="E363" s="41"/>
      <c r="F363" s="42"/>
      <c r="G363" s="42"/>
      <c r="H363" s="42"/>
      <c r="I363" s="42"/>
      <c r="J363" s="42">
        <v>2</v>
      </c>
      <c r="K363" s="41" t="s">
        <v>804</v>
      </c>
      <c r="L363" s="43" t="s">
        <v>578</v>
      </c>
      <c r="M363" s="43"/>
      <c r="N363" s="43"/>
      <c r="O363" s="43"/>
      <c r="P363" s="43"/>
      <c r="Q363" s="43"/>
    </row>
    <row r="364" spans="1:17" x14ac:dyDescent="0.25">
      <c r="A364" s="40">
        <v>362</v>
      </c>
      <c r="B364" s="40" t="s">
        <v>165</v>
      </c>
      <c r="C364" s="40" t="s">
        <v>1271</v>
      </c>
      <c r="D364" s="41" t="str">
        <f>VLOOKUP(B364,[1]CSG!$B$2:$C$169,2,0)</f>
        <v>CSG-CTPD01</v>
      </c>
      <c r="E364" s="41" t="s">
        <v>812</v>
      </c>
      <c r="F364" s="41"/>
      <c r="G364" s="41"/>
      <c r="H364" s="41"/>
      <c r="I364" s="41"/>
      <c r="J364" s="42"/>
      <c r="K364" s="41"/>
      <c r="L364" s="43"/>
      <c r="M364" s="43"/>
      <c r="N364" s="43"/>
      <c r="O364" s="43"/>
      <c r="P364" s="43"/>
      <c r="Q364" s="43" t="s">
        <v>1647</v>
      </c>
    </row>
    <row r="365" spans="1:17" x14ac:dyDescent="0.25">
      <c r="A365" s="40">
        <v>363</v>
      </c>
      <c r="B365" s="40" t="s">
        <v>166</v>
      </c>
      <c r="C365" s="40" t="s">
        <v>837</v>
      </c>
      <c r="D365" s="41" t="s">
        <v>1553</v>
      </c>
      <c r="E365" s="41"/>
      <c r="F365" s="42"/>
      <c r="G365" s="42">
        <v>2</v>
      </c>
      <c r="H365" s="42" t="s">
        <v>808</v>
      </c>
      <c r="I365" s="42" t="s">
        <v>165</v>
      </c>
      <c r="J365" s="42"/>
      <c r="K365" s="41"/>
      <c r="L365" s="43"/>
      <c r="M365" s="43" t="s">
        <v>808</v>
      </c>
      <c r="N365" s="43" t="s">
        <v>166</v>
      </c>
      <c r="O365" s="43" t="s">
        <v>1570</v>
      </c>
      <c r="P365" s="43"/>
      <c r="Q365" s="43"/>
    </row>
    <row r="366" spans="1:17" x14ac:dyDescent="0.25">
      <c r="A366" s="40">
        <v>364</v>
      </c>
      <c r="B366" s="40" t="s">
        <v>153</v>
      </c>
      <c r="C366" s="40" t="s">
        <v>1272</v>
      </c>
      <c r="D366" s="41" t="s">
        <v>1553</v>
      </c>
      <c r="E366" s="41" t="s">
        <v>1554</v>
      </c>
      <c r="F366" s="42"/>
      <c r="G366" s="42">
        <v>2</v>
      </c>
      <c r="H366" s="42" t="s">
        <v>1519</v>
      </c>
      <c r="I366" s="42" t="s">
        <v>153</v>
      </c>
      <c r="J366" s="42"/>
      <c r="K366" s="41"/>
      <c r="L366" s="43"/>
      <c r="M366" s="43" t="s">
        <v>808</v>
      </c>
      <c r="N366" s="43" t="s">
        <v>153</v>
      </c>
      <c r="O366" s="43" t="s">
        <v>1573</v>
      </c>
      <c r="P366" s="43"/>
      <c r="Q366" s="43"/>
    </row>
    <row r="367" spans="1:17" x14ac:dyDescent="0.25">
      <c r="A367" s="40">
        <v>365</v>
      </c>
      <c r="B367" s="40" t="s">
        <v>154</v>
      </c>
      <c r="C367" s="40" t="s">
        <v>1273</v>
      </c>
      <c r="D367" s="41" t="s">
        <v>1553</v>
      </c>
      <c r="E367" s="41"/>
      <c r="F367" s="42"/>
      <c r="G367" s="42">
        <v>2</v>
      </c>
      <c r="H367" s="42" t="s">
        <v>1520</v>
      </c>
      <c r="I367" s="42" t="s">
        <v>154</v>
      </c>
      <c r="J367" s="42"/>
      <c r="K367" s="41"/>
      <c r="L367" s="43"/>
      <c r="M367" s="43" t="s">
        <v>804</v>
      </c>
      <c r="N367" s="43" t="s">
        <v>154</v>
      </c>
      <c r="O367" s="43" t="s">
        <v>1436</v>
      </c>
      <c r="P367" s="43" t="s">
        <v>1568</v>
      </c>
      <c r="Q367" s="43"/>
    </row>
    <row r="368" spans="1:17" x14ac:dyDescent="0.25">
      <c r="A368" s="40">
        <v>366</v>
      </c>
      <c r="B368" s="40" t="s">
        <v>155</v>
      </c>
      <c r="C368" s="40" t="s">
        <v>1274</v>
      </c>
      <c r="D368" s="41" t="s">
        <v>1553</v>
      </c>
      <c r="E368" s="41" t="s">
        <v>1554</v>
      </c>
      <c r="F368" s="42"/>
      <c r="G368" s="42">
        <v>2</v>
      </c>
      <c r="H368" s="42" t="s">
        <v>1458</v>
      </c>
      <c r="I368" s="42" t="s">
        <v>155</v>
      </c>
      <c r="J368" s="42"/>
      <c r="K368" s="41"/>
      <c r="L368" s="43"/>
      <c r="M368" s="43"/>
      <c r="N368" s="43"/>
      <c r="O368" s="43"/>
      <c r="P368" s="43" t="s">
        <v>1568</v>
      </c>
      <c r="Q368" s="43"/>
    </row>
    <row r="369" spans="1:19" x14ac:dyDescent="0.25">
      <c r="A369" s="40">
        <v>367</v>
      </c>
      <c r="B369" s="40" t="s">
        <v>167</v>
      </c>
      <c r="C369" s="40" t="s">
        <v>1275</v>
      </c>
      <c r="D369" s="41" t="s">
        <v>1553</v>
      </c>
      <c r="E369" s="41" t="s">
        <v>1554</v>
      </c>
      <c r="F369" s="42"/>
      <c r="G369" s="42">
        <v>2</v>
      </c>
      <c r="H369" s="42" t="s">
        <v>810</v>
      </c>
      <c r="I369" s="42" t="s">
        <v>167</v>
      </c>
      <c r="J369" s="42"/>
      <c r="K369" s="41"/>
      <c r="L369" s="43"/>
      <c r="M369" s="43"/>
      <c r="N369" s="43"/>
      <c r="O369" s="43"/>
      <c r="P369" s="43" t="s">
        <v>1568</v>
      </c>
      <c r="Q369" s="43"/>
    </row>
    <row r="370" spans="1:19" x14ac:dyDescent="0.25">
      <c r="A370" s="40">
        <v>368</v>
      </c>
      <c r="B370" s="40" t="s">
        <v>168</v>
      </c>
      <c r="C370" s="40" t="s">
        <v>1276</v>
      </c>
      <c r="D370" s="41" t="str">
        <f>VLOOKUP(B370,[1]CSG!$B$2:$C$169,2,0)</f>
        <v>CSG-CTPD07</v>
      </c>
      <c r="E370" s="41" t="s">
        <v>812</v>
      </c>
      <c r="F370" s="41"/>
      <c r="G370" s="41"/>
      <c r="H370" s="41"/>
      <c r="I370" s="41"/>
      <c r="J370" s="42"/>
      <c r="K370" s="41"/>
      <c r="L370" s="43"/>
      <c r="M370" s="43"/>
      <c r="N370" s="43"/>
      <c r="O370" s="43"/>
      <c r="P370" s="43"/>
      <c r="Q370" s="43"/>
    </row>
    <row r="371" spans="1:19" x14ac:dyDescent="0.25">
      <c r="A371" s="40">
        <v>369</v>
      </c>
      <c r="B371" s="40" t="s">
        <v>169</v>
      </c>
      <c r="C371" s="40" t="s">
        <v>1277</v>
      </c>
      <c r="D371" s="41" t="str">
        <f>VLOOKUP(B371,[1]CSG!$B$2:$C$169,2,0)</f>
        <v>CSG-CTPD08</v>
      </c>
      <c r="E371" s="41" t="s">
        <v>812</v>
      </c>
      <c r="F371" s="41"/>
      <c r="G371" s="41"/>
      <c r="H371" s="41"/>
      <c r="I371" s="41"/>
      <c r="J371" s="42"/>
      <c r="K371" s="41"/>
      <c r="L371" s="43"/>
      <c r="M371" s="43"/>
      <c r="N371" s="43"/>
      <c r="O371" s="43"/>
      <c r="P371" s="43"/>
      <c r="Q371" s="43"/>
    </row>
    <row r="372" spans="1:19" x14ac:dyDescent="0.25">
      <c r="A372" s="40">
        <v>370</v>
      </c>
      <c r="B372" s="40" t="s">
        <v>156</v>
      </c>
      <c r="C372" s="40" t="s">
        <v>1278</v>
      </c>
      <c r="D372" s="41" t="s">
        <v>1553</v>
      </c>
      <c r="E372" s="41" t="s">
        <v>1554</v>
      </c>
      <c r="F372" s="42"/>
      <c r="G372" s="42">
        <v>2</v>
      </c>
      <c r="H372" s="42" t="s">
        <v>809</v>
      </c>
      <c r="I372" s="42" t="s">
        <v>156</v>
      </c>
      <c r="J372" s="42"/>
      <c r="K372" s="41"/>
      <c r="L372" s="43"/>
      <c r="M372" s="43" t="s">
        <v>1589</v>
      </c>
      <c r="N372" s="43" t="s">
        <v>156</v>
      </c>
      <c r="O372" s="43" t="s">
        <v>1590</v>
      </c>
      <c r="P372" s="43"/>
      <c r="Q372" s="43"/>
    </row>
    <row r="373" spans="1:19" x14ac:dyDescent="0.25">
      <c r="A373" s="40">
        <v>371</v>
      </c>
      <c r="B373" s="40" t="s">
        <v>157</v>
      </c>
      <c r="C373" s="40" t="s">
        <v>1279</v>
      </c>
      <c r="D373" s="41" t="str">
        <f>VLOOKUP(B373,[1]CSG!$B$2:$C$169,2,0)</f>
        <v>CSG-CTPD10</v>
      </c>
      <c r="E373" s="41" t="s">
        <v>812</v>
      </c>
      <c r="F373" s="41"/>
      <c r="G373" s="41"/>
      <c r="H373" s="41"/>
      <c r="I373" s="41"/>
      <c r="J373" s="42"/>
      <c r="K373" s="41"/>
      <c r="L373" s="43"/>
      <c r="M373" s="43"/>
      <c r="N373" s="43"/>
      <c r="O373" s="43"/>
      <c r="P373" s="43"/>
      <c r="Q373" s="43"/>
    </row>
    <row r="374" spans="1:19" x14ac:dyDescent="0.25">
      <c r="A374" s="40">
        <v>372</v>
      </c>
      <c r="B374" s="40" t="s">
        <v>170</v>
      </c>
      <c r="C374" s="40" t="s">
        <v>1280</v>
      </c>
      <c r="D374" s="41" t="s">
        <v>1553</v>
      </c>
      <c r="E374" s="41" t="s">
        <v>1554</v>
      </c>
      <c r="F374" s="42"/>
      <c r="G374" s="42">
        <v>2</v>
      </c>
      <c r="H374" s="42" t="s">
        <v>1521</v>
      </c>
      <c r="I374" s="42" t="s">
        <v>170</v>
      </c>
      <c r="J374" s="42"/>
      <c r="K374" s="41"/>
      <c r="L374" s="43"/>
      <c r="M374" s="43" t="s">
        <v>1480</v>
      </c>
      <c r="N374" s="43" t="s">
        <v>170</v>
      </c>
      <c r="O374" s="43" t="s">
        <v>1573</v>
      </c>
      <c r="P374" s="43"/>
      <c r="Q374" s="43" t="s">
        <v>1647</v>
      </c>
      <c r="R374" s="44" t="s">
        <v>1711</v>
      </c>
      <c r="S374" s="44" t="s">
        <v>2336</v>
      </c>
    </row>
    <row r="375" spans="1:19" x14ac:dyDescent="0.25">
      <c r="A375" s="40">
        <v>373</v>
      </c>
      <c r="B375" s="40" t="s">
        <v>171</v>
      </c>
      <c r="C375" s="40" t="s">
        <v>1281</v>
      </c>
      <c r="D375" s="41" t="s">
        <v>1553</v>
      </c>
      <c r="E375" s="41" t="s">
        <v>1554</v>
      </c>
      <c r="F375" s="42"/>
      <c r="G375" s="42">
        <v>2</v>
      </c>
      <c r="H375" s="42" t="s">
        <v>1521</v>
      </c>
      <c r="I375" s="42" t="s">
        <v>171</v>
      </c>
      <c r="J375" s="42"/>
      <c r="K375" s="41"/>
      <c r="L375" s="43"/>
      <c r="M375" s="43" t="s">
        <v>1480</v>
      </c>
      <c r="N375" s="43" t="s">
        <v>171</v>
      </c>
      <c r="O375" s="43" t="s">
        <v>1573</v>
      </c>
      <c r="P375" s="43"/>
      <c r="Q375" s="43" t="s">
        <v>1647</v>
      </c>
      <c r="R375" s="45" t="s">
        <v>1710</v>
      </c>
    </row>
    <row r="376" spans="1:19" x14ac:dyDescent="0.25">
      <c r="A376" s="40">
        <v>374</v>
      </c>
      <c r="B376" s="40" t="s">
        <v>172</v>
      </c>
      <c r="C376" s="40" t="s">
        <v>1282</v>
      </c>
      <c r="D376" s="41" t="s">
        <v>1553</v>
      </c>
      <c r="E376" s="41" t="s">
        <v>1554</v>
      </c>
      <c r="F376" s="42"/>
      <c r="G376" s="42">
        <v>2</v>
      </c>
      <c r="H376" s="42" t="s">
        <v>1519</v>
      </c>
      <c r="I376" s="42" t="s">
        <v>172</v>
      </c>
      <c r="J376" s="42"/>
      <c r="K376" s="41"/>
      <c r="L376" s="43"/>
      <c r="M376" s="43" t="s">
        <v>1480</v>
      </c>
      <c r="N376" s="43" t="s">
        <v>172</v>
      </c>
      <c r="O376" s="43" t="s">
        <v>1573</v>
      </c>
      <c r="P376" s="43"/>
      <c r="Q376" s="43"/>
    </row>
    <row r="377" spans="1:19" x14ac:dyDescent="0.25">
      <c r="A377" s="40">
        <v>375</v>
      </c>
      <c r="B377" s="40" t="s">
        <v>173</v>
      </c>
      <c r="C377" s="40" t="s">
        <v>1283</v>
      </c>
      <c r="D377" s="41" t="s">
        <v>1553</v>
      </c>
      <c r="E377" s="41"/>
      <c r="F377" s="42"/>
      <c r="G377" s="42">
        <v>2</v>
      </c>
      <c r="H377" s="42" t="s">
        <v>808</v>
      </c>
      <c r="I377" s="42" t="s">
        <v>173</v>
      </c>
      <c r="J377" s="42"/>
      <c r="K377" s="41"/>
      <c r="L377" s="43"/>
      <c r="M377" s="43" t="s">
        <v>1480</v>
      </c>
      <c r="N377" s="43" t="s">
        <v>173</v>
      </c>
      <c r="O377" s="43" t="s">
        <v>1454</v>
      </c>
      <c r="P377" s="43" t="s">
        <v>1568</v>
      </c>
      <c r="Q377" s="43"/>
    </row>
    <row r="378" spans="1:19" x14ac:dyDescent="0.25">
      <c r="A378" s="40">
        <v>376</v>
      </c>
      <c r="B378" s="40" t="s">
        <v>174</v>
      </c>
      <c r="C378" s="40" t="s">
        <v>1284</v>
      </c>
      <c r="D378" s="41" t="s">
        <v>1427</v>
      </c>
      <c r="E378" s="41"/>
      <c r="F378" s="42"/>
      <c r="G378" s="42"/>
      <c r="H378" s="42"/>
      <c r="I378" s="42"/>
      <c r="J378" s="42">
        <v>2</v>
      </c>
      <c r="K378" s="41" t="s">
        <v>1476</v>
      </c>
      <c r="L378" s="43" t="s">
        <v>174</v>
      </c>
      <c r="M378" s="43" t="s">
        <v>1521</v>
      </c>
      <c r="N378" s="43" t="s">
        <v>174</v>
      </c>
      <c r="O378" s="43" t="s">
        <v>1461</v>
      </c>
      <c r="P378" s="43" t="s">
        <v>1568</v>
      </c>
      <c r="Q378" s="43"/>
    </row>
    <row r="379" spans="1:19" x14ac:dyDescent="0.25">
      <c r="A379" s="40">
        <v>377</v>
      </c>
      <c r="B379" s="40" t="s">
        <v>175</v>
      </c>
      <c r="C379" s="40" t="s">
        <v>1285</v>
      </c>
      <c r="D379" s="41" t="s">
        <v>1480</v>
      </c>
      <c r="E379" s="41" t="s">
        <v>812</v>
      </c>
      <c r="F379" s="42"/>
      <c r="G379" s="42"/>
      <c r="H379" s="42"/>
      <c r="I379" s="42"/>
      <c r="J379" s="42"/>
      <c r="K379" s="41"/>
      <c r="L379" s="43"/>
      <c r="M379" s="43"/>
      <c r="N379" s="43"/>
      <c r="O379" s="43"/>
      <c r="P379" s="43"/>
      <c r="Q379" s="43"/>
    </row>
    <row r="380" spans="1:19" x14ac:dyDescent="0.25">
      <c r="A380" s="40">
        <v>378</v>
      </c>
      <c r="B380" s="40" t="s">
        <v>158</v>
      </c>
      <c r="C380" s="40" t="s">
        <v>1286</v>
      </c>
      <c r="D380" s="41" t="s">
        <v>1427</v>
      </c>
      <c r="E380" s="41"/>
      <c r="F380" s="42"/>
      <c r="G380" s="42"/>
      <c r="H380" s="42"/>
      <c r="I380" s="42"/>
      <c r="J380" s="42">
        <v>2</v>
      </c>
      <c r="K380" s="41" t="s">
        <v>1591</v>
      </c>
      <c r="L380" s="43" t="s">
        <v>158</v>
      </c>
      <c r="M380" s="43" t="s">
        <v>1449</v>
      </c>
      <c r="N380" s="43" t="s">
        <v>158</v>
      </c>
      <c r="O380" s="43" t="s">
        <v>1574</v>
      </c>
      <c r="P380" s="43" t="s">
        <v>1568</v>
      </c>
      <c r="Q380" s="43"/>
    </row>
    <row r="381" spans="1:19" x14ac:dyDescent="0.25">
      <c r="A381" s="40">
        <v>379</v>
      </c>
      <c r="B381" s="40" t="s">
        <v>176</v>
      </c>
      <c r="C381" s="40" t="s">
        <v>1287</v>
      </c>
      <c r="D381" s="41" t="str">
        <f>VLOOKUP(B381,[1]CSG!$B$2:$C$169,2,0)</f>
        <v>CSG-CTPD18</v>
      </c>
      <c r="E381" s="41" t="s">
        <v>812</v>
      </c>
      <c r="F381" s="41"/>
      <c r="G381" s="41"/>
      <c r="H381" s="41"/>
      <c r="I381" s="41"/>
      <c r="J381" s="42"/>
      <c r="K381" s="41"/>
      <c r="L381" s="43"/>
      <c r="M381" s="43"/>
      <c r="N381" s="43"/>
      <c r="O381" s="43"/>
      <c r="P381" s="43"/>
      <c r="Q381" s="43"/>
    </row>
    <row r="382" spans="1:19" x14ac:dyDescent="0.25">
      <c r="A382" s="40">
        <v>380</v>
      </c>
      <c r="B382" s="40" t="s">
        <v>177</v>
      </c>
      <c r="C382" s="40" t="s">
        <v>1288</v>
      </c>
      <c r="D382" s="41" t="s">
        <v>1553</v>
      </c>
      <c r="E382" s="41"/>
      <c r="F382" s="42"/>
      <c r="G382" s="42">
        <v>2</v>
      </c>
      <c r="H382" s="42" t="s">
        <v>808</v>
      </c>
      <c r="I382" s="42" t="s">
        <v>177</v>
      </c>
      <c r="J382" s="42"/>
      <c r="K382" s="41"/>
      <c r="L382" s="43"/>
      <c r="M382" s="43" t="s">
        <v>1480</v>
      </c>
      <c r="N382" s="43" t="s">
        <v>177</v>
      </c>
      <c r="O382" s="43" t="s">
        <v>1436</v>
      </c>
      <c r="P382" s="43" t="s">
        <v>1568</v>
      </c>
      <c r="Q382" s="43"/>
    </row>
    <row r="383" spans="1:19" x14ac:dyDescent="0.25">
      <c r="A383" s="40">
        <v>381</v>
      </c>
      <c r="B383" s="40" t="s">
        <v>178</v>
      </c>
      <c r="C383" s="40" t="s">
        <v>1289</v>
      </c>
      <c r="D383" s="41" t="s">
        <v>1553</v>
      </c>
      <c r="E383" s="41" t="s">
        <v>1554</v>
      </c>
      <c r="F383" s="42"/>
      <c r="G383" s="42">
        <v>2</v>
      </c>
      <c r="H383" s="42" t="s">
        <v>1522</v>
      </c>
      <c r="I383" s="42" t="s">
        <v>178</v>
      </c>
      <c r="J383" s="42"/>
      <c r="K383" s="41"/>
      <c r="L383" s="43"/>
      <c r="M383" s="43"/>
      <c r="N383" s="43"/>
      <c r="O383" s="43"/>
      <c r="P383" s="43" t="s">
        <v>1568</v>
      </c>
      <c r="Q383" s="43"/>
    </row>
    <row r="384" spans="1:19" x14ac:dyDescent="0.25">
      <c r="A384" s="40">
        <v>382</v>
      </c>
      <c r="B384" s="40" t="s">
        <v>179</v>
      </c>
      <c r="C384" s="40" t="s">
        <v>1290</v>
      </c>
      <c r="D384" s="41" t="s">
        <v>1427</v>
      </c>
      <c r="E384" s="41" t="s">
        <v>1554</v>
      </c>
      <c r="F384" s="42"/>
      <c r="G384" s="42"/>
      <c r="H384" s="42"/>
      <c r="I384" s="42"/>
      <c r="J384" s="42">
        <v>2</v>
      </c>
      <c r="K384" s="41" t="s">
        <v>810</v>
      </c>
      <c r="L384" s="43" t="s">
        <v>179</v>
      </c>
      <c r="M384" s="43"/>
      <c r="N384" s="43"/>
      <c r="O384" s="43"/>
      <c r="P384" s="43" t="s">
        <v>1568</v>
      </c>
      <c r="Q384" s="43"/>
    </row>
    <row r="385" spans="1:18" x14ac:dyDescent="0.25">
      <c r="A385" s="40">
        <v>383</v>
      </c>
      <c r="B385" s="40" t="s">
        <v>180</v>
      </c>
      <c r="C385" s="40" t="s">
        <v>1291</v>
      </c>
      <c r="D385" s="41" t="s">
        <v>1553</v>
      </c>
      <c r="E385" s="41" t="s">
        <v>1554</v>
      </c>
      <c r="F385" s="42"/>
      <c r="G385" s="42">
        <v>2</v>
      </c>
      <c r="H385" s="42" t="s">
        <v>810</v>
      </c>
      <c r="I385" s="42" t="s">
        <v>180</v>
      </c>
      <c r="J385" s="42"/>
      <c r="K385" s="41"/>
      <c r="L385" s="43"/>
      <c r="M385" s="43"/>
      <c r="N385" s="43"/>
      <c r="O385" s="43"/>
      <c r="P385" s="43" t="s">
        <v>1568</v>
      </c>
      <c r="Q385" s="43"/>
    </row>
    <row r="386" spans="1:18" x14ac:dyDescent="0.25">
      <c r="A386" s="40">
        <v>384</v>
      </c>
      <c r="B386" s="40" t="s">
        <v>181</v>
      </c>
      <c r="C386" s="40" t="s">
        <v>1292</v>
      </c>
      <c r="D386" s="41" t="s">
        <v>1553</v>
      </c>
      <c r="E386" s="41" t="s">
        <v>1554</v>
      </c>
      <c r="F386" s="42"/>
      <c r="G386" s="42">
        <v>2</v>
      </c>
      <c r="H386" s="42" t="s">
        <v>810</v>
      </c>
      <c r="I386" s="42" t="s">
        <v>181</v>
      </c>
      <c r="J386" s="42"/>
      <c r="K386" s="41"/>
      <c r="L386" s="43"/>
      <c r="M386" s="43"/>
      <c r="N386" s="43"/>
      <c r="O386" s="43"/>
      <c r="P386" s="43" t="s">
        <v>1568</v>
      </c>
      <c r="Q386" s="43"/>
    </row>
    <row r="387" spans="1:18" x14ac:dyDescent="0.25">
      <c r="A387" s="40">
        <v>385</v>
      </c>
      <c r="B387" s="40" t="s">
        <v>182</v>
      </c>
      <c r="C387" s="40" t="s">
        <v>1293</v>
      </c>
      <c r="D387" s="41" t="str">
        <f>VLOOKUP(B387,[1]CSG!$B$2:$C$169,2,0)</f>
        <v>CSG-CTPD24</v>
      </c>
      <c r="E387" s="41" t="s">
        <v>812</v>
      </c>
      <c r="F387" s="41"/>
      <c r="G387" s="41"/>
      <c r="H387" s="41"/>
      <c r="I387" s="41"/>
      <c r="J387" s="42"/>
      <c r="K387" s="41"/>
      <c r="L387" s="43"/>
      <c r="M387" s="43"/>
      <c r="N387" s="43"/>
      <c r="O387" s="43"/>
      <c r="P387" s="43"/>
      <c r="Q387" s="43"/>
    </row>
    <row r="388" spans="1:18" x14ac:dyDescent="0.25">
      <c r="A388" s="40">
        <v>386</v>
      </c>
      <c r="B388" s="40" t="s">
        <v>183</v>
      </c>
      <c r="C388" s="40" t="s">
        <v>1294</v>
      </c>
      <c r="D388" s="41" t="s">
        <v>1553</v>
      </c>
      <c r="E388" s="41" t="s">
        <v>1554</v>
      </c>
      <c r="F388" s="42"/>
      <c r="G388" s="42">
        <v>2</v>
      </c>
      <c r="H388" s="42" t="s">
        <v>1523</v>
      </c>
      <c r="I388" s="42" t="s">
        <v>183</v>
      </c>
      <c r="J388" s="42"/>
      <c r="K388" s="41"/>
      <c r="L388" s="43"/>
      <c r="M388" s="43"/>
      <c r="N388" s="43"/>
      <c r="O388" s="43"/>
      <c r="P388" s="43" t="s">
        <v>1568</v>
      </c>
      <c r="Q388" s="43"/>
    </row>
    <row r="389" spans="1:18" x14ac:dyDescent="0.25">
      <c r="A389" s="40">
        <v>387</v>
      </c>
      <c r="B389" s="40" t="s">
        <v>184</v>
      </c>
      <c r="C389" s="40" t="s">
        <v>1295</v>
      </c>
      <c r="D389" s="41" t="s">
        <v>2367</v>
      </c>
      <c r="E389" s="41" t="s">
        <v>812</v>
      </c>
      <c r="F389" s="42"/>
      <c r="G389" s="42">
        <v>2</v>
      </c>
      <c r="H389" s="42" t="s">
        <v>809</v>
      </c>
      <c r="I389" s="42" t="s">
        <v>184</v>
      </c>
      <c r="J389" s="42"/>
      <c r="K389" s="41"/>
      <c r="L389" s="43"/>
      <c r="M389" s="43" t="s">
        <v>158</v>
      </c>
      <c r="N389" s="43" t="s">
        <v>184</v>
      </c>
      <c r="O389" s="43" t="s">
        <v>1570</v>
      </c>
      <c r="P389" s="43"/>
      <c r="Q389" s="43" t="s">
        <v>1712</v>
      </c>
      <c r="R389" s="45"/>
    </row>
    <row r="390" spans="1:18" x14ac:dyDescent="0.25">
      <c r="A390" s="40">
        <v>388</v>
      </c>
      <c r="B390" s="40" t="s">
        <v>185</v>
      </c>
      <c r="C390" s="40" t="s">
        <v>1296</v>
      </c>
      <c r="D390" s="41" t="s">
        <v>1553</v>
      </c>
      <c r="E390" s="41"/>
      <c r="F390" s="42"/>
      <c r="G390" s="42">
        <v>2</v>
      </c>
      <c r="H390" s="42" t="s">
        <v>808</v>
      </c>
      <c r="I390" s="42" t="s">
        <v>185</v>
      </c>
      <c r="J390" s="42"/>
      <c r="K390" s="41"/>
      <c r="L390" s="43"/>
      <c r="M390" s="43" t="s">
        <v>808</v>
      </c>
      <c r="N390" s="43" t="s">
        <v>185</v>
      </c>
      <c r="O390" s="43" t="s">
        <v>1436</v>
      </c>
      <c r="P390" s="43" t="s">
        <v>1568</v>
      </c>
      <c r="Q390" s="43" t="s">
        <v>1712</v>
      </c>
    </row>
    <row r="391" spans="1:18" x14ac:dyDescent="0.25">
      <c r="A391" s="40">
        <v>389</v>
      </c>
      <c r="B391" s="40" t="s">
        <v>186</v>
      </c>
      <c r="C391" s="40" t="s">
        <v>1297</v>
      </c>
      <c r="D391" s="41" t="s">
        <v>1427</v>
      </c>
      <c r="E391" s="41"/>
      <c r="F391" s="42"/>
      <c r="G391" s="42"/>
      <c r="H391" s="42"/>
      <c r="I391" s="42"/>
      <c r="J391" s="42">
        <v>2</v>
      </c>
      <c r="K391" s="41" t="s">
        <v>810</v>
      </c>
      <c r="L391" s="43" t="s">
        <v>186</v>
      </c>
      <c r="M391" s="43" t="s">
        <v>1522</v>
      </c>
      <c r="N391" s="43" t="s">
        <v>186</v>
      </c>
      <c r="O391" s="43" t="s">
        <v>1461</v>
      </c>
      <c r="P391" s="43" t="s">
        <v>1568</v>
      </c>
      <c r="Q391" s="43" t="s">
        <v>1712</v>
      </c>
    </row>
    <row r="392" spans="1:18" x14ac:dyDescent="0.25">
      <c r="A392" s="40">
        <v>390</v>
      </c>
      <c r="B392" s="40" t="s">
        <v>163</v>
      </c>
      <c r="C392" s="40" t="s">
        <v>1298</v>
      </c>
      <c r="D392" s="41" t="s">
        <v>1427</v>
      </c>
      <c r="E392" s="41"/>
      <c r="F392" s="42"/>
      <c r="G392" s="42"/>
      <c r="H392" s="42"/>
      <c r="I392" s="42"/>
      <c r="J392" s="42">
        <v>2</v>
      </c>
      <c r="K392" s="41" t="s">
        <v>810</v>
      </c>
      <c r="L392" s="43" t="s">
        <v>163</v>
      </c>
      <c r="M392" s="43" t="s">
        <v>810</v>
      </c>
      <c r="N392" s="43" t="s">
        <v>163</v>
      </c>
      <c r="O392" s="43" t="s">
        <v>1436</v>
      </c>
      <c r="P392" s="43" t="s">
        <v>1568</v>
      </c>
      <c r="Q392" s="43" t="s">
        <v>1712</v>
      </c>
    </row>
    <row r="393" spans="1:18" x14ac:dyDescent="0.25">
      <c r="A393" s="40">
        <v>391</v>
      </c>
      <c r="B393" s="40" t="s">
        <v>164</v>
      </c>
      <c r="C393" s="40" t="s">
        <v>1299</v>
      </c>
      <c r="D393" s="41" t="s">
        <v>1427</v>
      </c>
      <c r="E393" s="41"/>
      <c r="F393" s="42"/>
      <c r="G393" s="42"/>
      <c r="H393" s="42"/>
      <c r="I393" s="42"/>
      <c r="J393" s="42">
        <v>2</v>
      </c>
      <c r="K393" s="41" t="s">
        <v>1592</v>
      </c>
      <c r="L393" s="43" t="s">
        <v>164</v>
      </c>
      <c r="M393" s="43" t="s">
        <v>808</v>
      </c>
      <c r="N393" s="43" t="s">
        <v>164</v>
      </c>
      <c r="O393" s="43" t="s">
        <v>1436</v>
      </c>
      <c r="P393" s="43" t="s">
        <v>1568</v>
      </c>
      <c r="Q393" s="43"/>
    </row>
    <row r="394" spans="1:18" x14ac:dyDescent="0.25">
      <c r="A394" s="40">
        <v>392</v>
      </c>
      <c r="B394" s="43" t="s">
        <v>418</v>
      </c>
      <c r="C394" s="40" t="s">
        <v>1300</v>
      </c>
      <c r="D394" s="41" t="s">
        <v>1427</v>
      </c>
      <c r="E394" s="41" t="s">
        <v>1554</v>
      </c>
      <c r="F394" s="42"/>
      <c r="G394" s="42"/>
      <c r="H394" s="42"/>
      <c r="I394" s="42"/>
      <c r="J394" s="42">
        <v>4</v>
      </c>
      <c r="K394" s="41" t="s">
        <v>1476</v>
      </c>
      <c r="L394" s="43" t="s">
        <v>418</v>
      </c>
      <c r="M394" s="43"/>
      <c r="N394" s="43"/>
      <c r="O394" s="43"/>
      <c r="P394" s="43" t="s">
        <v>1568</v>
      </c>
      <c r="Q394" s="43"/>
    </row>
    <row r="395" spans="1:18" x14ac:dyDescent="0.25">
      <c r="A395" s="40">
        <v>393</v>
      </c>
      <c r="B395" s="43" t="s">
        <v>486</v>
      </c>
      <c r="C395" s="40" t="s">
        <v>688</v>
      </c>
      <c r="D395" s="41" t="s">
        <v>1553</v>
      </c>
      <c r="E395" s="41"/>
      <c r="F395" s="42"/>
      <c r="G395" s="42">
        <v>2</v>
      </c>
      <c r="H395" s="42" t="s">
        <v>809</v>
      </c>
      <c r="I395" s="42" t="s">
        <v>486</v>
      </c>
      <c r="J395" s="42"/>
      <c r="K395" s="41"/>
      <c r="L395" s="43"/>
      <c r="M395" s="43"/>
      <c r="N395" s="43"/>
      <c r="O395" s="43"/>
      <c r="P395" s="43"/>
      <c r="Q395" s="43"/>
    </row>
    <row r="396" spans="1:18" x14ac:dyDescent="0.25">
      <c r="A396" s="40">
        <v>394</v>
      </c>
      <c r="B396" s="43" t="s">
        <v>480</v>
      </c>
      <c r="C396" s="40" t="s">
        <v>689</v>
      </c>
      <c r="D396" s="41" t="s">
        <v>1553</v>
      </c>
      <c r="E396" s="41"/>
      <c r="F396" s="42"/>
      <c r="G396" s="42">
        <v>2</v>
      </c>
      <c r="H396" s="42" t="s">
        <v>810</v>
      </c>
      <c r="I396" s="42" t="s">
        <v>480</v>
      </c>
      <c r="J396" s="42"/>
      <c r="K396" s="41"/>
      <c r="L396" s="43"/>
      <c r="M396" s="43"/>
      <c r="N396" s="43"/>
      <c r="O396" s="43"/>
      <c r="P396" s="43"/>
      <c r="Q396" s="43"/>
    </row>
    <row r="397" spans="1:18" x14ac:dyDescent="0.25">
      <c r="A397" s="40">
        <v>395</v>
      </c>
      <c r="B397" s="43" t="s">
        <v>500</v>
      </c>
      <c r="C397" s="40" t="s">
        <v>690</v>
      </c>
      <c r="D397" s="41" t="str">
        <f>VLOOKUP(B397,[1]CSG!$B$2:$C$169,2,0)</f>
        <v>CSG-CTPD34</v>
      </c>
      <c r="E397" s="41" t="s">
        <v>812</v>
      </c>
      <c r="F397" s="41"/>
      <c r="G397" s="41"/>
      <c r="H397" s="41"/>
      <c r="I397" s="41"/>
      <c r="J397" s="42"/>
      <c r="K397" s="41"/>
      <c r="L397" s="43"/>
      <c r="M397" s="43"/>
      <c r="N397" s="43"/>
      <c r="O397" s="43"/>
      <c r="P397" s="43"/>
      <c r="Q397" s="43"/>
    </row>
    <row r="398" spans="1:18" x14ac:dyDescent="0.25">
      <c r="A398" s="40">
        <v>396</v>
      </c>
      <c r="B398" s="43" t="s">
        <v>479</v>
      </c>
      <c r="C398" s="40" t="s">
        <v>691</v>
      </c>
      <c r="D398" s="41" t="s">
        <v>1553</v>
      </c>
      <c r="E398" s="41"/>
      <c r="F398" s="42"/>
      <c r="G398" s="42">
        <v>2</v>
      </c>
      <c r="H398" s="42" t="s">
        <v>810</v>
      </c>
      <c r="I398" s="42" t="s">
        <v>479</v>
      </c>
      <c r="J398" s="42"/>
      <c r="K398" s="41"/>
      <c r="L398" s="43"/>
      <c r="M398" s="43"/>
      <c r="N398" s="43"/>
      <c r="O398" s="43"/>
      <c r="P398" s="43"/>
      <c r="Q398" s="43"/>
    </row>
    <row r="399" spans="1:18" x14ac:dyDescent="0.25">
      <c r="A399" s="40">
        <v>397</v>
      </c>
      <c r="B399" s="43" t="s">
        <v>487</v>
      </c>
      <c r="C399" s="40" t="s">
        <v>692</v>
      </c>
      <c r="D399" s="41" t="str">
        <f>VLOOKUP(B399,[1]CSG!$B$2:$C$169,2,0)</f>
        <v>CSG-CTPD36</v>
      </c>
      <c r="E399" s="41" t="s">
        <v>812</v>
      </c>
      <c r="F399" s="41"/>
      <c r="G399" s="41"/>
      <c r="H399" s="41"/>
      <c r="I399" s="41"/>
      <c r="J399" s="42"/>
      <c r="K399" s="41"/>
      <c r="L399" s="43"/>
      <c r="M399" s="43"/>
      <c r="N399" s="43"/>
      <c r="O399" s="43"/>
      <c r="P399" s="43"/>
      <c r="Q399" s="43"/>
    </row>
    <row r="400" spans="1:18" x14ac:dyDescent="0.25">
      <c r="A400" s="40">
        <v>398</v>
      </c>
      <c r="B400" s="43" t="s">
        <v>488</v>
      </c>
      <c r="C400" s="40" t="s">
        <v>693</v>
      </c>
      <c r="D400" s="41" t="s">
        <v>1553</v>
      </c>
      <c r="E400" s="41"/>
      <c r="F400" s="42"/>
      <c r="G400" s="42">
        <v>2</v>
      </c>
      <c r="H400" s="42" t="s">
        <v>1519</v>
      </c>
      <c r="I400" s="42" t="s">
        <v>488</v>
      </c>
      <c r="J400" s="42"/>
      <c r="K400" s="41"/>
      <c r="L400" s="43"/>
      <c r="M400" s="43"/>
      <c r="N400" s="43"/>
      <c r="O400" s="43"/>
      <c r="P400" s="43"/>
      <c r="Q400" s="43"/>
    </row>
    <row r="401" spans="1:17" x14ac:dyDescent="0.25">
      <c r="A401" s="40">
        <v>399</v>
      </c>
      <c r="B401" s="43" t="s">
        <v>499</v>
      </c>
      <c r="C401" s="40" t="s">
        <v>694</v>
      </c>
      <c r="D401" s="41" t="s">
        <v>1553</v>
      </c>
      <c r="E401" s="41"/>
      <c r="F401" s="42"/>
      <c r="G401" s="42">
        <v>2</v>
      </c>
      <c r="H401" s="42" t="s">
        <v>1463</v>
      </c>
      <c r="I401" s="42" t="s">
        <v>499</v>
      </c>
      <c r="J401" s="42"/>
      <c r="K401" s="41"/>
      <c r="L401" s="43"/>
      <c r="M401" s="43"/>
      <c r="N401" s="43"/>
      <c r="O401" s="43"/>
      <c r="P401" s="43"/>
      <c r="Q401" s="43"/>
    </row>
    <row r="402" spans="1:17" x14ac:dyDescent="0.25">
      <c r="A402" s="40">
        <v>400</v>
      </c>
      <c r="B402" s="43" t="s">
        <v>544</v>
      </c>
      <c r="C402" s="40" t="s">
        <v>695</v>
      </c>
      <c r="D402" s="41" t="s">
        <v>1553</v>
      </c>
      <c r="E402" s="41"/>
      <c r="F402" s="42"/>
      <c r="G402" s="42">
        <v>2</v>
      </c>
      <c r="H402" s="42" t="s">
        <v>809</v>
      </c>
      <c r="I402" s="42" t="s">
        <v>544</v>
      </c>
      <c r="J402" s="42"/>
      <c r="K402" s="41"/>
      <c r="L402" s="43"/>
      <c r="M402" s="43"/>
      <c r="N402" s="43"/>
      <c r="O402" s="43"/>
      <c r="P402" s="43"/>
      <c r="Q402" s="43"/>
    </row>
    <row r="403" spans="1:17" x14ac:dyDescent="0.25">
      <c r="A403" s="40">
        <v>401</v>
      </c>
      <c r="B403" s="43" t="s">
        <v>489</v>
      </c>
      <c r="C403" s="40" t="s">
        <v>696</v>
      </c>
      <c r="D403" s="41" t="s">
        <v>1553</v>
      </c>
      <c r="E403" s="41"/>
      <c r="F403" s="42"/>
      <c r="G403" s="42">
        <v>2</v>
      </c>
      <c r="H403" s="42" t="s">
        <v>1522</v>
      </c>
      <c r="I403" s="42" t="s">
        <v>489</v>
      </c>
      <c r="J403" s="42"/>
      <c r="K403" s="41"/>
      <c r="L403" s="43"/>
      <c r="M403" s="43"/>
      <c r="N403" s="43"/>
      <c r="O403" s="43"/>
      <c r="P403" s="43"/>
      <c r="Q403" s="43"/>
    </row>
    <row r="404" spans="1:17" x14ac:dyDescent="0.25">
      <c r="A404" s="40">
        <v>402</v>
      </c>
      <c r="B404" s="43" t="s">
        <v>529</v>
      </c>
      <c r="C404" s="40" t="s">
        <v>697</v>
      </c>
      <c r="D404" s="41" t="s">
        <v>1553</v>
      </c>
      <c r="E404" s="41"/>
      <c r="F404" s="42"/>
      <c r="G404" s="42">
        <v>2</v>
      </c>
      <c r="H404" s="42" t="s">
        <v>808</v>
      </c>
      <c r="I404" s="42" t="s">
        <v>529</v>
      </c>
      <c r="J404" s="42"/>
      <c r="K404" s="41"/>
      <c r="L404" s="43"/>
      <c r="M404" s="43"/>
      <c r="N404" s="43"/>
      <c r="O404" s="43"/>
      <c r="P404" s="43"/>
      <c r="Q404" s="43"/>
    </row>
    <row r="405" spans="1:17" x14ac:dyDescent="0.25">
      <c r="A405" s="40">
        <v>403</v>
      </c>
      <c r="B405" s="43" t="s">
        <v>528</v>
      </c>
      <c r="C405" s="40" t="s">
        <v>698</v>
      </c>
      <c r="D405" s="41" t="s">
        <v>1553</v>
      </c>
      <c r="E405" s="41"/>
      <c r="F405" s="42"/>
      <c r="G405" s="42">
        <v>2</v>
      </c>
      <c r="H405" s="42" t="s">
        <v>810</v>
      </c>
      <c r="I405" s="42" t="s">
        <v>528</v>
      </c>
      <c r="J405" s="42"/>
      <c r="K405" s="41"/>
      <c r="L405" s="43"/>
      <c r="M405" s="43"/>
      <c r="N405" s="43"/>
      <c r="O405" s="43"/>
      <c r="P405" s="43"/>
      <c r="Q405" s="43"/>
    </row>
    <row r="406" spans="1:17" x14ac:dyDescent="0.25">
      <c r="A406" s="40">
        <v>404</v>
      </c>
      <c r="B406" s="46" t="s">
        <v>239</v>
      </c>
      <c r="C406" s="40" t="s">
        <v>1302</v>
      </c>
      <c r="D406" s="41" t="str">
        <f>VLOOKUP(B406,[1]CSG!$B$2:$C$169,2,0)</f>
        <v>CSG-CTTL01</v>
      </c>
      <c r="E406" s="41" t="s">
        <v>812</v>
      </c>
      <c r="F406" s="41"/>
      <c r="G406" s="41"/>
      <c r="H406" s="41"/>
      <c r="I406" s="41"/>
      <c r="J406" s="42"/>
      <c r="K406" s="41"/>
      <c r="L406" s="43"/>
      <c r="M406" s="43"/>
      <c r="N406" s="43"/>
      <c r="O406" s="43"/>
      <c r="P406" s="43"/>
      <c r="Q406" s="43"/>
    </row>
    <row r="407" spans="1:17" x14ac:dyDescent="0.25">
      <c r="A407" s="40">
        <v>405</v>
      </c>
      <c r="B407" s="40" t="s">
        <v>240</v>
      </c>
      <c r="C407" s="40" t="s">
        <v>1303</v>
      </c>
      <c r="D407" s="41" t="s">
        <v>1427</v>
      </c>
      <c r="E407" s="41"/>
      <c r="F407" s="42"/>
      <c r="G407" s="42"/>
      <c r="H407" s="42"/>
      <c r="I407" s="42"/>
      <c r="J407" s="42">
        <v>2</v>
      </c>
      <c r="K407" s="41" t="s">
        <v>2361</v>
      </c>
      <c r="L407" s="43" t="s">
        <v>240</v>
      </c>
      <c r="M407" s="43" t="s">
        <v>1524</v>
      </c>
      <c r="N407" s="43" t="s">
        <v>240</v>
      </c>
      <c r="O407" s="43" t="s">
        <v>1461</v>
      </c>
      <c r="P407" s="43" t="s">
        <v>1568</v>
      </c>
      <c r="Q407" s="43"/>
    </row>
    <row r="408" spans="1:17" x14ac:dyDescent="0.25">
      <c r="A408" s="40">
        <v>406</v>
      </c>
      <c r="B408" s="46" t="s">
        <v>241</v>
      </c>
      <c r="C408" s="40" t="s">
        <v>1304</v>
      </c>
      <c r="D408" s="41" t="str">
        <f>VLOOKUP(B408,[1]CSG!$B$2:$C$169,2,0)</f>
        <v>CSG-CTTL03</v>
      </c>
      <c r="E408" s="41" t="s">
        <v>812</v>
      </c>
      <c r="F408" s="41"/>
      <c r="G408" s="41"/>
      <c r="H408" s="41"/>
      <c r="I408" s="41"/>
      <c r="J408" s="42"/>
      <c r="K408" s="41"/>
      <c r="L408" s="43"/>
      <c r="M408" s="43"/>
      <c r="N408" s="43"/>
      <c r="O408" s="43"/>
      <c r="P408" s="43"/>
      <c r="Q408" s="43"/>
    </row>
    <row r="409" spans="1:17" x14ac:dyDescent="0.25">
      <c r="A409" s="40">
        <v>407</v>
      </c>
      <c r="B409" s="46" t="s">
        <v>242</v>
      </c>
      <c r="C409" s="40" t="s">
        <v>1305</v>
      </c>
      <c r="D409" s="41" t="s">
        <v>1427</v>
      </c>
      <c r="E409" s="41" t="s">
        <v>1554</v>
      </c>
      <c r="F409" s="42"/>
      <c r="G409" s="42"/>
      <c r="H409" s="42"/>
      <c r="I409" s="42"/>
      <c r="J409" s="42">
        <v>2</v>
      </c>
      <c r="K409" s="41" t="s">
        <v>1525</v>
      </c>
      <c r="L409" s="43" t="s">
        <v>242</v>
      </c>
      <c r="M409" s="43"/>
      <c r="N409" s="43"/>
      <c r="O409" s="43"/>
      <c r="P409" s="43" t="s">
        <v>1568</v>
      </c>
      <c r="Q409" s="43"/>
    </row>
    <row r="410" spans="1:17" ht="15" customHeight="1" x14ac:dyDescent="0.25">
      <c r="A410" s="40">
        <v>408</v>
      </c>
      <c r="B410" s="46" t="s">
        <v>243</v>
      </c>
      <c r="C410" s="40" t="s">
        <v>1306</v>
      </c>
      <c r="D410" s="41" t="s">
        <v>1427</v>
      </c>
      <c r="E410" s="41" t="s">
        <v>1554</v>
      </c>
      <c r="F410" s="42"/>
      <c r="G410" s="42"/>
      <c r="H410" s="42"/>
      <c r="I410" s="42"/>
      <c r="J410" s="42">
        <v>4</v>
      </c>
      <c r="K410" s="41" t="s">
        <v>1526</v>
      </c>
      <c r="L410" s="43" t="s">
        <v>243</v>
      </c>
      <c r="M410" s="43"/>
      <c r="N410" s="43"/>
      <c r="O410" s="43"/>
      <c r="P410" s="43" t="s">
        <v>1568</v>
      </c>
      <c r="Q410" s="43"/>
    </row>
    <row r="411" spans="1:17" x14ac:dyDescent="0.25">
      <c r="A411" s="40">
        <v>409</v>
      </c>
      <c r="B411" s="46" t="s">
        <v>244</v>
      </c>
      <c r="C411" s="40" t="s">
        <v>1307</v>
      </c>
      <c r="D411" s="41" t="s">
        <v>1553</v>
      </c>
      <c r="E411" s="41"/>
      <c r="F411" s="42"/>
      <c r="G411" s="42">
        <v>2</v>
      </c>
      <c r="H411" s="42" t="s">
        <v>1472</v>
      </c>
      <c r="I411" s="42" t="s">
        <v>244</v>
      </c>
      <c r="J411" s="42"/>
      <c r="K411" s="41"/>
      <c r="L411" s="43"/>
      <c r="M411" s="43" t="s">
        <v>1472</v>
      </c>
      <c r="N411" s="43" t="s">
        <v>244</v>
      </c>
      <c r="O411" s="43" t="s">
        <v>1436</v>
      </c>
      <c r="P411" s="43" t="s">
        <v>1568</v>
      </c>
      <c r="Q411" s="43"/>
    </row>
    <row r="412" spans="1:17" x14ac:dyDescent="0.25">
      <c r="A412" s="40">
        <v>410</v>
      </c>
      <c r="B412" s="46" t="s">
        <v>245</v>
      </c>
      <c r="C412" s="40" t="s">
        <v>1308</v>
      </c>
      <c r="D412" s="41" t="str">
        <f>VLOOKUP(B412,[1]CSG!$B$2:$C$169,2,0)</f>
        <v>CSG-CTTL07</v>
      </c>
      <c r="E412" s="41" t="s">
        <v>812</v>
      </c>
      <c r="F412" s="41"/>
      <c r="G412" s="41"/>
      <c r="H412" s="41"/>
      <c r="I412" s="41"/>
      <c r="J412" s="42"/>
      <c r="K412" s="41"/>
      <c r="L412" s="43"/>
      <c r="M412" s="43"/>
      <c r="N412" s="43"/>
      <c r="O412" s="43"/>
      <c r="P412" s="43"/>
      <c r="Q412" s="43"/>
    </row>
    <row r="413" spans="1:17" ht="16.5" customHeight="1" x14ac:dyDescent="0.25">
      <c r="A413" s="40">
        <v>411</v>
      </c>
      <c r="B413" s="46" t="s">
        <v>246</v>
      </c>
      <c r="C413" s="40" t="s">
        <v>1309</v>
      </c>
      <c r="D413" s="41" t="str">
        <f>VLOOKUP(B413,[1]CSG!$B$2:$C$169,2,0)</f>
        <v>CSG-CTTL08</v>
      </c>
      <c r="E413" s="41" t="s">
        <v>812</v>
      </c>
      <c r="F413" s="41"/>
      <c r="G413" s="41"/>
      <c r="H413" s="41"/>
      <c r="I413" s="41"/>
      <c r="J413" s="42"/>
      <c r="K413" s="41"/>
      <c r="L413" s="43"/>
      <c r="M413" s="43"/>
      <c r="N413" s="43"/>
      <c r="O413" s="43"/>
      <c r="P413" s="43"/>
      <c r="Q413" s="43"/>
    </row>
    <row r="414" spans="1:17" x14ac:dyDescent="0.25">
      <c r="A414" s="40">
        <v>412</v>
      </c>
      <c r="B414" s="46" t="s">
        <v>247</v>
      </c>
      <c r="C414" s="40" t="s">
        <v>1310</v>
      </c>
      <c r="D414" s="41" t="s">
        <v>1553</v>
      </c>
      <c r="E414" s="41" t="s">
        <v>1554</v>
      </c>
      <c r="F414" s="42"/>
      <c r="G414" s="42">
        <v>2</v>
      </c>
      <c r="H414" s="42" t="s">
        <v>1522</v>
      </c>
      <c r="I414" s="42" t="s">
        <v>247</v>
      </c>
      <c r="J414" s="42"/>
      <c r="K414" s="41"/>
      <c r="L414" s="43"/>
      <c r="M414" s="43"/>
      <c r="N414" s="43"/>
      <c r="O414" s="43"/>
      <c r="P414" s="43" t="s">
        <v>1568</v>
      </c>
      <c r="Q414" s="43"/>
    </row>
    <row r="415" spans="1:17" x14ac:dyDescent="0.25">
      <c r="A415" s="40">
        <v>413</v>
      </c>
      <c r="B415" s="46" t="s">
        <v>248</v>
      </c>
      <c r="C415" s="40" t="s">
        <v>1311</v>
      </c>
      <c r="D415" s="41" t="s">
        <v>1427</v>
      </c>
      <c r="E415" s="41" t="s">
        <v>1554</v>
      </c>
      <c r="F415" s="42"/>
      <c r="G415" s="42"/>
      <c r="H415" s="42"/>
      <c r="I415" s="42"/>
      <c r="J415" s="42">
        <v>2</v>
      </c>
      <c r="K415" s="41" t="s">
        <v>1525</v>
      </c>
      <c r="L415" s="43" t="s">
        <v>248</v>
      </c>
      <c r="M415" s="43"/>
      <c r="N415" s="43"/>
      <c r="O415" s="43"/>
      <c r="P415" s="43" t="s">
        <v>1568</v>
      </c>
      <c r="Q415" s="43"/>
    </row>
    <row r="416" spans="1:17" x14ac:dyDescent="0.25">
      <c r="A416" s="40">
        <v>414</v>
      </c>
      <c r="B416" s="46" t="s">
        <v>249</v>
      </c>
      <c r="C416" s="40" t="s">
        <v>1312</v>
      </c>
      <c r="D416" s="41" t="s">
        <v>2368</v>
      </c>
      <c r="E416" s="41" t="s">
        <v>812</v>
      </c>
      <c r="F416" s="42"/>
      <c r="G416" s="42">
        <v>2</v>
      </c>
      <c r="H416" s="42" t="s">
        <v>1527</v>
      </c>
      <c r="I416" s="42" t="s">
        <v>249</v>
      </c>
      <c r="J416" s="42"/>
      <c r="K416" s="41"/>
      <c r="L416" s="43"/>
      <c r="M416" s="43" t="s">
        <v>1527</v>
      </c>
      <c r="N416" s="43" t="s">
        <v>249</v>
      </c>
      <c r="O416" s="43" t="s">
        <v>1573</v>
      </c>
      <c r="P416" s="43"/>
      <c r="Q416" s="43"/>
    </row>
    <row r="417" spans="1:19" x14ac:dyDescent="0.25">
      <c r="A417" s="40">
        <v>415</v>
      </c>
      <c r="B417" s="46" t="s">
        <v>250</v>
      </c>
      <c r="C417" s="40" t="s">
        <v>1313</v>
      </c>
      <c r="D417" s="41" t="s">
        <v>1427</v>
      </c>
      <c r="E417" s="41"/>
      <c r="F417" s="42"/>
      <c r="G417" s="42"/>
      <c r="H417" s="42"/>
      <c r="I417" s="42"/>
      <c r="J417" s="42">
        <v>2</v>
      </c>
      <c r="K417" s="41" t="s">
        <v>1593</v>
      </c>
      <c r="L417" s="43" t="s">
        <v>250</v>
      </c>
      <c r="M417" s="43" t="s">
        <v>1528</v>
      </c>
      <c r="N417" s="43" t="s">
        <v>250</v>
      </c>
      <c r="O417" s="43" t="s">
        <v>1461</v>
      </c>
      <c r="P417" s="43" t="s">
        <v>1568</v>
      </c>
      <c r="Q417" s="43"/>
    </row>
    <row r="418" spans="1:19" x14ac:dyDescent="0.25">
      <c r="A418" s="40">
        <v>416</v>
      </c>
      <c r="B418" s="46" t="s">
        <v>251</v>
      </c>
      <c r="C418" s="40" t="s">
        <v>1314</v>
      </c>
      <c r="D418" s="41" t="s">
        <v>2369</v>
      </c>
      <c r="E418" s="41" t="s">
        <v>812</v>
      </c>
      <c r="F418" s="42"/>
      <c r="G418" s="42"/>
      <c r="H418" s="42"/>
      <c r="I418" s="42"/>
      <c r="J418" s="42"/>
      <c r="K418" s="41"/>
      <c r="L418" s="43"/>
      <c r="M418" s="43"/>
      <c r="N418" s="43"/>
      <c r="O418" s="43"/>
      <c r="P418" s="43" t="s">
        <v>1568</v>
      </c>
      <c r="Q418" s="43"/>
    </row>
    <row r="419" spans="1:19" x14ac:dyDescent="0.25">
      <c r="A419" s="40">
        <v>417</v>
      </c>
      <c r="B419" s="46" t="s">
        <v>252</v>
      </c>
      <c r="C419" s="40" t="s">
        <v>1315</v>
      </c>
      <c r="D419" s="41" t="s">
        <v>2370</v>
      </c>
      <c r="E419" s="41" t="s">
        <v>812</v>
      </c>
      <c r="F419" s="42"/>
      <c r="G419" s="42">
        <v>2</v>
      </c>
      <c r="H419" s="42" t="s">
        <v>1524</v>
      </c>
      <c r="I419" s="42" t="s">
        <v>252</v>
      </c>
      <c r="J419" s="42"/>
      <c r="K419" s="41"/>
      <c r="L419" s="43"/>
      <c r="M419" s="43" t="s">
        <v>330</v>
      </c>
      <c r="N419" s="43" t="s">
        <v>252</v>
      </c>
      <c r="O419" s="43" t="s">
        <v>1571</v>
      </c>
      <c r="P419" s="43" t="s">
        <v>1568</v>
      </c>
      <c r="Q419" s="43"/>
    </row>
    <row r="420" spans="1:19" x14ac:dyDescent="0.25">
      <c r="A420" s="40">
        <v>418</v>
      </c>
      <c r="B420" s="46" t="s">
        <v>253</v>
      </c>
      <c r="C420" s="40" t="s">
        <v>1316</v>
      </c>
      <c r="D420" s="41" t="str">
        <f>VLOOKUP(B420,[1]CSG!$B$2:$C$169,2,0)</f>
        <v>CSG-CTTL15</v>
      </c>
      <c r="E420" s="41" t="s">
        <v>812</v>
      </c>
      <c r="F420" s="41"/>
      <c r="G420" s="41"/>
      <c r="H420" s="41"/>
      <c r="I420" s="41"/>
      <c r="J420" s="42"/>
      <c r="K420" s="41"/>
      <c r="L420" s="43"/>
      <c r="M420" s="43"/>
      <c r="N420" s="43"/>
      <c r="O420" s="43"/>
      <c r="P420" s="43"/>
      <c r="Q420" s="43"/>
    </row>
    <row r="421" spans="1:19" x14ac:dyDescent="0.25">
      <c r="A421" s="40">
        <v>419</v>
      </c>
      <c r="B421" s="46" t="s">
        <v>254</v>
      </c>
      <c r="C421" s="40" t="s">
        <v>1317</v>
      </c>
      <c r="D421" s="41" t="str">
        <f>VLOOKUP(B421,[1]CSG!$B$2:$C$169,2,0)</f>
        <v>CSG-CTTL16</v>
      </c>
      <c r="E421" s="41" t="s">
        <v>812</v>
      </c>
      <c r="F421" s="41"/>
      <c r="G421" s="41"/>
      <c r="H421" s="41"/>
      <c r="I421" s="41"/>
      <c r="J421" s="42"/>
      <c r="K421" s="41"/>
      <c r="L421" s="43"/>
      <c r="M421" s="43"/>
      <c r="N421" s="43"/>
      <c r="O421" s="43"/>
      <c r="P421" s="43"/>
      <c r="Q421" s="43"/>
    </row>
    <row r="422" spans="1:19" x14ac:dyDescent="0.25">
      <c r="A422" s="40">
        <v>420</v>
      </c>
      <c r="B422" s="46" t="s">
        <v>255</v>
      </c>
      <c r="C422" s="40" t="s">
        <v>1318</v>
      </c>
      <c r="D422" s="41" t="s">
        <v>1553</v>
      </c>
      <c r="E422" s="41"/>
      <c r="F422" s="42"/>
      <c r="G422" s="42">
        <v>2</v>
      </c>
      <c r="H422" s="42" t="s">
        <v>1472</v>
      </c>
      <c r="I422" s="42" t="s">
        <v>255</v>
      </c>
      <c r="J422" s="42"/>
      <c r="K422" s="41"/>
      <c r="L422" s="43"/>
      <c r="M422" s="43" t="s">
        <v>1472</v>
      </c>
      <c r="N422" s="43" t="s">
        <v>255</v>
      </c>
      <c r="O422" s="43" t="s">
        <v>1436</v>
      </c>
      <c r="P422" s="43" t="s">
        <v>1568</v>
      </c>
      <c r="Q422" s="43"/>
    </row>
    <row r="423" spans="1:19" x14ac:dyDescent="0.25">
      <c r="A423" s="40">
        <v>421</v>
      </c>
      <c r="B423" s="46" t="s">
        <v>256</v>
      </c>
      <c r="C423" s="40" t="s">
        <v>1319</v>
      </c>
      <c r="D423" s="41" t="s">
        <v>1553</v>
      </c>
      <c r="E423" s="41" t="s">
        <v>1554</v>
      </c>
      <c r="F423" s="42"/>
      <c r="G423" s="42">
        <v>2</v>
      </c>
      <c r="H423" s="42" t="s">
        <v>1527</v>
      </c>
      <c r="I423" s="42" t="s">
        <v>256</v>
      </c>
      <c r="J423" s="42"/>
      <c r="K423" s="41"/>
      <c r="L423" s="43"/>
      <c r="M423" s="43" t="s">
        <v>1526</v>
      </c>
      <c r="N423" s="43" t="s">
        <v>256</v>
      </c>
      <c r="O423" s="43" t="s">
        <v>1571</v>
      </c>
      <c r="P423" s="43" t="s">
        <v>1568</v>
      </c>
      <c r="Q423" s="43"/>
    </row>
    <row r="424" spans="1:19" x14ac:dyDescent="0.25">
      <c r="A424" s="40">
        <v>422</v>
      </c>
      <c r="B424" s="46" t="s">
        <v>257</v>
      </c>
      <c r="C424" s="40" t="s">
        <v>1320</v>
      </c>
      <c r="D424" s="41" t="s">
        <v>1427</v>
      </c>
      <c r="E424" s="41"/>
      <c r="F424" s="42"/>
      <c r="G424" s="42"/>
      <c r="H424" s="42"/>
      <c r="I424" s="42"/>
      <c r="J424" s="42">
        <v>2</v>
      </c>
      <c r="K424" s="41" t="s">
        <v>2369</v>
      </c>
      <c r="L424" s="43" t="s">
        <v>257</v>
      </c>
      <c r="M424" s="43" t="s">
        <v>1524</v>
      </c>
      <c r="N424" s="43" t="s">
        <v>257</v>
      </c>
      <c r="O424" s="43" t="s">
        <v>1461</v>
      </c>
      <c r="P424" s="43" t="s">
        <v>1568</v>
      </c>
      <c r="Q424" s="43"/>
    </row>
    <row r="425" spans="1:19" x14ac:dyDescent="0.25">
      <c r="A425" s="40">
        <v>423</v>
      </c>
      <c r="B425" s="46" t="s">
        <v>258</v>
      </c>
      <c r="C425" s="40" t="s">
        <v>1321</v>
      </c>
      <c r="D425" s="41" t="s">
        <v>1427</v>
      </c>
      <c r="E425" s="41" t="s">
        <v>1554</v>
      </c>
      <c r="F425" s="42"/>
      <c r="G425" s="42"/>
      <c r="H425" s="42"/>
      <c r="I425" s="42"/>
      <c r="J425" s="42">
        <v>4</v>
      </c>
      <c r="K425" s="41" t="s">
        <v>798</v>
      </c>
      <c r="L425" s="43" t="s">
        <v>258</v>
      </c>
      <c r="M425" s="43"/>
      <c r="N425" s="43"/>
      <c r="O425" s="43"/>
      <c r="P425" s="43" t="s">
        <v>1568</v>
      </c>
      <c r="Q425" s="43"/>
    </row>
    <row r="426" spans="1:19" x14ac:dyDescent="0.25">
      <c r="A426" s="40">
        <v>424</v>
      </c>
      <c r="B426" s="46" t="s">
        <v>259</v>
      </c>
      <c r="C426" s="40" t="s">
        <v>1322</v>
      </c>
      <c r="D426" s="41" t="s">
        <v>1427</v>
      </c>
      <c r="E426" s="41" t="s">
        <v>1554</v>
      </c>
      <c r="F426" s="42"/>
      <c r="G426" s="42"/>
      <c r="H426" s="42"/>
      <c r="I426" s="42"/>
      <c r="J426" s="42">
        <v>4</v>
      </c>
      <c r="K426" s="41" t="s">
        <v>798</v>
      </c>
      <c r="L426" s="43" t="s">
        <v>259</v>
      </c>
      <c r="M426" s="43"/>
      <c r="N426" s="43"/>
      <c r="O426" s="43"/>
      <c r="P426" s="43" t="s">
        <v>1568</v>
      </c>
      <c r="Q426" s="43" t="s">
        <v>1647</v>
      </c>
      <c r="R426" s="45" t="s">
        <v>1710</v>
      </c>
      <c r="S426" s="44" t="s">
        <v>2336</v>
      </c>
    </row>
    <row r="427" spans="1:19" x14ac:dyDescent="0.25">
      <c r="A427" s="40">
        <v>425</v>
      </c>
      <c r="B427" s="46" t="s">
        <v>260</v>
      </c>
      <c r="C427" s="40" t="s">
        <v>1323</v>
      </c>
      <c r="D427" s="41" t="str">
        <f>VLOOKUP(B427,[1]CSG!$B$2:$C$169,2,0)</f>
        <v>CSG-CTTL22</v>
      </c>
      <c r="E427" s="41" t="s">
        <v>812</v>
      </c>
      <c r="F427" s="41"/>
      <c r="G427" s="41"/>
      <c r="H427" s="41"/>
      <c r="I427" s="41"/>
      <c r="J427" s="42"/>
      <c r="K427" s="41"/>
      <c r="L427" s="43"/>
      <c r="M427" s="43"/>
      <c r="N427" s="43"/>
      <c r="O427" s="43"/>
      <c r="P427" s="43"/>
      <c r="Q427" s="43"/>
    </row>
    <row r="428" spans="1:19" x14ac:dyDescent="0.25">
      <c r="A428" s="40">
        <v>426</v>
      </c>
      <c r="B428" s="46" t="s">
        <v>261</v>
      </c>
      <c r="C428" s="40" t="s">
        <v>1324</v>
      </c>
      <c r="D428" s="41" t="s">
        <v>1427</v>
      </c>
      <c r="E428" s="41" t="s">
        <v>1554</v>
      </c>
      <c r="F428" s="42"/>
      <c r="G428" s="42"/>
      <c r="H428" s="42"/>
      <c r="I428" s="42"/>
      <c r="J428" s="42">
        <v>2</v>
      </c>
      <c r="K428" s="41" t="s">
        <v>1525</v>
      </c>
      <c r="L428" s="43" t="s">
        <v>261</v>
      </c>
      <c r="M428" s="43"/>
      <c r="N428" s="43"/>
      <c r="O428" s="43"/>
      <c r="P428" s="43" t="s">
        <v>1568</v>
      </c>
      <c r="Q428" s="43"/>
    </row>
    <row r="429" spans="1:19" x14ac:dyDescent="0.25">
      <c r="A429" s="40">
        <v>427</v>
      </c>
      <c r="B429" s="46" t="s">
        <v>262</v>
      </c>
      <c r="C429" s="40" t="s">
        <v>1326</v>
      </c>
      <c r="D429" s="41" t="s">
        <v>1427</v>
      </c>
      <c r="E429" s="41" t="s">
        <v>1554</v>
      </c>
      <c r="F429" s="42"/>
      <c r="G429" s="42"/>
      <c r="H429" s="42"/>
      <c r="I429" s="42"/>
      <c r="J429" s="42">
        <v>2</v>
      </c>
      <c r="K429" s="41" t="s">
        <v>1472</v>
      </c>
      <c r="L429" s="43" t="s">
        <v>262</v>
      </c>
      <c r="M429" s="43"/>
      <c r="N429" s="43"/>
      <c r="O429" s="43"/>
      <c r="P429" s="43" t="s">
        <v>1568</v>
      </c>
      <c r="Q429" s="43"/>
    </row>
    <row r="430" spans="1:19" x14ac:dyDescent="0.25">
      <c r="A430" s="40">
        <v>428</v>
      </c>
      <c r="B430" s="40" t="s">
        <v>330</v>
      </c>
      <c r="C430" s="40" t="s">
        <v>1327</v>
      </c>
      <c r="D430" s="41" t="s">
        <v>1575</v>
      </c>
      <c r="E430" s="41" t="s">
        <v>812</v>
      </c>
      <c r="F430" s="42"/>
      <c r="G430" s="42">
        <v>2</v>
      </c>
      <c r="H430" s="42" t="s">
        <v>1524</v>
      </c>
      <c r="I430" s="42" t="s">
        <v>330</v>
      </c>
      <c r="J430" s="42"/>
      <c r="K430" s="41"/>
      <c r="L430" s="43"/>
      <c r="M430" s="43"/>
      <c r="N430" s="43"/>
      <c r="O430" s="43"/>
      <c r="P430" s="43" t="s">
        <v>1568</v>
      </c>
      <c r="Q430" s="43"/>
    </row>
    <row r="431" spans="1:19" x14ac:dyDescent="0.25">
      <c r="A431" s="40">
        <v>429</v>
      </c>
      <c r="B431" s="40" t="s">
        <v>329</v>
      </c>
      <c r="C431" s="40" t="s">
        <v>1328</v>
      </c>
      <c r="D431" s="41" t="s">
        <v>1553</v>
      </c>
      <c r="E431" s="41" t="s">
        <v>1554</v>
      </c>
      <c r="F431" s="42"/>
      <c r="G431" s="42">
        <v>2</v>
      </c>
      <c r="H431" s="42" t="s">
        <v>1522</v>
      </c>
      <c r="I431" s="42" t="s">
        <v>329</v>
      </c>
      <c r="J431" s="42"/>
      <c r="K431" s="41"/>
      <c r="L431" s="43"/>
      <c r="M431" s="43"/>
      <c r="N431" s="43"/>
      <c r="O431" s="43"/>
      <c r="P431" s="43" t="s">
        <v>1568</v>
      </c>
      <c r="Q431" s="43"/>
    </row>
    <row r="432" spans="1:19" x14ac:dyDescent="0.25">
      <c r="A432" s="40">
        <v>430</v>
      </c>
      <c r="B432" s="40" t="s">
        <v>331</v>
      </c>
      <c r="C432" s="40" t="s">
        <v>1329</v>
      </c>
      <c r="D432" s="41" t="s">
        <v>1427</v>
      </c>
      <c r="E432" s="41"/>
      <c r="F432" s="42"/>
      <c r="G432" s="42"/>
      <c r="H432" s="42"/>
      <c r="I432" s="42"/>
      <c r="J432" s="42">
        <v>2</v>
      </c>
      <c r="K432" s="41" t="s">
        <v>1524</v>
      </c>
      <c r="L432" s="43" t="s">
        <v>331</v>
      </c>
      <c r="M432" s="43" t="s">
        <v>1524</v>
      </c>
      <c r="N432" s="43" t="s">
        <v>331</v>
      </c>
      <c r="O432" s="43" t="s">
        <v>1454</v>
      </c>
      <c r="P432" s="43" t="s">
        <v>1568</v>
      </c>
      <c r="Q432" s="43"/>
    </row>
    <row r="433" spans="1:17" x14ac:dyDescent="0.25">
      <c r="A433" s="40">
        <v>431</v>
      </c>
      <c r="B433" s="43" t="s">
        <v>379</v>
      </c>
      <c r="C433" s="40" t="s">
        <v>1330</v>
      </c>
      <c r="D433" s="41" t="s">
        <v>1427</v>
      </c>
      <c r="E433" s="41"/>
      <c r="F433" s="42"/>
      <c r="G433" s="42"/>
      <c r="H433" s="42"/>
      <c r="I433" s="42"/>
      <c r="J433" s="42">
        <v>2</v>
      </c>
      <c r="K433" s="41" t="s">
        <v>2361</v>
      </c>
      <c r="L433" s="43" t="s">
        <v>379</v>
      </c>
      <c r="M433" s="43" t="s">
        <v>1526</v>
      </c>
      <c r="N433" s="43" t="s">
        <v>379</v>
      </c>
      <c r="O433" s="43" t="s">
        <v>1436</v>
      </c>
      <c r="P433" s="43" t="s">
        <v>1568</v>
      </c>
      <c r="Q433" s="43"/>
    </row>
    <row r="434" spans="1:17" x14ac:dyDescent="0.25">
      <c r="A434" s="40">
        <v>432</v>
      </c>
      <c r="B434" s="40" t="s">
        <v>332</v>
      </c>
      <c r="C434" s="40" t="s">
        <v>1331</v>
      </c>
      <c r="D434" s="41" t="s">
        <v>1427</v>
      </c>
      <c r="E434" s="41" t="s">
        <v>1554</v>
      </c>
      <c r="F434" s="42"/>
      <c r="G434" s="42"/>
      <c r="H434" s="42"/>
      <c r="I434" s="42"/>
      <c r="J434" s="42">
        <v>2</v>
      </c>
      <c r="K434" s="41" t="s">
        <v>1527</v>
      </c>
      <c r="L434" s="43" t="s">
        <v>332</v>
      </c>
      <c r="M434" s="43"/>
      <c r="N434" s="43"/>
      <c r="O434" s="43"/>
      <c r="P434" s="43" t="s">
        <v>1568</v>
      </c>
      <c r="Q434" s="43"/>
    </row>
    <row r="435" spans="1:17" x14ac:dyDescent="0.25">
      <c r="A435" s="40">
        <v>433</v>
      </c>
      <c r="B435" s="46" t="s">
        <v>381</v>
      </c>
      <c r="C435" s="40" t="s">
        <v>1332</v>
      </c>
      <c r="D435" s="41" t="str">
        <f>VLOOKUP(B435,[1]CSG!$B$2:$C$169,2,0)</f>
        <v>CSG-CTTL30</v>
      </c>
      <c r="E435" s="41" t="s">
        <v>812</v>
      </c>
      <c r="F435" s="41"/>
      <c r="G435" s="41"/>
      <c r="H435" s="41"/>
      <c r="I435" s="41"/>
      <c r="J435" s="42"/>
      <c r="K435" s="41"/>
      <c r="L435" s="43"/>
      <c r="M435" s="43"/>
      <c r="N435" s="43"/>
      <c r="O435" s="43"/>
      <c r="P435" s="43"/>
      <c r="Q435" s="43"/>
    </row>
    <row r="436" spans="1:17" x14ac:dyDescent="0.25">
      <c r="A436" s="40">
        <v>434</v>
      </c>
      <c r="B436" s="46" t="s">
        <v>382</v>
      </c>
      <c r="C436" s="40" t="s">
        <v>1333</v>
      </c>
      <c r="D436" s="41" t="s">
        <v>1427</v>
      </c>
      <c r="E436" s="41" t="s">
        <v>1554</v>
      </c>
      <c r="F436" s="42"/>
      <c r="G436" s="42"/>
      <c r="H436" s="42"/>
      <c r="I436" s="42"/>
      <c r="J436" s="42">
        <v>2</v>
      </c>
      <c r="K436" s="41" t="s">
        <v>1529</v>
      </c>
      <c r="L436" s="43" t="s">
        <v>382</v>
      </c>
      <c r="M436" s="43"/>
      <c r="N436" s="43"/>
      <c r="O436" s="43"/>
      <c r="P436" s="43" t="s">
        <v>1568</v>
      </c>
      <c r="Q436" s="43"/>
    </row>
    <row r="437" spans="1:17" x14ac:dyDescent="0.25">
      <c r="A437" s="40">
        <v>435</v>
      </c>
      <c r="B437" s="43" t="s">
        <v>386</v>
      </c>
      <c r="C437" s="40" t="s">
        <v>1334</v>
      </c>
      <c r="D437" s="41" t="str">
        <f>VLOOKUP(B437,[1]CSG!$B$2:$C$169,2,0)</f>
        <v>CSG-CTTL32</v>
      </c>
      <c r="E437" s="41" t="s">
        <v>812</v>
      </c>
      <c r="F437" s="41"/>
      <c r="G437" s="41"/>
      <c r="H437" s="41"/>
      <c r="I437" s="41"/>
      <c r="J437" s="42"/>
      <c r="K437" s="41"/>
      <c r="L437" s="43"/>
      <c r="M437" s="43"/>
      <c r="N437" s="43"/>
      <c r="O437" s="43"/>
      <c r="P437" s="43"/>
      <c r="Q437" s="43"/>
    </row>
    <row r="438" spans="1:17" x14ac:dyDescent="0.25">
      <c r="A438" s="40">
        <v>436</v>
      </c>
      <c r="B438" s="43" t="s">
        <v>490</v>
      </c>
      <c r="C438" s="40" t="s">
        <v>699</v>
      </c>
      <c r="D438" s="41" t="s">
        <v>1553</v>
      </c>
      <c r="E438" s="41"/>
      <c r="F438" s="42"/>
      <c r="G438" s="42">
        <v>2</v>
      </c>
      <c r="H438" s="42" t="s">
        <v>1525</v>
      </c>
      <c r="I438" s="42" t="s">
        <v>490</v>
      </c>
      <c r="J438" s="42"/>
      <c r="K438" s="41"/>
      <c r="L438" s="43"/>
      <c r="M438" s="43"/>
      <c r="N438" s="43"/>
      <c r="O438" s="43"/>
      <c r="P438" s="43"/>
      <c r="Q438" s="43"/>
    </row>
    <row r="439" spans="1:17" x14ac:dyDescent="0.25">
      <c r="A439" s="40">
        <v>437</v>
      </c>
      <c r="B439" s="43" t="s">
        <v>501</v>
      </c>
      <c r="C439" s="40" t="s">
        <v>700</v>
      </c>
      <c r="D439" s="41" t="s">
        <v>1427</v>
      </c>
      <c r="E439" s="41"/>
      <c r="F439" s="42"/>
      <c r="G439" s="42"/>
      <c r="H439" s="42"/>
      <c r="I439" s="42"/>
      <c r="J439" s="42">
        <v>2</v>
      </c>
      <c r="K439" s="41" t="s">
        <v>1527</v>
      </c>
      <c r="L439" s="43" t="s">
        <v>501</v>
      </c>
      <c r="M439" s="43" t="s">
        <v>1527</v>
      </c>
      <c r="N439" s="43" t="s">
        <v>501</v>
      </c>
      <c r="O439" s="43" t="s">
        <v>1570</v>
      </c>
      <c r="P439" s="43"/>
      <c r="Q439" s="43"/>
    </row>
    <row r="440" spans="1:17" x14ac:dyDescent="0.25">
      <c r="A440" s="40">
        <v>438</v>
      </c>
      <c r="B440" s="43" t="s">
        <v>502</v>
      </c>
      <c r="C440" s="40" t="s">
        <v>701</v>
      </c>
      <c r="D440" s="41" t="s">
        <v>1553</v>
      </c>
      <c r="E440" s="41"/>
      <c r="F440" s="42"/>
      <c r="G440" s="42">
        <v>2</v>
      </c>
      <c r="H440" s="42" t="s">
        <v>1514</v>
      </c>
      <c r="I440" s="42" t="s">
        <v>502</v>
      </c>
      <c r="J440" s="42"/>
      <c r="K440" s="41"/>
      <c r="L440" s="43"/>
      <c r="M440" s="43"/>
      <c r="N440" s="43"/>
      <c r="O440" s="43"/>
      <c r="P440" s="43"/>
      <c r="Q440" s="43"/>
    </row>
    <row r="441" spans="1:17" x14ac:dyDescent="0.25">
      <c r="A441" s="40">
        <v>439</v>
      </c>
      <c r="B441" s="43" t="s">
        <v>503</v>
      </c>
      <c r="C441" s="40" t="s">
        <v>702</v>
      </c>
      <c r="D441" s="41" t="s">
        <v>1427</v>
      </c>
      <c r="E441" s="41"/>
      <c r="F441" s="42"/>
      <c r="G441" s="42"/>
      <c r="H441" s="42"/>
      <c r="I441" s="42"/>
      <c r="J441" s="42">
        <v>2</v>
      </c>
      <c r="K441" s="41" t="s">
        <v>1472</v>
      </c>
      <c r="L441" s="43" t="s">
        <v>503</v>
      </c>
      <c r="M441" s="43"/>
      <c r="N441" s="43"/>
      <c r="O441" s="43"/>
      <c r="P441" s="43"/>
      <c r="Q441" s="43"/>
    </row>
    <row r="442" spans="1:17" x14ac:dyDescent="0.25">
      <c r="A442" s="40">
        <v>440</v>
      </c>
      <c r="B442" s="43" t="s">
        <v>521</v>
      </c>
      <c r="C442" s="40" t="s">
        <v>703</v>
      </c>
      <c r="D442" s="41" t="s">
        <v>1427</v>
      </c>
      <c r="E442" s="41"/>
      <c r="F442" s="42"/>
      <c r="G442" s="42"/>
      <c r="H442" s="42"/>
      <c r="I442" s="42"/>
      <c r="J442" s="42">
        <v>2</v>
      </c>
      <c r="K442" s="41" t="s">
        <v>1594</v>
      </c>
      <c r="L442" s="43" t="s">
        <v>521</v>
      </c>
      <c r="M442" s="43" t="s">
        <v>798</v>
      </c>
      <c r="N442" s="43" t="s">
        <v>521</v>
      </c>
      <c r="O442" s="43" t="s">
        <v>1573</v>
      </c>
      <c r="P442" s="43"/>
      <c r="Q442" s="43"/>
    </row>
    <row r="443" spans="1:17" x14ac:dyDescent="0.25">
      <c r="A443" s="40">
        <v>441</v>
      </c>
      <c r="B443" s="43" t="s">
        <v>530</v>
      </c>
      <c r="C443" s="40" t="s">
        <v>704</v>
      </c>
      <c r="D443" s="41" t="s">
        <v>1553</v>
      </c>
      <c r="E443" s="41"/>
      <c r="F443" s="42"/>
      <c r="G443" s="42">
        <v>2</v>
      </c>
      <c r="H443" s="42" t="s">
        <v>1472</v>
      </c>
      <c r="I443" s="42" t="s">
        <v>530</v>
      </c>
      <c r="J443" s="42"/>
      <c r="K443" s="41"/>
      <c r="L443" s="43"/>
      <c r="M443" s="43"/>
      <c r="N443" s="43"/>
      <c r="O443" s="43"/>
      <c r="P443" s="43"/>
      <c r="Q443" s="43"/>
    </row>
    <row r="444" spans="1:17" x14ac:dyDescent="0.25">
      <c r="A444" s="40">
        <v>442</v>
      </c>
      <c r="B444" s="43" t="s">
        <v>548</v>
      </c>
      <c r="C444" s="40" t="s">
        <v>705</v>
      </c>
      <c r="D444" s="41" t="s">
        <v>1427</v>
      </c>
      <c r="E444" s="41"/>
      <c r="F444" s="42"/>
      <c r="G444" s="42"/>
      <c r="H444" s="42"/>
      <c r="I444" s="42"/>
      <c r="J444" s="42">
        <v>2</v>
      </c>
      <c r="K444" s="41" t="s">
        <v>1529</v>
      </c>
      <c r="L444" s="43" t="s">
        <v>548</v>
      </c>
      <c r="M444" s="43"/>
      <c r="N444" s="43"/>
      <c r="O444" s="43"/>
      <c r="P444" s="43"/>
      <c r="Q444" s="43"/>
    </row>
    <row r="445" spans="1:17" x14ac:dyDescent="0.25">
      <c r="A445" s="40">
        <v>443</v>
      </c>
      <c r="B445" s="43" t="s">
        <v>555</v>
      </c>
      <c r="C445" s="40" t="s">
        <v>706</v>
      </c>
      <c r="D445" s="41" t="s">
        <v>1427</v>
      </c>
      <c r="E445" s="41"/>
      <c r="F445" s="42"/>
      <c r="G445" s="42"/>
      <c r="H445" s="42"/>
      <c r="I445" s="42"/>
      <c r="J445" s="42">
        <v>2</v>
      </c>
      <c r="K445" s="41" t="s">
        <v>1472</v>
      </c>
      <c r="L445" s="43" t="s">
        <v>555</v>
      </c>
      <c r="M445" s="43" t="s">
        <v>1472</v>
      </c>
      <c r="N445" s="43" t="s">
        <v>555</v>
      </c>
      <c r="O445" s="43" t="s">
        <v>1570</v>
      </c>
      <c r="P445" s="43"/>
      <c r="Q445" s="43"/>
    </row>
    <row r="446" spans="1:17" x14ac:dyDescent="0.25">
      <c r="A446" s="40">
        <v>444</v>
      </c>
      <c r="B446" s="43" t="s">
        <v>569</v>
      </c>
      <c r="C446" s="40" t="s">
        <v>707</v>
      </c>
      <c r="D446" s="41" t="s">
        <v>1427</v>
      </c>
      <c r="E446" s="41"/>
      <c r="F446" s="42"/>
      <c r="G446" s="42"/>
      <c r="H446" s="42"/>
      <c r="I446" s="42"/>
      <c r="J446" s="42">
        <v>2</v>
      </c>
      <c r="K446" s="41" t="s">
        <v>1525</v>
      </c>
      <c r="L446" s="43" t="s">
        <v>569</v>
      </c>
      <c r="M446" s="43"/>
      <c r="N446" s="43"/>
      <c r="O446" s="43"/>
      <c r="P446" s="43"/>
      <c r="Q446" s="43"/>
    </row>
    <row r="447" spans="1:17" x14ac:dyDescent="0.25">
      <c r="A447" s="40">
        <v>445</v>
      </c>
      <c r="B447" s="43" t="s">
        <v>560</v>
      </c>
      <c r="C447" s="40" t="s">
        <v>708</v>
      </c>
      <c r="D447" s="41" t="s">
        <v>1427</v>
      </c>
      <c r="E447" s="41"/>
      <c r="F447" s="42"/>
      <c r="G447" s="42"/>
      <c r="H447" s="42"/>
      <c r="I447" s="42"/>
      <c r="J447" s="42">
        <v>2</v>
      </c>
      <c r="K447" s="41" t="s">
        <v>1524</v>
      </c>
      <c r="L447" s="43" t="s">
        <v>560</v>
      </c>
      <c r="M447" s="43" t="s">
        <v>1526</v>
      </c>
      <c r="N447" s="43" t="s">
        <v>560</v>
      </c>
      <c r="O447" s="43" t="s">
        <v>1570</v>
      </c>
      <c r="P447" s="43"/>
      <c r="Q447" s="43"/>
    </row>
    <row r="448" spans="1:17" x14ac:dyDescent="0.25">
      <c r="A448" s="40">
        <v>446</v>
      </c>
      <c r="B448" s="43" t="s">
        <v>556</v>
      </c>
      <c r="C448" s="40" t="s">
        <v>709</v>
      </c>
      <c r="D448" s="41" t="s">
        <v>1454</v>
      </c>
      <c r="E448" s="41"/>
      <c r="F448" s="42"/>
      <c r="G448" s="42"/>
      <c r="H448" s="42"/>
      <c r="I448" s="42"/>
      <c r="J448" s="42"/>
      <c r="K448" s="41"/>
      <c r="L448" s="43"/>
      <c r="M448" s="43" t="s">
        <v>1472</v>
      </c>
      <c r="N448" s="43" t="s">
        <v>556</v>
      </c>
      <c r="O448" s="43" t="s">
        <v>1454</v>
      </c>
      <c r="P448" s="43"/>
      <c r="Q448" s="43"/>
    </row>
    <row r="449" spans="1:17" x14ac:dyDescent="0.25">
      <c r="A449" s="40">
        <v>447</v>
      </c>
      <c r="B449" s="43" t="s">
        <v>557</v>
      </c>
      <c r="C449" s="40" t="s">
        <v>710</v>
      </c>
      <c r="D449" s="41" t="s">
        <v>1427</v>
      </c>
      <c r="E449" s="41"/>
      <c r="F449" s="42"/>
      <c r="G449" s="42"/>
      <c r="H449" s="42"/>
      <c r="I449" s="42"/>
      <c r="J449" s="42">
        <v>2</v>
      </c>
      <c r="K449" s="41" t="s">
        <v>2370</v>
      </c>
      <c r="L449" s="43" t="s">
        <v>557</v>
      </c>
      <c r="M449" s="43" t="s">
        <v>1524</v>
      </c>
      <c r="N449" s="43" t="s">
        <v>557</v>
      </c>
      <c r="O449" s="43" t="s">
        <v>1570</v>
      </c>
      <c r="P449" s="43"/>
      <c r="Q449" s="43"/>
    </row>
    <row r="450" spans="1:17" x14ac:dyDescent="0.25">
      <c r="A450" s="40">
        <v>448</v>
      </c>
      <c r="B450" s="43" t="s">
        <v>577</v>
      </c>
      <c r="C450" s="40" t="s">
        <v>711</v>
      </c>
      <c r="D450" s="41" t="s">
        <v>1427</v>
      </c>
      <c r="E450" s="41"/>
      <c r="F450" s="42"/>
      <c r="G450" s="42"/>
      <c r="H450" s="42"/>
      <c r="I450" s="42"/>
      <c r="J450" s="42">
        <v>2</v>
      </c>
      <c r="K450" s="41" t="s">
        <v>1593</v>
      </c>
      <c r="L450" s="43" t="s">
        <v>577</v>
      </c>
      <c r="M450" s="43"/>
      <c r="N450" s="43"/>
      <c r="O450" s="43"/>
      <c r="P450" s="43"/>
      <c r="Q450" s="43"/>
    </row>
    <row r="451" spans="1:17" x14ac:dyDescent="0.25">
      <c r="A451" s="40">
        <v>449</v>
      </c>
      <c r="B451" s="46" t="s">
        <v>263</v>
      </c>
      <c r="C451" s="40" t="s">
        <v>1336</v>
      </c>
      <c r="D451" s="41" t="s">
        <v>1553</v>
      </c>
      <c r="E451" s="41" t="s">
        <v>1554</v>
      </c>
      <c r="F451" s="42"/>
      <c r="G451" s="42">
        <v>2</v>
      </c>
      <c r="H451" s="42" t="s">
        <v>1530</v>
      </c>
      <c r="I451" s="42" t="s">
        <v>263</v>
      </c>
      <c r="J451" s="42"/>
      <c r="K451" s="41"/>
      <c r="L451" s="43"/>
      <c r="M451" s="43"/>
      <c r="N451" s="43"/>
      <c r="O451" s="43"/>
      <c r="P451" s="43" t="s">
        <v>1568</v>
      </c>
      <c r="Q451" s="43"/>
    </row>
    <row r="452" spans="1:17" x14ac:dyDescent="0.25">
      <c r="A452" s="40">
        <v>450</v>
      </c>
      <c r="B452" s="46" t="s">
        <v>264</v>
      </c>
      <c r="C452" s="40" t="s">
        <v>1337</v>
      </c>
      <c r="D452" s="41" t="str">
        <f>VLOOKUP(B452,[1]CSG!$B$2:$C$169,2,0)</f>
        <v>CSG-CTTN02</v>
      </c>
      <c r="E452" s="41" t="s">
        <v>812</v>
      </c>
      <c r="F452" s="41"/>
      <c r="G452" s="41"/>
      <c r="H452" s="41"/>
      <c r="I452" s="41"/>
      <c r="J452" s="42"/>
      <c r="K452" s="41"/>
      <c r="L452" s="43"/>
      <c r="M452" s="43"/>
      <c r="N452" s="43"/>
      <c r="O452" s="43"/>
      <c r="P452" s="43"/>
      <c r="Q452" s="43"/>
    </row>
    <row r="453" spans="1:17" x14ac:dyDescent="0.25">
      <c r="A453" s="40">
        <v>451</v>
      </c>
      <c r="B453" s="46" t="s">
        <v>265</v>
      </c>
      <c r="C453" s="40" t="s">
        <v>1338</v>
      </c>
      <c r="D453" s="41" t="s">
        <v>1553</v>
      </c>
      <c r="E453" s="41" t="s">
        <v>1554</v>
      </c>
      <c r="F453" s="42"/>
      <c r="G453" s="42">
        <v>2</v>
      </c>
      <c r="H453" s="42" t="s">
        <v>1531</v>
      </c>
      <c r="I453" s="42" t="s">
        <v>265</v>
      </c>
      <c r="J453" s="42"/>
      <c r="K453" s="41"/>
      <c r="L453" s="43"/>
      <c r="M453" s="43"/>
      <c r="N453" s="43"/>
      <c r="O453" s="43"/>
      <c r="P453" s="43" t="s">
        <v>1568</v>
      </c>
      <c r="Q453" s="43"/>
    </row>
    <row r="454" spans="1:17" x14ac:dyDescent="0.25">
      <c r="A454" s="40">
        <v>452</v>
      </c>
      <c r="B454" s="46" t="s">
        <v>266</v>
      </c>
      <c r="C454" s="40" t="s">
        <v>1339</v>
      </c>
      <c r="D454" s="41" t="s">
        <v>1553</v>
      </c>
      <c r="E454" s="41" t="s">
        <v>1554</v>
      </c>
      <c r="F454" s="42"/>
      <c r="G454" s="42">
        <v>2</v>
      </c>
      <c r="H454" s="42" t="s">
        <v>1532</v>
      </c>
      <c r="I454" s="42" t="s">
        <v>266</v>
      </c>
      <c r="J454" s="42"/>
      <c r="K454" s="41"/>
      <c r="L454" s="43"/>
      <c r="M454" s="43"/>
      <c r="N454" s="43"/>
      <c r="O454" s="43"/>
      <c r="P454" s="43" t="s">
        <v>1568</v>
      </c>
      <c r="Q454" s="43"/>
    </row>
    <row r="455" spans="1:17" x14ac:dyDescent="0.25">
      <c r="A455" s="40">
        <v>453</v>
      </c>
      <c r="B455" s="46" t="s">
        <v>267</v>
      </c>
      <c r="C455" s="40" t="s">
        <v>1340</v>
      </c>
      <c r="D455" s="41" t="s">
        <v>1553</v>
      </c>
      <c r="E455" s="41"/>
      <c r="F455" s="42"/>
      <c r="G455" s="42">
        <v>2</v>
      </c>
      <c r="H455" s="42" t="s">
        <v>1530</v>
      </c>
      <c r="I455" s="42" t="s">
        <v>267</v>
      </c>
      <c r="J455" s="42"/>
      <c r="K455" s="41"/>
      <c r="L455" s="43"/>
      <c r="M455" s="43"/>
      <c r="N455" s="43"/>
      <c r="O455" s="43"/>
      <c r="P455" s="43"/>
      <c r="Q455" s="43"/>
    </row>
    <row r="456" spans="1:17" x14ac:dyDescent="0.25">
      <c r="A456" s="40">
        <v>454</v>
      </c>
      <c r="B456" s="46" t="s">
        <v>268</v>
      </c>
      <c r="C456" s="40" t="s">
        <v>1341</v>
      </c>
      <c r="D456" s="41" t="s">
        <v>1427</v>
      </c>
      <c r="E456" s="41" t="s">
        <v>1554</v>
      </c>
      <c r="F456" s="42"/>
      <c r="G456" s="42"/>
      <c r="H456" s="42"/>
      <c r="I456" s="42"/>
      <c r="J456" s="42">
        <v>2</v>
      </c>
      <c r="K456" s="41" t="s">
        <v>1533</v>
      </c>
      <c r="L456" s="43" t="s">
        <v>268</v>
      </c>
      <c r="M456" s="43" t="s">
        <v>811</v>
      </c>
      <c r="N456" s="43" t="s">
        <v>268</v>
      </c>
      <c r="O456" s="43" t="s">
        <v>1583</v>
      </c>
      <c r="P456" s="43"/>
      <c r="Q456" s="43"/>
    </row>
    <row r="457" spans="1:17" x14ac:dyDescent="0.25">
      <c r="A457" s="40">
        <v>455</v>
      </c>
      <c r="B457" s="46" t="s">
        <v>269</v>
      </c>
      <c r="C457" s="40" t="s">
        <v>1342</v>
      </c>
      <c r="D457" s="41" t="s">
        <v>1553</v>
      </c>
      <c r="E457" s="41" t="s">
        <v>1554</v>
      </c>
      <c r="F457" s="42"/>
      <c r="G457" s="42">
        <v>2</v>
      </c>
      <c r="H457" s="42" t="s">
        <v>1530</v>
      </c>
      <c r="I457" s="42" t="s">
        <v>269</v>
      </c>
      <c r="J457" s="42"/>
      <c r="K457" s="41"/>
      <c r="L457" s="43"/>
      <c r="M457" s="43"/>
      <c r="N457" s="43"/>
      <c r="O457" s="43"/>
      <c r="P457" s="43" t="s">
        <v>1568</v>
      </c>
      <c r="Q457" s="43"/>
    </row>
    <row r="458" spans="1:17" x14ac:dyDescent="0.25">
      <c r="A458" s="40">
        <v>456</v>
      </c>
      <c r="B458" s="46" t="s">
        <v>270</v>
      </c>
      <c r="C458" s="40" t="s">
        <v>1343</v>
      </c>
      <c r="D458" s="41" t="s">
        <v>1427</v>
      </c>
      <c r="E458" s="41" t="s">
        <v>1554</v>
      </c>
      <c r="F458" s="42"/>
      <c r="G458" s="42"/>
      <c r="H458" s="42"/>
      <c r="I458" s="42"/>
      <c r="J458" s="42">
        <v>2</v>
      </c>
      <c r="K458" s="41" t="s">
        <v>1534</v>
      </c>
      <c r="L458" s="43" t="s">
        <v>270</v>
      </c>
      <c r="M458" s="43"/>
      <c r="N458" s="43"/>
      <c r="O458" s="43"/>
      <c r="P458" s="43" t="s">
        <v>1568</v>
      </c>
      <c r="Q458" s="43"/>
    </row>
    <row r="459" spans="1:17" x14ac:dyDescent="0.25">
      <c r="A459" s="40">
        <v>457</v>
      </c>
      <c r="B459" s="46" t="s">
        <v>271</v>
      </c>
      <c r="C459" s="40" t="s">
        <v>1344</v>
      </c>
      <c r="D459" s="41" t="str">
        <f>VLOOKUP(B459,[1]CSG!$B$2:$C$169,2,0)</f>
        <v>CSG-CTTN09</v>
      </c>
      <c r="E459" s="41" t="s">
        <v>812</v>
      </c>
      <c r="F459" s="41"/>
      <c r="G459" s="41"/>
      <c r="H459" s="41"/>
      <c r="I459" s="41"/>
      <c r="J459" s="42"/>
      <c r="K459" s="41"/>
      <c r="L459" s="43"/>
      <c r="M459" s="43"/>
      <c r="N459" s="43"/>
      <c r="O459" s="43"/>
      <c r="P459" s="43"/>
      <c r="Q459" s="43"/>
    </row>
    <row r="460" spans="1:17" x14ac:dyDescent="0.25">
      <c r="A460" s="40">
        <v>458</v>
      </c>
      <c r="B460" s="46" t="s">
        <v>272</v>
      </c>
      <c r="C460" s="40" t="s">
        <v>1345</v>
      </c>
      <c r="D460" s="41" t="s">
        <v>1427</v>
      </c>
      <c r="E460" s="41" t="s">
        <v>1554</v>
      </c>
      <c r="F460" s="42"/>
      <c r="G460" s="42"/>
      <c r="H460" s="42"/>
      <c r="I460" s="42"/>
      <c r="J460" s="42">
        <v>2</v>
      </c>
      <c r="K460" s="41" t="s">
        <v>1530</v>
      </c>
      <c r="L460" s="43" t="s">
        <v>272</v>
      </c>
      <c r="M460" s="43"/>
      <c r="N460" s="43"/>
      <c r="O460" s="43"/>
      <c r="P460" s="43" t="s">
        <v>1568</v>
      </c>
      <c r="Q460" s="43"/>
    </row>
    <row r="461" spans="1:17" x14ac:dyDescent="0.25">
      <c r="A461" s="40">
        <v>459</v>
      </c>
      <c r="B461" s="46" t="s">
        <v>273</v>
      </c>
      <c r="C461" s="40" t="s">
        <v>1346</v>
      </c>
      <c r="D461" s="41" t="s">
        <v>1427</v>
      </c>
      <c r="E461" s="41" t="s">
        <v>1554</v>
      </c>
      <c r="F461" s="42"/>
      <c r="G461" s="42"/>
      <c r="H461" s="42"/>
      <c r="I461" s="42"/>
      <c r="J461" s="42">
        <v>2</v>
      </c>
      <c r="K461" s="41" t="s">
        <v>1535</v>
      </c>
      <c r="L461" s="43" t="s">
        <v>273</v>
      </c>
      <c r="M461" s="43"/>
      <c r="N461" s="43"/>
      <c r="O461" s="43"/>
      <c r="P461" s="43" t="s">
        <v>1568</v>
      </c>
      <c r="Q461" s="43"/>
    </row>
    <row r="462" spans="1:17" x14ac:dyDescent="0.25">
      <c r="A462" s="40">
        <v>460</v>
      </c>
      <c r="B462" s="46" t="s">
        <v>7</v>
      </c>
      <c r="C462" s="40" t="s">
        <v>1347</v>
      </c>
      <c r="D462" s="41" t="str">
        <f>VLOOKUP(B462,[1]CSG!$B$2:$C$169,2,0)</f>
        <v>CSG-CTTN12</v>
      </c>
      <c r="E462" s="41" t="s">
        <v>812</v>
      </c>
      <c r="F462" s="41"/>
      <c r="G462" s="41"/>
      <c r="H462" s="41"/>
      <c r="I462" s="41"/>
      <c r="J462" s="42"/>
      <c r="K462" s="41"/>
      <c r="L462" s="43"/>
      <c r="M462" s="43"/>
      <c r="N462" s="43"/>
      <c r="O462" s="43"/>
      <c r="P462" s="43"/>
      <c r="Q462" s="43"/>
    </row>
    <row r="463" spans="1:17" x14ac:dyDescent="0.25">
      <c r="A463" s="40">
        <v>461</v>
      </c>
      <c r="B463" s="46" t="s">
        <v>274</v>
      </c>
      <c r="C463" s="40" t="s">
        <v>1348</v>
      </c>
      <c r="D463" s="41" t="str">
        <f>VLOOKUP(B463,[1]CSG!$B$2:$C$169,2,0)</f>
        <v>CSG-CTTN13</v>
      </c>
      <c r="E463" s="41" t="s">
        <v>812</v>
      </c>
      <c r="F463" s="41"/>
      <c r="G463" s="41"/>
      <c r="H463" s="41"/>
      <c r="I463" s="41"/>
      <c r="J463" s="42"/>
      <c r="K463" s="41"/>
      <c r="L463" s="43"/>
      <c r="M463" s="43"/>
      <c r="N463" s="43"/>
      <c r="O463" s="43"/>
      <c r="P463" s="43"/>
      <c r="Q463" s="43"/>
    </row>
    <row r="464" spans="1:17" x14ac:dyDescent="0.25">
      <c r="A464" s="40">
        <v>462</v>
      </c>
      <c r="B464" s="46" t="s">
        <v>275</v>
      </c>
      <c r="C464" s="40" t="s">
        <v>1349</v>
      </c>
      <c r="D464" s="41" t="str">
        <f>VLOOKUP(B464,[1]CSG!$B$2:$C$169,2,0)</f>
        <v>CSG-CTTN14</v>
      </c>
      <c r="E464" s="41" t="s">
        <v>812</v>
      </c>
      <c r="F464" s="41"/>
      <c r="G464" s="41"/>
      <c r="H464" s="41"/>
      <c r="I464" s="41"/>
      <c r="J464" s="42"/>
      <c r="K464" s="41"/>
      <c r="L464" s="43"/>
      <c r="M464" s="43"/>
      <c r="N464" s="43"/>
      <c r="O464" s="43"/>
      <c r="P464" s="43"/>
      <c r="Q464" s="43"/>
    </row>
    <row r="465" spans="1:17" x14ac:dyDescent="0.25">
      <c r="A465" s="40">
        <v>463</v>
      </c>
      <c r="B465" s="46" t="s">
        <v>276</v>
      </c>
      <c r="C465" s="40" t="s">
        <v>1350</v>
      </c>
      <c r="D465" s="41" t="str">
        <f>VLOOKUP(B465,[1]CSG!$B$2:$C$169,2,0)</f>
        <v>CSG-CTTN15</v>
      </c>
      <c r="E465" s="41" t="s">
        <v>812</v>
      </c>
      <c r="F465" s="41"/>
      <c r="G465" s="41"/>
      <c r="H465" s="41"/>
      <c r="I465" s="41"/>
      <c r="J465" s="42"/>
      <c r="K465" s="41"/>
      <c r="L465" s="43"/>
      <c r="M465" s="43"/>
      <c r="N465" s="43"/>
      <c r="O465" s="43"/>
      <c r="P465" s="43"/>
      <c r="Q465" s="43"/>
    </row>
    <row r="466" spans="1:17" x14ac:dyDescent="0.25">
      <c r="A466" s="40">
        <v>464</v>
      </c>
      <c r="B466" s="46" t="s">
        <v>277</v>
      </c>
      <c r="C466" s="40" t="s">
        <v>1351</v>
      </c>
      <c r="D466" s="41" t="str">
        <f>VLOOKUP(B466,[1]CSG!$B$2:$C$169,2,0)</f>
        <v>CSG-CTTN16</v>
      </c>
      <c r="E466" s="41" t="s">
        <v>812</v>
      </c>
      <c r="F466" s="41"/>
      <c r="G466" s="41"/>
      <c r="H466" s="41"/>
      <c r="I466" s="41"/>
      <c r="J466" s="42"/>
      <c r="K466" s="41"/>
      <c r="L466" s="43"/>
      <c r="M466" s="43"/>
      <c r="N466" s="43"/>
      <c r="O466" s="43"/>
      <c r="P466" s="43"/>
      <c r="Q466" s="43"/>
    </row>
    <row r="467" spans="1:17" x14ac:dyDescent="0.25">
      <c r="A467" s="40">
        <v>465</v>
      </c>
      <c r="B467" s="46" t="s">
        <v>278</v>
      </c>
      <c r="C467" s="40" t="s">
        <v>1352</v>
      </c>
      <c r="D467" s="41" t="str">
        <f>VLOOKUP(B467,[1]CSG!$B$2:$C$169,2,0)</f>
        <v>CSG-CTTN17</v>
      </c>
      <c r="E467" s="41" t="s">
        <v>812</v>
      </c>
      <c r="F467" s="41"/>
      <c r="G467" s="41"/>
      <c r="H467" s="41"/>
      <c r="I467" s="41"/>
      <c r="J467" s="42"/>
      <c r="K467" s="41"/>
      <c r="L467" s="43"/>
      <c r="M467" s="43"/>
      <c r="N467" s="43"/>
      <c r="O467" s="43"/>
      <c r="P467" s="43"/>
      <c r="Q467" s="43"/>
    </row>
    <row r="468" spans="1:17" x14ac:dyDescent="0.25">
      <c r="A468" s="40">
        <v>466</v>
      </c>
      <c r="B468" s="46" t="s">
        <v>279</v>
      </c>
      <c r="C468" s="40" t="s">
        <v>1353</v>
      </c>
      <c r="D468" s="41" t="s">
        <v>1539</v>
      </c>
      <c r="E468" s="41" t="s">
        <v>812</v>
      </c>
      <c r="F468" s="42"/>
      <c r="G468" s="42"/>
      <c r="H468" s="42"/>
      <c r="I468" s="42"/>
      <c r="J468" s="42"/>
      <c r="K468" s="41"/>
      <c r="L468" s="43"/>
      <c r="M468" s="43"/>
      <c r="N468" s="43"/>
      <c r="O468" s="43"/>
      <c r="P468" s="43"/>
      <c r="Q468" s="43"/>
    </row>
    <row r="469" spans="1:17" x14ac:dyDescent="0.25">
      <c r="A469" s="40">
        <v>467</v>
      </c>
      <c r="B469" s="46" t="s">
        <v>280</v>
      </c>
      <c r="C469" s="40" t="s">
        <v>1354</v>
      </c>
      <c r="D469" s="41" t="s">
        <v>1567</v>
      </c>
      <c r="E469" s="41" t="s">
        <v>2424</v>
      </c>
      <c r="F469" s="42"/>
      <c r="G469" s="42"/>
      <c r="H469" s="42"/>
      <c r="I469" s="42"/>
      <c r="J469" s="42"/>
      <c r="K469" s="41"/>
      <c r="L469" s="43"/>
      <c r="M469" s="43" t="s">
        <v>1467</v>
      </c>
      <c r="N469" s="43" t="s">
        <v>280</v>
      </c>
      <c r="O469" s="43" t="s">
        <v>1597</v>
      </c>
      <c r="P469" s="43"/>
      <c r="Q469" s="43"/>
    </row>
    <row r="470" spans="1:17" x14ac:dyDescent="0.25">
      <c r="A470" s="40">
        <v>468</v>
      </c>
      <c r="B470" s="46" t="s">
        <v>281</v>
      </c>
      <c r="C470" s="40" t="s">
        <v>1355</v>
      </c>
      <c r="D470" s="41" t="s">
        <v>1553</v>
      </c>
      <c r="E470" s="41" t="s">
        <v>1554</v>
      </c>
      <c r="F470" s="42"/>
      <c r="G470" s="42">
        <v>2</v>
      </c>
      <c r="H470" s="42" t="s">
        <v>811</v>
      </c>
      <c r="I470" s="42" t="s">
        <v>281</v>
      </c>
      <c r="J470" s="42"/>
      <c r="K470" s="41"/>
      <c r="L470" s="43"/>
      <c r="M470" s="43"/>
      <c r="N470" s="43"/>
      <c r="O470" s="43"/>
      <c r="P470" s="43" t="s">
        <v>1568</v>
      </c>
      <c r="Q470" s="43"/>
    </row>
    <row r="471" spans="1:17" ht="15" customHeight="1" x14ac:dyDescent="0.25">
      <c r="A471" s="40">
        <v>469</v>
      </c>
      <c r="B471" s="46" t="s">
        <v>282</v>
      </c>
      <c r="C471" s="40" t="s">
        <v>1356</v>
      </c>
      <c r="D471" s="41" t="s">
        <v>1553</v>
      </c>
      <c r="E471" s="41"/>
      <c r="F471" s="42"/>
      <c r="G471" s="42">
        <v>2</v>
      </c>
      <c r="H471" s="42" t="s">
        <v>1530</v>
      </c>
      <c r="I471" s="42" t="s">
        <v>282</v>
      </c>
      <c r="J471" s="42"/>
      <c r="K471" s="41"/>
      <c r="L471" s="43"/>
      <c r="M471" s="43" t="s">
        <v>1530</v>
      </c>
      <c r="N471" s="43" t="s">
        <v>282</v>
      </c>
      <c r="O471" s="43" t="s">
        <v>1436</v>
      </c>
      <c r="P471" s="43"/>
      <c r="Q471" s="43"/>
    </row>
    <row r="472" spans="1:17" x14ac:dyDescent="0.25">
      <c r="A472" s="40">
        <v>470</v>
      </c>
      <c r="B472" s="46" t="s">
        <v>283</v>
      </c>
      <c r="C472" s="40" t="s">
        <v>1357</v>
      </c>
      <c r="D472" s="41" t="str">
        <f>VLOOKUP(B472,[1]CSG!$B$2:$C$169,2,0)</f>
        <v>CSG-CTTN22</v>
      </c>
      <c r="E472" s="41" t="s">
        <v>812</v>
      </c>
      <c r="F472" s="41"/>
      <c r="G472" s="41"/>
      <c r="H472" s="41"/>
      <c r="I472" s="41"/>
      <c r="J472" s="42"/>
      <c r="K472" s="41"/>
      <c r="L472" s="43"/>
      <c r="M472" s="43"/>
      <c r="N472" s="43"/>
      <c r="O472" s="43"/>
      <c r="P472" s="43"/>
      <c r="Q472" s="43"/>
    </row>
    <row r="473" spans="1:17" x14ac:dyDescent="0.25">
      <c r="A473" s="40">
        <v>471</v>
      </c>
      <c r="B473" s="46" t="s">
        <v>284</v>
      </c>
      <c r="C473" s="40" t="s">
        <v>1358</v>
      </c>
      <c r="D473" s="41" t="s">
        <v>1427</v>
      </c>
      <c r="E473" s="41"/>
      <c r="F473" s="42"/>
      <c r="G473" s="42"/>
      <c r="H473" s="42"/>
      <c r="I473" s="42"/>
      <c r="J473" s="42">
        <v>2</v>
      </c>
      <c r="K473" s="41" t="s">
        <v>1598</v>
      </c>
      <c r="L473" s="43" t="s">
        <v>284</v>
      </c>
      <c r="M473" s="43" t="s">
        <v>1530</v>
      </c>
      <c r="N473" s="43" t="s">
        <v>284</v>
      </c>
      <c r="O473" s="43" t="s">
        <v>1436</v>
      </c>
      <c r="P473" s="43" t="s">
        <v>1568</v>
      </c>
      <c r="Q473" s="43" t="s">
        <v>1647</v>
      </c>
    </row>
    <row r="474" spans="1:17" x14ac:dyDescent="0.25">
      <c r="A474" s="40">
        <v>472</v>
      </c>
      <c r="B474" s="46" t="s">
        <v>285</v>
      </c>
      <c r="C474" s="40" t="s">
        <v>1359</v>
      </c>
      <c r="D474" s="41" t="s">
        <v>1553</v>
      </c>
      <c r="E474" s="41"/>
      <c r="F474" s="42"/>
      <c r="G474" s="42">
        <v>2</v>
      </c>
      <c r="H474" s="42" t="s">
        <v>1530</v>
      </c>
      <c r="I474" s="42" t="s">
        <v>285</v>
      </c>
      <c r="J474" s="42"/>
      <c r="K474" s="41"/>
      <c r="L474" s="43"/>
      <c r="M474" s="43" t="s">
        <v>1530</v>
      </c>
      <c r="N474" s="43" t="s">
        <v>285</v>
      </c>
      <c r="O474" s="43" t="s">
        <v>1574</v>
      </c>
      <c r="P474" s="43" t="s">
        <v>1568</v>
      </c>
      <c r="Q474" s="43"/>
    </row>
    <row r="475" spans="1:17" x14ac:dyDescent="0.25">
      <c r="A475" s="40">
        <v>473</v>
      </c>
      <c r="B475" s="46" t="s">
        <v>286</v>
      </c>
      <c r="C475" s="40" t="s">
        <v>1360</v>
      </c>
      <c r="D475" s="41" t="s">
        <v>1553</v>
      </c>
      <c r="E475" s="41"/>
      <c r="F475" s="42"/>
      <c r="G475" s="42">
        <v>2</v>
      </c>
      <c r="H475" s="42" t="s">
        <v>1530</v>
      </c>
      <c r="I475" s="42" t="s">
        <v>286</v>
      </c>
      <c r="J475" s="42"/>
      <c r="K475" s="41"/>
      <c r="L475" s="43"/>
      <c r="M475" s="43"/>
      <c r="N475" s="43"/>
      <c r="O475" s="43"/>
      <c r="P475" s="43" t="s">
        <v>1568</v>
      </c>
      <c r="Q475" s="43" t="s">
        <v>1647</v>
      </c>
    </row>
    <row r="476" spans="1:17" x14ac:dyDescent="0.25">
      <c r="A476" s="40">
        <v>474</v>
      </c>
      <c r="B476" s="46" t="s">
        <v>287</v>
      </c>
      <c r="C476" s="40" t="s">
        <v>1361</v>
      </c>
      <c r="D476" s="41" t="s">
        <v>1553</v>
      </c>
      <c r="E476" s="41" t="s">
        <v>1554</v>
      </c>
      <c r="F476" s="42"/>
      <c r="G476" s="42">
        <v>2</v>
      </c>
      <c r="H476" s="42" t="s">
        <v>1534</v>
      </c>
      <c r="I476" s="42" t="s">
        <v>287</v>
      </c>
      <c r="J476" s="42"/>
      <c r="K476" s="41"/>
      <c r="L476" s="43"/>
      <c r="M476" s="43" t="s">
        <v>1530</v>
      </c>
      <c r="N476" s="43" t="s">
        <v>287</v>
      </c>
      <c r="O476" s="43" t="s">
        <v>1571</v>
      </c>
      <c r="P476" s="43" t="s">
        <v>1568</v>
      </c>
      <c r="Q476" s="43"/>
    </row>
    <row r="477" spans="1:17" x14ac:dyDescent="0.25">
      <c r="A477" s="40">
        <v>475</v>
      </c>
      <c r="B477" s="46" t="s">
        <v>288</v>
      </c>
      <c r="C477" s="40" t="s">
        <v>1362</v>
      </c>
      <c r="D477" s="41" t="s">
        <v>1553</v>
      </c>
      <c r="E477" s="41"/>
      <c r="F477" s="42"/>
      <c r="G477" s="42">
        <v>2</v>
      </c>
      <c r="H477" s="42" t="s">
        <v>811</v>
      </c>
      <c r="I477" s="42" t="s">
        <v>288</v>
      </c>
      <c r="J477" s="42"/>
      <c r="K477" s="41"/>
      <c r="L477" s="43"/>
      <c r="M477" s="43"/>
      <c r="N477" s="43"/>
      <c r="O477" s="43"/>
      <c r="P477" s="43"/>
      <c r="Q477" s="43"/>
    </row>
    <row r="478" spans="1:17" x14ac:dyDescent="0.25">
      <c r="A478" s="40">
        <v>476</v>
      </c>
      <c r="B478" s="46" t="s">
        <v>289</v>
      </c>
      <c r="C478" s="40" t="s">
        <v>1363</v>
      </c>
      <c r="D478" s="41" t="s">
        <v>1427</v>
      </c>
      <c r="E478" s="41"/>
      <c r="F478" s="42"/>
      <c r="G478" s="42"/>
      <c r="H478" s="42"/>
      <c r="I478" s="42"/>
      <c r="J478" s="42">
        <v>4</v>
      </c>
      <c r="K478" s="41" t="s">
        <v>811</v>
      </c>
      <c r="L478" s="43" t="s">
        <v>289</v>
      </c>
      <c r="M478" s="43"/>
      <c r="N478" s="43"/>
      <c r="O478" s="43"/>
      <c r="P478" s="43"/>
      <c r="Q478" s="43"/>
    </row>
    <row r="479" spans="1:17" x14ac:dyDescent="0.25">
      <c r="A479" s="40">
        <v>477</v>
      </c>
      <c r="B479" s="40" t="s">
        <v>324</v>
      </c>
      <c r="C479" s="40" t="s">
        <v>1364</v>
      </c>
      <c r="D479" s="41" t="s">
        <v>1553</v>
      </c>
      <c r="E479" s="41" t="s">
        <v>1554</v>
      </c>
      <c r="F479" s="42"/>
      <c r="G479" s="42">
        <v>2</v>
      </c>
      <c r="H479" s="42" t="s">
        <v>1469</v>
      </c>
      <c r="I479" s="42" t="s">
        <v>324</v>
      </c>
      <c r="J479" s="42"/>
      <c r="K479" s="41"/>
      <c r="L479" s="43"/>
      <c r="M479" s="43" t="s">
        <v>1536</v>
      </c>
      <c r="N479" s="43" t="s">
        <v>324</v>
      </c>
      <c r="O479" s="43" t="s">
        <v>1573</v>
      </c>
      <c r="P479" s="43"/>
      <c r="Q479" s="43"/>
    </row>
    <row r="480" spans="1:17" x14ac:dyDescent="0.25">
      <c r="A480" s="40">
        <v>478</v>
      </c>
      <c r="B480" s="40" t="s">
        <v>338</v>
      </c>
      <c r="C480" s="40" t="s">
        <v>1365</v>
      </c>
      <c r="D480" s="41" t="s">
        <v>1427</v>
      </c>
      <c r="E480" s="41"/>
      <c r="F480" s="42"/>
      <c r="G480" s="42"/>
      <c r="H480" s="42"/>
      <c r="I480" s="42"/>
      <c r="J480" s="42">
        <v>2</v>
      </c>
      <c r="K480" s="41" t="s">
        <v>1537</v>
      </c>
      <c r="L480" s="43" t="s">
        <v>338</v>
      </c>
      <c r="M480" s="43"/>
      <c r="N480" s="43"/>
      <c r="O480" s="43"/>
      <c r="P480" s="43"/>
      <c r="Q480" s="43"/>
    </row>
    <row r="481" spans="1:17" x14ac:dyDescent="0.25">
      <c r="A481" s="40">
        <v>479</v>
      </c>
      <c r="B481" s="40" t="s">
        <v>327</v>
      </c>
      <c r="C481" s="40" t="s">
        <v>1366</v>
      </c>
      <c r="D481" s="41" t="s">
        <v>1553</v>
      </c>
      <c r="E481" s="41" t="s">
        <v>1554</v>
      </c>
      <c r="F481" s="42"/>
      <c r="G481" s="42">
        <v>2</v>
      </c>
      <c r="H481" s="42" t="s">
        <v>1532</v>
      </c>
      <c r="I481" s="42" t="s">
        <v>327</v>
      </c>
      <c r="J481" s="42"/>
      <c r="K481" s="41"/>
      <c r="L481" s="43"/>
      <c r="M481" s="43" t="s">
        <v>1530</v>
      </c>
      <c r="N481" s="43" t="s">
        <v>327</v>
      </c>
      <c r="O481" s="43" t="s">
        <v>1599</v>
      </c>
      <c r="P481" s="43"/>
      <c r="Q481" s="43"/>
    </row>
    <row r="482" spans="1:17" x14ac:dyDescent="0.25">
      <c r="A482" s="40">
        <v>480</v>
      </c>
      <c r="B482" s="43" t="s">
        <v>389</v>
      </c>
      <c r="C482" s="40" t="s">
        <v>1367</v>
      </c>
      <c r="D482" s="41" t="s">
        <v>1533</v>
      </c>
      <c r="E482" s="41" t="s">
        <v>812</v>
      </c>
      <c r="F482" s="42"/>
      <c r="G482" s="42"/>
      <c r="H482" s="42"/>
      <c r="I482" s="42"/>
      <c r="J482" s="42"/>
      <c r="K482" s="41"/>
      <c r="L482" s="43"/>
      <c r="M482" s="43"/>
      <c r="N482" s="43"/>
      <c r="O482" s="43"/>
      <c r="P482" s="43"/>
      <c r="Q482" s="43"/>
    </row>
    <row r="483" spans="1:17" x14ac:dyDescent="0.25">
      <c r="A483" s="40">
        <v>481</v>
      </c>
      <c r="B483" s="40" t="s">
        <v>326</v>
      </c>
      <c r="C483" s="40" t="s">
        <v>1368</v>
      </c>
      <c r="D483" s="41" t="s">
        <v>1553</v>
      </c>
      <c r="E483" s="41"/>
      <c r="F483" s="42"/>
      <c r="G483" s="42">
        <v>2</v>
      </c>
      <c r="H483" s="42" t="s">
        <v>1536</v>
      </c>
      <c r="I483" s="42" t="s">
        <v>326</v>
      </c>
      <c r="J483" s="42"/>
      <c r="K483" s="41"/>
      <c r="L483" s="43"/>
      <c r="M483" s="43" t="s">
        <v>1538</v>
      </c>
      <c r="N483" s="43" t="s">
        <v>326</v>
      </c>
      <c r="O483" s="43" t="s">
        <v>1436</v>
      </c>
      <c r="P483" s="43" t="s">
        <v>1568</v>
      </c>
      <c r="Q483" s="43"/>
    </row>
    <row r="484" spans="1:17" x14ac:dyDescent="0.25">
      <c r="A484" s="40">
        <v>482</v>
      </c>
      <c r="B484" s="40" t="s">
        <v>378</v>
      </c>
      <c r="C484" s="40" t="s">
        <v>1369</v>
      </c>
      <c r="D484" s="41" t="s">
        <v>1530</v>
      </c>
      <c r="E484" s="41" t="s">
        <v>812</v>
      </c>
      <c r="F484" s="42"/>
      <c r="G484" s="42"/>
      <c r="H484" s="42"/>
      <c r="I484" s="42"/>
      <c r="J484" s="42"/>
      <c r="K484" s="41"/>
      <c r="L484" s="43"/>
      <c r="M484" s="43"/>
      <c r="N484" s="43"/>
      <c r="O484" s="43"/>
      <c r="P484" s="43"/>
      <c r="Q484" s="43"/>
    </row>
    <row r="485" spans="1:17" x14ac:dyDescent="0.25">
      <c r="A485" s="40">
        <v>483</v>
      </c>
      <c r="B485" s="43" t="s">
        <v>395</v>
      </c>
      <c r="C485" s="40" t="s">
        <v>1370</v>
      </c>
      <c r="D485" s="41" t="s">
        <v>1553</v>
      </c>
      <c r="E485" s="41" t="s">
        <v>1554</v>
      </c>
      <c r="F485" s="42"/>
      <c r="G485" s="42">
        <v>2</v>
      </c>
      <c r="H485" s="42" t="s">
        <v>1518</v>
      </c>
      <c r="I485" s="42" t="s">
        <v>395</v>
      </c>
      <c r="J485" s="42"/>
      <c r="K485" s="41"/>
      <c r="L485" s="43"/>
      <c r="M485" s="43"/>
      <c r="N485" s="43"/>
      <c r="O485" s="43"/>
      <c r="P485" s="43" t="s">
        <v>1568</v>
      </c>
      <c r="Q485" s="43"/>
    </row>
    <row r="486" spans="1:17" x14ac:dyDescent="0.25">
      <c r="A486" s="40">
        <v>484</v>
      </c>
      <c r="B486" s="43" t="s">
        <v>413</v>
      </c>
      <c r="C486" s="40" t="s">
        <v>1371</v>
      </c>
      <c r="D486" s="41" t="s">
        <v>1427</v>
      </c>
      <c r="E486" s="41"/>
      <c r="F486" s="42"/>
      <c r="G486" s="42"/>
      <c r="H486" s="42"/>
      <c r="I486" s="42"/>
      <c r="J486" s="42">
        <v>2</v>
      </c>
      <c r="K486" s="41" t="s">
        <v>1600</v>
      </c>
      <c r="L486" s="43" t="s">
        <v>413</v>
      </c>
      <c r="M486" s="43" t="s">
        <v>1530</v>
      </c>
      <c r="N486" s="43" t="s">
        <v>413</v>
      </c>
      <c r="O486" s="43" t="s">
        <v>1436</v>
      </c>
      <c r="P486" s="43" t="s">
        <v>1568</v>
      </c>
      <c r="Q486" s="43"/>
    </row>
    <row r="487" spans="1:17" x14ac:dyDescent="0.25">
      <c r="A487" s="40">
        <v>485</v>
      </c>
      <c r="B487" s="43" t="s">
        <v>414</v>
      </c>
      <c r="C487" s="40" t="s">
        <v>1372</v>
      </c>
      <c r="D487" s="41" t="s">
        <v>1427</v>
      </c>
      <c r="E487" s="41"/>
      <c r="F487" s="42"/>
      <c r="G487" s="42"/>
      <c r="H487" s="42"/>
      <c r="I487" s="42"/>
      <c r="J487" s="42">
        <v>2</v>
      </c>
      <c r="K487" s="41" t="s">
        <v>1539</v>
      </c>
      <c r="L487" s="43" t="s">
        <v>414</v>
      </c>
      <c r="M487" s="43" t="s">
        <v>1467</v>
      </c>
      <c r="N487" s="43" t="s">
        <v>414</v>
      </c>
      <c r="O487" s="43" t="s">
        <v>1436</v>
      </c>
      <c r="P487" s="43" t="s">
        <v>1568</v>
      </c>
      <c r="Q487" s="43" t="s">
        <v>1647</v>
      </c>
    </row>
    <row r="488" spans="1:17" ht="15" customHeight="1" x14ac:dyDescent="0.25">
      <c r="A488" s="40">
        <v>486</v>
      </c>
      <c r="B488" s="43" t="s">
        <v>409</v>
      </c>
      <c r="C488" s="40" t="s">
        <v>1373</v>
      </c>
      <c r="D488" s="41" t="s">
        <v>1427</v>
      </c>
      <c r="E488" s="41"/>
      <c r="F488" s="42"/>
      <c r="G488" s="42"/>
      <c r="H488" s="42"/>
      <c r="I488" s="42"/>
      <c r="J488" s="42">
        <v>2</v>
      </c>
      <c r="K488" s="41" t="s">
        <v>1518</v>
      </c>
      <c r="L488" s="43" t="s">
        <v>409</v>
      </c>
      <c r="M488" s="43" t="s">
        <v>1467</v>
      </c>
      <c r="N488" s="43" t="s">
        <v>409</v>
      </c>
      <c r="O488" s="43" t="s">
        <v>1454</v>
      </c>
      <c r="P488" s="43" t="s">
        <v>1568</v>
      </c>
      <c r="Q488" s="43"/>
    </row>
    <row r="489" spans="1:17" x14ac:dyDescent="0.25">
      <c r="A489" s="40">
        <v>487</v>
      </c>
      <c r="B489" s="43" t="s">
        <v>481</v>
      </c>
      <c r="C489" s="40" t="s">
        <v>712</v>
      </c>
      <c r="D489" s="41" t="s">
        <v>1427</v>
      </c>
      <c r="E489" s="41"/>
      <c r="F489" s="42"/>
      <c r="G489" s="42"/>
      <c r="H489" s="42"/>
      <c r="I489" s="42"/>
      <c r="J489" s="42">
        <v>2</v>
      </c>
      <c r="K489" s="41" t="s">
        <v>1539</v>
      </c>
      <c r="L489" s="43" t="s">
        <v>481</v>
      </c>
      <c r="M489" s="43"/>
      <c r="N489" s="43"/>
      <c r="O489" s="43"/>
      <c r="P489" s="43"/>
      <c r="Q489" s="43"/>
    </row>
    <row r="490" spans="1:17" x14ac:dyDescent="0.25">
      <c r="A490" s="40">
        <v>488</v>
      </c>
      <c r="B490" s="43" t="s">
        <v>491</v>
      </c>
      <c r="C490" s="40" t="s">
        <v>713</v>
      </c>
      <c r="D490" s="41" t="str">
        <f>VLOOKUP(B490,[1]CSG!$B$2:$C$169,2,0)</f>
        <v>CSG-CTTN40</v>
      </c>
      <c r="E490" s="41" t="s">
        <v>812</v>
      </c>
      <c r="F490" s="41"/>
      <c r="G490" s="41"/>
      <c r="H490" s="41"/>
      <c r="I490" s="41"/>
      <c r="J490" s="42"/>
      <c r="K490" s="41"/>
      <c r="L490" s="43"/>
      <c r="M490" s="43"/>
      <c r="N490" s="43"/>
      <c r="O490" s="43"/>
      <c r="P490" s="43"/>
      <c r="Q490" s="43"/>
    </row>
    <row r="491" spans="1:17" x14ac:dyDescent="0.25">
      <c r="A491" s="40">
        <v>489</v>
      </c>
      <c r="B491" s="43" t="s">
        <v>492</v>
      </c>
      <c r="C491" s="40" t="s">
        <v>714</v>
      </c>
      <c r="D491" s="41" t="str">
        <f>VLOOKUP(B491,[1]CSG!$B$2:$C$169,2,0)</f>
        <v>CSG-CTTN41</v>
      </c>
      <c r="E491" s="41" t="s">
        <v>812</v>
      </c>
      <c r="F491" s="41"/>
      <c r="G491" s="41"/>
      <c r="H491" s="41"/>
      <c r="I491" s="41"/>
      <c r="J491" s="42"/>
      <c r="K491" s="41"/>
      <c r="L491" s="43"/>
      <c r="M491" s="43"/>
      <c r="N491" s="43"/>
      <c r="O491" s="43"/>
      <c r="P491" s="43"/>
      <c r="Q491" s="43"/>
    </row>
    <row r="492" spans="1:17" x14ac:dyDescent="0.25">
      <c r="A492" s="40">
        <v>490</v>
      </c>
      <c r="B492" s="43" t="s">
        <v>545</v>
      </c>
      <c r="C492" s="40" t="s">
        <v>715</v>
      </c>
      <c r="D492" s="41" t="s">
        <v>1427</v>
      </c>
      <c r="E492" s="41"/>
      <c r="F492" s="42"/>
      <c r="G492" s="42"/>
      <c r="H492" s="42"/>
      <c r="I492" s="42"/>
      <c r="J492" s="42">
        <v>2</v>
      </c>
      <c r="K492" s="41" t="s">
        <v>1540</v>
      </c>
      <c r="L492" s="43" t="s">
        <v>545</v>
      </c>
      <c r="M492" s="43" t="s">
        <v>1540</v>
      </c>
      <c r="N492" s="43" t="s">
        <v>545</v>
      </c>
      <c r="O492" s="43" t="s">
        <v>1573</v>
      </c>
      <c r="P492" s="43"/>
      <c r="Q492" s="43"/>
    </row>
    <row r="493" spans="1:17" x14ac:dyDescent="0.25">
      <c r="A493" s="40">
        <v>491</v>
      </c>
      <c r="B493" s="43" t="s">
        <v>508</v>
      </c>
      <c r="C493" s="40" t="s">
        <v>716</v>
      </c>
      <c r="D493" s="41" t="s">
        <v>1553</v>
      </c>
      <c r="E493" s="41"/>
      <c r="F493" s="42"/>
      <c r="G493" s="42">
        <v>2</v>
      </c>
      <c r="H493" s="42" t="s">
        <v>811</v>
      </c>
      <c r="I493" s="42" t="s">
        <v>508</v>
      </c>
      <c r="J493" s="42"/>
      <c r="K493" s="41"/>
      <c r="L493" s="43"/>
      <c r="M493" s="43"/>
      <c r="N493" s="43"/>
      <c r="O493" s="43"/>
      <c r="P493" s="43"/>
      <c r="Q493" s="43"/>
    </row>
    <row r="494" spans="1:17" x14ac:dyDescent="0.25">
      <c r="A494" s="40">
        <v>492</v>
      </c>
      <c r="B494" s="43" t="s">
        <v>493</v>
      </c>
      <c r="C494" s="40" t="s">
        <v>717</v>
      </c>
      <c r="D494" s="41" t="s">
        <v>1553</v>
      </c>
      <c r="E494" s="41"/>
      <c r="F494" s="42"/>
      <c r="G494" s="42">
        <v>2</v>
      </c>
      <c r="H494" s="42" t="s">
        <v>1469</v>
      </c>
      <c r="I494" s="42" t="s">
        <v>493</v>
      </c>
      <c r="J494" s="42"/>
      <c r="K494" s="41"/>
      <c r="L494" s="43"/>
      <c r="M494" s="43"/>
      <c r="N494" s="43"/>
      <c r="O494" s="43"/>
      <c r="P494" s="43"/>
      <c r="Q494" s="43"/>
    </row>
    <row r="495" spans="1:17" x14ac:dyDescent="0.25">
      <c r="A495" s="40">
        <v>493</v>
      </c>
      <c r="B495" s="43" t="s">
        <v>509</v>
      </c>
      <c r="C495" s="40" t="s">
        <v>718</v>
      </c>
      <c r="D495" s="41" t="s">
        <v>1553</v>
      </c>
      <c r="E495" s="41"/>
      <c r="F495" s="42"/>
      <c r="G495" s="42">
        <v>2</v>
      </c>
      <c r="H495" s="42" t="s">
        <v>1534</v>
      </c>
      <c r="I495" s="42" t="s">
        <v>509</v>
      </c>
      <c r="J495" s="42"/>
      <c r="K495" s="41"/>
      <c r="L495" s="43"/>
      <c r="M495" s="43"/>
      <c r="N495" s="43"/>
      <c r="O495" s="43"/>
      <c r="P495" s="43"/>
      <c r="Q495" s="43"/>
    </row>
    <row r="496" spans="1:17" x14ac:dyDescent="0.25">
      <c r="A496" s="40">
        <v>494</v>
      </c>
      <c r="B496" s="43" t="s">
        <v>514</v>
      </c>
      <c r="C496" s="40" t="s">
        <v>719</v>
      </c>
      <c r="D496" s="41" t="s">
        <v>1427</v>
      </c>
      <c r="E496" s="41"/>
      <c r="F496" s="42"/>
      <c r="G496" s="42"/>
      <c r="H496" s="42"/>
      <c r="I496" s="42"/>
      <c r="J496" s="42">
        <v>2</v>
      </c>
      <c r="K496" s="41" t="s">
        <v>1537</v>
      </c>
      <c r="L496" s="43" t="s">
        <v>514</v>
      </c>
      <c r="M496" s="43"/>
      <c r="N496" s="43"/>
      <c r="O496" s="43"/>
      <c r="P496" s="43"/>
      <c r="Q496" s="43"/>
    </row>
    <row r="497" spans="1:17" x14ac:dyDescent="0.25">
      <c r="A497" s="40">
        <v>495</v>
      </c>
      <c r="B497" s="43" t="s">
        <v>549</v>
      </c>
      <c r="C497" s="40" t="s">
        <v>720</v>
      </c>
      <c r="D497" s="41" t="s">
        <v>1427</v>
      </c>
      <c r="E497" s="41"/>
      <c r="F497" s="42"/>
      <c r="G497" s="42"/>
      <c r="H497" s="42"/>
      <c r="I497" s="42"/>
      <c r="J497" s="42">
        <v>2</v>
      </c>
      <c r="K497" s="41" t="s">
        <v>1533</v>
      </c>
      <c r="L497" s="43" t="s">
        <v>549</v>
      </c>
      <c r="M497" s="43"/>
      <c r="N497" s="43"/>
      <c r="O497" s="43"/>
      <c r="P497" s="43"/>
      <c r="Q497" s="43"/>
    </row>
    <row r="498" spans="1:17" x14ac:dyDescent="0.25">
      <c r="A498" s="40">
        <v>496</v>
      </c>
      <c r="B498" s="43" t="s">
        <v>550</v>
      </c>
      <c r="C498" s="40" t="s">
        <v>721</v>
      </c>
      <c r="D498" s="41" t="s">
        <v>1461</v>
      </c>
      <c r="E498" s="41"/>
      <c r="F498" s="42"/>
      <c r="G498" s="42"/>
      <c r="H498" s="42"/>
      <c r="I498" s="42"/>
      <c r="J498" s="42"/>
      <c r="K498" s="41"/>
      <c r="L498" s="43"/>
      <c r="M498" s="43" t="s">
        <v>1535</v>
      </c>
      <c r="N498" s="43" t="s">
        <v>550</v>
      </c>
      <c r="O498" s="43" t="s">
        <v>1461</v>
      </c>
      <c r="P498" s="43"/>
      <c r="Q498" s="43"/>
    </row>
    <row r="499" spans="1:17" x14ac:dyDescent="0.25">
      <c r="A499" s="40">
        <v>497</v>
      </c>
      <c r="B499" s="43" t="s">
        <v>551</v>
      </c>
      <c r="C499" s="40" t="s">
        <v>722</v>
      </c>
      <c r="D499" s="41" t="s">
        <v>1427</v>
      </c>
      <c r="E499" s="41"/>
      <c r="F499" s="42"/>
      <c r="G499" s="42"/>
      <c r="H499" s="42"/>
      <c r="I499" s="42"/>
      <c r="J499" s="42">
        <v>2</v>
      </c>
      <c r="K499" s="41" t="s">
        <v>1539</v>
      </c>
      <c r="L499" s="43" t="s">
        <v>551</v>
      </c>
      <c r="M499" s="43"/>
      <c r="N499" s="43"/>
      <c r="O499" s="43"/>
      <c r="P499" s="43"/>
      <c r="Q499" s="43"/>
    </row>
    <row r="500" spans="1:17" x14ac:dyDescent="0.25">
      <c r="A500" s="40">
        <v>498</v>
      </c>
      <c r="B500" s="43" t="s">
        <v>552</v>
      </c>
      <c r="C500" s="40" t="s">
        <v>723</v>
      </c>
      <c r="D500" s="41" t="s">
        <v>1427</v>
      </c>
      <c r="E500" s="41"/>
      <c r="F500" s="42"/>
      <c r="G500" s="42"/>
      <c r="H500" s="42"/>
      <c r="I500" s="42"/>
      <c r="J500" s="42">
        <v>2</v>
      </c>
      <c r="K500" s="41" t="s">
        <v>1537</v>
      </c>
      <c r="L500" s="43" t="s">
        <v>552</v>
      </c>
      <c r="M500" s="43"/>
      <c r="N500" s="43"/>
      <c r="O500" s="43"/>
      <c r="P500" s="43"/>
      <c r="Q500" s="43"/>
    </row>
    <row r="501" spans="1:17" x14ac:dyDescent="0.25">
      <c r="A501" s="40">
        <v>499</v>
      </c>
      <c r="B501" s="43" t="s">
        <v>553</v>
      </c>
      <c r="C501" s="40" t="s">
        <v>724</v>
      </c>
      <c r="D501" s="41" t="s">
        <v>1427</v>
      </c>
      <c r="E501" s="41"/>
      <c r="F501" s="42"/>
      <c r="G501" s="42"/>
      <c r="H501" s="42"/>
      <c r="I501" s="42"/>
      <c r="J501" s="42">
        <v>2</v>
      </c>
      <c r="K501" s="41" t="s">
        <v>1518</v>
      </c>
      <c r="L501" s="43" t="s">
        <v>553</v>
      </c>
      <c r="M501" s="43" t="s">
        <v>1518</v>
      </c>
      <c r="N501" s="43" t="s">
        <v>553</v>
      </c>
      <c r="O501" s="43" t="s">
        <v>1573</v>
      </c>
      <c r="P501" s="43"/>
      <c r="Q501" s="43"/>
    </row>
    <row r="502" spans="1:17" x14ac:dyDescent="0.25">
      <c r="A502" s="40">
        <v>500</v>
      </c>
      <c r="B502" s="43" t="s">
        <v>570</v>
      </c>
      <c r="C502" s="40" t="s">
        <v>725</v>
      </c>
      <c r="D502" s="41" t="s">
        <v>1537</v>
      </c>
      <c r="E502" s="41" t="s">
        <v>812</v>
      </c>
      <c r="F502" s="42"/>
      <c r="G502" s="42"/>
      <c r="H502" s="42"/>
      <c r="I502" s="42"/>
      <c r="J502" s="42"/>
      <c r="K502" s="41"/>
      <c r="L502" s="43"/>
      <c r="M502" s="43"/>
      <c r="N502" s="43"/>
      <c r="O502" s="43"/>
      <c r="P502" s="43"/>
      <c r="Q502" s="43"/>
    </row>
    <row r="503" spans="1:17" x14ac:dyDescent="0.25">
      <c r="A503" s="40">
        <v>501</v>
      </c>
      <c r="B503" s="43" t="s">
        <v>586</v>
      </c>
      <c r="C503" s="40" t="s">
        <v>726</v>
      </c>
      <c r="D503" s="41" t="s">
        <v>1427</v>
      </c>
      <c r="E503" s="41"/>
      <c r="F503" s="42"/>
      <c r="G503" s="42"/>
      <c r="H503" s="42"/>
      <c r="I503" s="42"/>
      <c r="J503" s="42">
        <v>2</v>
      </c>
      <c r="K503" s="41" t="s">
        <v>1532</v>
      </c>
      <c r="L503" s="43" t="s">
        <v>586</v>
      </c>
      <c r="M503" s="43"/>
      <c r="N503" s="43"/>
      <c r="O503" s="43"/>
      <c r="P503" s="43"/>
      <c r="Q503" s="43"/>
    </row>
    <row r="504" spans="1:17" x14ac:dyDescent="0.25">
      <c r="A504" s="40">
        <v>502</v>
      </c>
      <c r="B504" s="46" t="s">
        <v>290</v>
      </c>
      <c r="C504" s="40" t="s">
        <v>1374</v>
      </c>
      <c r="D504" s="41" t="s">
        <v>1553</v>
      </c>
      <c r="E504" s="41" t="s">
        <v>1554</v>
      </c>
      <c r="F504" s="42"/>
      <c r="G504" s="42">
        <v>2</v>
      </c>
      <c r="H504" s="42" t="s">
        <v>1541</v>
      </c>
      <c r="I504" s="42" t="s">
        <v>290</v>
      </c>
      <c r="J504" s="42"/>
      <c r="K504" s="41"/>
      <c r="L504" s="43"/>
      <c r="M504" s="43" t="s">
        <v>1530</v>
      </c>
      <c r="N504" s="43" t="s">
        <v>290</v>
      </c>
      <c r="O504" s="43" t="s">
        <v>1570</v>
      </c>
      <c r="P504" s="43"/>
      <c r="Q504" s="43"/>
    </row>
    <row r="505" spans="1:17" x14ac:dyDescent="0.25">
      <c r="A505" s="40">
        <v>503</v>
      </c>
      <c r="B505" s="46" t="s">
        <v>291</v>
      </c>
      <c r="C505" s="40" t="s">
        <v>1375</v>
      </c>
      <c r="D505" s="41" t="str">
        <f>VLOOKUP(B505,[1]CSG!$B$2:$C$169,2,0)</f>
        <v>CSG-CTVT02</v>
      </c>
      <c r="E505" s="41" t="s">
        <v>812</v>
      </c>
      <c r="F505" s="41"/>
      <c r="G505" s="41"/>
      <c r="H505" s="41"/>
      <c r="I505" s="41"/>
      <c r="J505" s="42"/>
      <c r="K505" s="41"/>
      <c r="L505" s="43"/>
      <c r="M505" s="43"/>
      <c r="N505" s="43"/>
      <c r="O505" s="43"/>
      <c r="P505" s="43"/>
      <c r="Q505" s="43"/>
    </row>
    <row r="506" spans="1:17" x14ac:dyDescent="0.25">
      <c r="A506" s="40">
        <v>504</v>
      </c>
      <c r="B506" s="46" t="s">
        <v>292</v>
      </c>
      <c r="C506" s="40" t="s">
        <v>1376</v>
      </c>
      <c r="D506" s="41" t="s">
        <v>2371</v>
      </c>
      <c r="E506" s="41" t="s">
        <v>812</v>
      </c>
      <c r="F506" s="42"/>
      <c r="G506" s="42"/>
      <c r="H506" s="42"/>
      <c r="I506" s="42"/>
      <c r="J506" s="42"/>
      <c r="K506" s="41"/>
      <c r="L506" s="43"/>
      <c r="M506" s="43"/>
      <c r="N506" s="43"/>
      <c r="O506" s="43"/>
      <c r="P506" s="43" t="s">
        <v>1568</v>
      </c>
      <c r="Q506" s="43"/>
    </row>
    <row r="507" spans="1:17" x14ac:dyDescent="0.25">
      <c r="A507" s="40">
        <v>505</v>
      </c>
      <c r="B507" s="46" t="s">
        <v>293</v>
      </c>
      <c r="C507" s="40" t="s">
        <v>1377</v>
      </c>
      <c r="D507" s="41" t="str">
        <f>VLOOKUP(B507,[1]CSG!$B$2:$C$169,2,0)</f>
        <v>CSG-CTVT04</v>
      </c>
      <c r="E507" s="41" t="s">
        <v>812</v>
      </c>
      <c r="F507" s="41"/>
      <c r="G507" s="41"/>
      <c r="H507" s="41"/>
      <c r="I507" s="41"/>
      <c r="J507" s="42"/>
      <c r="K507" s="41"/>
      <c r="L507" s="43"/>
      <c r="M507" s="43"/>
      <c r="N507" s="43"/>
      <c r="O507" s="43"/>
      <c r="P507" s="43"/>
      <c r="Q507" s="43"/>
    </row>
    <row r="508" spans="1:17" x14ac:dyDescent="0.25">
      <c r="A508" s="40">
        <v>506</v>
      </c>
      <c r="B508" s="46" t="s">
        <v>294</v>
      </c>
      <c r="C508" s="40" t="s">
        <v>1378</v>
      </c>
      <c r="D508" s="41" t="str">
        <f>VLOOKUP(B508,[1]CSG!$B$2:$C$169,2,0)</f>
        <v>CSG-CTVT05</v>
      </c>
      <c r="E508" s="41" t="s">
        <v>812</v>
      </c>
      <c r="F508" s="41"/>
      <c r="G508" s="41"/>
      <c r="H508" s="41"/>
      <c r="I508" s="41"/>
      <c r="J508" s="42"/>
      <c r="K508" s="41"/>
      <c r="L508" s="43"/>
      <c r="M508" s="43"/>
      <c r="N508" s="43"/>
      <c r="O508" s="43"/>
      <c r="P508" s="43"/>
      <c r="Q508" s="43"/>
    </row>
    <row r="509" spans="1:17" x14ac:dyDescent="0.25">
      <c r="A509" s="40">
        <v>507</v>
      </c>
      <c r="B509" s="46" t="s">
        <v>295</v>
      </c>
      <c r="C509" s="40" t="s">
        <v>1379</v>
      </c>
      <c r="D509" s="41" t="str">
        <f>VLOOKUP(B509,[1]CSG!$B$2:$C$169,2,0)</f>
        <v>CSG-CTVT06</v>
      </c>
      <c r="E509" s="41" t="s">
        <v>812</v>
      </c>
      <c r="F509" s="41"/>
      <c r="G509" s="41"/>
      <c r="H509" s="41"/>
      <c r="I509" s="41"/>
      <c r="J509" s="42"/>
      <c r="K509" s="41"/>
      <c r="L509" s="43"/>
      <c r="M509" s="43"/>
      <c r="N509" s="43"/>
      <c r="O509" s="43"/>
      <c r="P509" s="43"/>
      <c r="Q509" s="43"/>
    </row>
    <row r="510" spans="1:17" x14ac:dyDescent="0.25">
      <c r="A510" s="40">
        <v>508</v>
      </c>
      <c r="B510" s="46" t="s">
        <v>296</v>
      </c>
      <c r="C510" s="40" t="s">
        <v>1380</v>
      </c>
      <c r="D510" s="41" t="s">
        <v>1553</v>
      </c>
      <c r="E510" s="41" t="s">
        <v>1554</v>
      </c>
      <c r="F510" s="42"/>
      <c r="G510" s="42">
        <v>2</v>
      </c>
      <c r="H510" s="42" t="s">
        <v>1543</v>
      </c>
      <c r="I510" s="42" t="s">
        <v>296</v>
      </c>
      <c r="J510" s="42"/>
      <c r="K510" s="41"/>
      <c r="L510" s="43"/>
      <c r="M510" s="43"/>
      <c r="N510" s="43"/>
      <c r="O510" s="43"/>
      <c r="P510" s="43" t="s">
        <v>1568</v>
      </c>
      <c r="Q510" s="43"/>
    </row>
    <row r="511" spans="1:17" x14ac:dyDescent="0.25">
      <c r="A511" s="40">
        <v>509</v>
      </c>
      <c r="B511" s="46" t="s">
        <v>297</v>
      </c>
      <c r="C511" s="40" t="s">
        <v>1381</v>
      </c>
      <c r="D511" s="41" t="s">
        <v>1602</v>
      </c>
      <c r="E511" s="41" t="s">
        <v>812</v>
      </c>
      <c r="F511" s="42"/>
      <c r="G511" s="42"/>
      <c r="H511" s="42"/>
      <c r="I511" s="42"/>
      <c r="J511" s="42"/>
      <c r="K511" s="41"/>
      <c r="L511" s="43"/>
      <c r="M511" s="43"/>
      <c r="N511" s="43"/>
      <c r="O511" s="43"/>
      <c r="P511" s="43" t="s">
        <v>1568</v>
      </c>
      <c r="Q511" s="43"/>
    </row>
    <row r="512" spans="1:17" x14ac:dyDescent="0.25">
      <c r="A512" s="40">
        <v>510</v>
      </c>
      <c r="B512" s="46" t="s">
        <v>298</v>
      </c>
      <c r="C512" s="40" t="s">
        <v>1382</v>
      </c>
      <c r="D512" s="41" t="s">
        <v>2372</v>
      </c>
      <c r="E512" s="41" t="s">
        <v>812</v>
      </c>
      <c r="F512" s="42"/>
      <c r="G512" s="42"/>
      <c r="H512" s="42"/>
      <c r="I512" s="42"/>
      <c r="J512" s="42"/>
      <c r="K512" s="41"/>
      <c r="L512" s="43"/>
      <c r="M512" s="43"/>
      <c r="N512" s="43"/>
      <c r="O512" s="43"/>
      <c r="P512" s="43" t="s">
        <v>1568</v>
      </c>
      <c r="Q512" s="43"/>
    </row>
    <row r="513" spans="1:17" x14ac:dyDescent="0.25">
      <c r="A513" s="40">
        <v>511</v>
      </c>
      <c r="B513" s="46" t="s">
        <v>299</v>
      </c>
      <c r="C513" s="40" t="s">
        <v>1383</v>
      </c>
      <c r="D513" s="41" t="s">
        <v>1553</v>
      </c>
      <c r="E513" s="41" t="s">
        <v>1554</v>
      </c>
      <c r="F513" s="42"/>
      <c r="G513" s="42">
        <v>2</v>
      </c>
      <c r="H513" s="42" t="s">
        <v>1544</v>
      </c>
      <c r="I513" s="42" t="s">
        <v>299</v>
      </c>
      <c r="J513" s="42"/>
      <c r="K513" s="41"/>
      <c r="L513" s="43"/>
      <c r="M513" s="43"/>
      <c r="N513" s="43"/>
      <c r="O513" s="43"/>
      <c r="P513" s="43" t="s">
        <v>1568</v>
      </c>
      <c r="Q513" s="43"/>
    </row>
    <row r="514" spans="1:17" x14ac:dyDescent="0.25">
      <c r="A514" s="40">
        <v>512</v>
      </c>
      <c r="B514" s="46" t="s">
        <v>300</v>
      </c>
      <c r="C514" s="40" t="s">
        <v>1384</v>
      </c>
      <c r="D514" s="41" t="str">
        <f>VLOOKUP(B514,[1]CSG!$B$2:$C$169,2,0)</f>
        <v>CSG-CTVT11</v>
      </c>
      <c r="E514" s="41" t="s">
        <v>812</v>
      </c>
      <c r="F514" s="41"/>
      <c r="G514" s="41"/>
      <c r="H514" s="41"/>
      <c r="I514" s="41"/>
      <c r="J514" s="42"/>
      <c r="K514" s="41"/>
      <c r="L514" s="43"/>
      <c r="M514" s="43"/>
      <c r="N514" s="43"/>
      <c r="O514" s="43"/>
      <c r="P514" s="43"/>
      <c r="Q514" s="43"/>
    </row>
    <row r="515" spans="1:17" x14ac:dyDescent="0.25">
      <c r="A515" s="40">
        <v>513</v>
      </c>
      <c r="B515" s="46" t="s">
        <v>301</v>
      </c>
      <c r="C515" s="40" t="s">
        <v>1385</v>
      </c>
      <c r="D515" s="41" t="str">
        <f>VLOOKUP(B515,[1]CSG!$B$2:$C$169,2,0)</f>
        <v>CSG-CTVT12</v>
      </c>
      <c r="E515" s="41" t="s">
        <v>812</v>
      </c>
      <c r="F515" s="41"/>
      <c r="G515" s="41"/>
      <c r="H515" s="41"/>
      <c r="I515" s="41"/>
      <c r="J515" s="42"/>
      <c r="K515" s="41"/>
      <c r="L515" s="43"/>
      <c r="M515" s="43"/>
      <c r="N515" s="43"/>
      <c r="O515" s="43"/>
      <c r="P515" s="43"/>
      <c r="Q515" s="43"/>
    </row>
    <row r="516" spans="1:17" x14ac:dyDescent="0.25">
      <c r="A516" s="40">
        <v>514</v>
      </c>
      <c r="B516" s="46" t="s">
        <v>302</v>
      </c>
      <c r="C516" s="40" t="s">
        <v>1386</v>
      </c>
      <c r="D516" s="41" t="s">
        <v>1427</v>
      </c>
      <c r="E516" s="41"/>
      <c r="F516" s="42"/>
      <c r="G516" s="42"/>
      <c r="H516" s="42"/>
      <c r="I516" s="42"/>
      <c r="J516" s="42">
        <v>2</v>
      </c>
      <c r="K516" s="41" t="s">
        <v>1601</v>
      </c>
      <c r="L516" s="43" t="s">
        <v>302</v>
      </c>
      <c r="M516" s="43" t="s">
        <v>1543</v>
      </c>
      <c r="N516" s="43" t="s">
        <v>302</v>
      </c>
      <c r="O516" s="43" t="s">
        <v>1461</v>
      </c>
      <c r="P516" s="43" t="s">
        <v>1568</v>
      </c>
      <c r="Q516" s="43"/>
    </row>
    <row r="517" spans="1:17" x14ac:dyDescent="0.25">
      <c r="A517" s="40">
        <v>515</v>
      </c>
      <c r="B517" s="46" t="s">
        <v>303</v>
      </c>
      <c r="C517" s="40" t="s">
        <v>1387</v>
      </c>
      <c r="D517" s="41" t="s">
        <v>1427</v>
      </c>
      <c r="E517" s="41"/>
      <c r="F517" s="42"/>
      <c r="G517" s="42"/>
      <c r="H517" s="42"/>
      <c r="I517" s="42"/>
      <c r="J517" s="42">
        <v>2</v>
      </c>
      <c r="K517" s="41" t="s">
        <v>1543</v>
      </c>
      <c r="L517" s="43" t="s">
        <v>303</v>
      </c>
      <c r="M517" s="43" t="s">
        <v>1543</v>
      </c>
      <c r="N517" s="43" t="s">
        <v>303</v>
      </c>
      <c r="O517" s="43" t="s">
        <v>1461</v>
      </c>
      <c r="P517" s="43" t="s">
        <v>1568</v>
      </c>
      <c r="Q517" s="43"/>
    </row>
    <row r="518" spans="1:17" x14ac:dyDescent="0.25">
      <c r="A518" s="40">
        <v>516</v>
      </c>
      <c r="B518" s="46" t="s">
        <v>304</v>
      </c>
      <c r="C518" s="40" t="s">
        <v>1388</v>
      </c>
      <c r="D518" s="41" t="s">
        <v>1427</v>
      </c>
      <c r="E518" s="41"/>
      <c r="F518" s="42"/>
      <c r="G518" s="42"/>
      <c r="H518" s="42"/>
      <c r="I518" s="42"/>
      <c r="J518" s="42">
        <v>2</v>
      </c>
      <c r="K518" s="41" t="s">
        <v>1602</v>
      </c>
      <c r="L518" s="43" t="s">
        <v>304</v>
      </c>
      <c r="M518" s="43" t="s">
        <v>1542</v>
      </c>
      <c r="N518" s="43" t="s">
        <v>304</v>
      </c>
      <c r="O518" s="43" t="s">
        <v>1461</v>
      </c>
      <c r="P518" s="43" t="s">
        <v>1568</v>
      </c>
      <c r="Q518" s="43"/>
    </row>
    <row r="519" spans="1:17" x14ac:dyDescent="0.25">
      <c r="A519" s="40">
        <v>517</v>
      </c>
      <c r="B519" s="46" t="s">
        <v>305</v>
      </c>
      <c r="C519" s="40" t="s">
        <v>1389</v>
      </c>
      <c r="D519" s="41" t="str">
        <f>VLOOKUP(B519,[1]CSG!$B$2:$C$169,2,0)</f>
        <v>CSG-CTVT16</v>
      </c>
      <c r="E519" s="41" t="s">
        <v>812</v>
      </c>
      <c r="F519" s="41"/>
      <c r="G519" s="41"/>
      <c r="H519" s="41"/>
      <c r="I519" s="41"/>
      <c r="J519" s="42"/>
      <c r="K519" s="41"/>
      <c r="L519" s="43"/>
      <c r="M519" s="43"/>
      <c r="N519" s="43"/>
      <c r="O519" s="43"/>
      <c r="P519" s="43"/>
      <c r="Q519" s="43"/>
    </row>
    <row r="520" spans="1:17" x14ac:dyDescent="0.25">
      <c r="A520" s="40">
        <v>518</v>
      </c>
      <c r="B520" s="46" t="s">
        <v>306</v>
      </c>
      <c r="C520" s="40" t="s">
        <v>1390</v>
      </c>
      <c r="D520" s="41" t="s">
        <v>1553</v>
      </c>
      <c r="E520" s="41" t="s">
        <v>1554</v>
      </c>
      <c r="F520" s="42"/>
      <c r="G520" s="42">
        <v>2</v>
      </c>
      <c r="H520" s="42" t="s">
        <v>1541</v>
      </c>
      <c r="I520" s="42" t="s">
        <v>306</v>
      </c>
      <c r="J520" s="42"/>
      <c r="K520" s="41"/>
      <c r="L520" s="43"/>
      <c r="M520" s="43"/>
      <c r="N520" s="43"/>
      <c r="O520" s="43"/>
      <c r="P520" s="43" t="s">
        <v>1568</v>
      </c>
      <c r="Q520" s="43"/>
    </row>
    <row r="521" spans="1:17" x14ac:dyDescent="0.25">
      <c r="A521" s="40">
        <v>519</v>
      </c>
      <c r="B521" s="46" t="s">
        <v>307</v>
      </c>
      <c r="C521" s="40" t="s">
        <v>1391</v>
      </c>
      <c r="D521" s="41" t="s">
        <v>1427</v>
      </c>
      <c r="E521" s="41"/>
      <c r="F521" s="42"/>
      <c r="G521" s="42"/>
      <c r="H521" s="42"/>
      <c r="I521" s="42"/>
      <c r="J521" s="42">
        <v>2</v>
      </c>
      <c r="K521" s="41" t="s">
        <v>2371</v>
      </c>
      <c r="L521" s="43" t="s">
        <v>307</v>
      </c>
      <c r="M521" s="43" t="s">
        <v>1602</v>
      </c>
      <c r="N521" s="43" t="s">
        <v>307</v>
      </c>
      <c r="O521" s="43" t="s">
        <v>1461</v>
      </c>
      <c r="P521" s="43" t="s">
        <v>1568</v>
      </c>
      <c r="Q521" s="43"/>
    </row>
    <row r="522" spans="1:17" x14ac:dyDescent="0.25">
      <c r="A522" s="40">
        <v>520</v>
      </c>
      <c r="B522" s="46" t="s">
        <v>308</v>
      </c>
      <c r="C522" s="40" t="s">
        <v>1392</v>
      </c>
      <c r="D522" s="41" t="s">
        <v>1427</v>
      </c>
      <c r="E522" s="41"/>
      <c r="F522" s="42"/>
      <c r="G522" s="42"/>
      <c r="H522" s="42"/>
      <c r="I522" s="42"/>
      <c r="J522" s="42">
        <v>2</v>
      </c>
      <c r="K522" s="41" t="s">
        <v>1542</v>
      </c>
      <c r="L522" s="43" t="s">
        <v>308</v>
      </c>
      <c r="M522" s="43" t="s">
        <v>1542</v>
      </c>
      <c r="N522" s="43" t="s">
        <v>308</v>
      </c>
      <c r="O522" s="43" t="s">
        <v>1461</v>
      </c>
      <c r="P522" s="43" t="s">
        <v>1568</v>
      </c>
      <c r="Q522" s="43"/>
    </row>
    <row r="523" spans="1:17" x14ac:dyDescent="0.25">
      <c r="A523" s="40">
        <v>521</v>
      </c>
      <c r="B523" s="46" t="s">
        <v>309</v>
      </c>
      <c r="C523" s="40" t="s">
        <v>1393</v>
      </c>
      <c r="D523" s="41" t="s">
        <v>1427</v>
      </c>
      <c r="E523" s="41"/>
      <c r="F523" s="42"/>
      <c r="G523" s="42"/>
      <c r="H523" s="42"/>
      <c r="I523" s="42"/>
      <c r="J523" s="42">
        <v>2</v>
      </c>
      <c r="K523" s="41" t="s">
        <v>1602</v>
      </c>
      <c r="L523" s="43" t="s">
        <v>309</v>
      </c>
      <c r="M523" s="43" t="s">
        <v>1603</v>
      </c>
      <c r="N523" s="43" t="s">
        <v>309</v>
      </c>
      <c r="O523" s="43" t="s">
        <v>1461</v>
      </c>
      <c r="P523" s="43" t="s">
        <v>1568</v>
      </c>
      <c r="Q523" s="43"/>
    </row>
    <row r="524" spans="1:17" x14ac:dyDescent="0.25">
      <c r="A524" s="40">
        <v>522</v>
      </c>
      <c r="B524" s="46" t="s">
        <v>310</v>
      </c>
      <c r="C524" s="40" t="s">
        <v>1394</v>
      </c>
      <c r="D524" s="41" t="s">
        <v>1427</v>
      </c>
      <c r="E524" s="41"/>
      <c r="F524" s="42"/>
      <c r="G524" s="42"/>
      <c r="H524" s="42"/>
      <c r="I524" s="42"/>
      <c r="J524" s="42">
        <v>2</v>
      </c>
      <c r="K524" s="41" t="s">
        <v>2373</v>
      </c>
      <c r="L524" s="43" t="s">
        <v>310</v>
      </c>
      <c r="M524" s="43" t="s">
        <v>1542</v>
      </c>
      <c r="N524" s="43" t="s">
        <v>310</v>
      </c>
      <c r="O524" s="43" t="s">
        <v>1461</v>
      </c>
      <c r="P524" s="43" t="s">
        <v>1568</v>
      </c>
      <c r="Q524" s="43"/>
    </row>
    <row r="525" spans="1:17" x14ac:dyDescent="0.25">
      <c r="A525" s="40">
        <v>523</v>
      </c>
      <c r="B525" s="46" t="s">
        <v>311</v>
      </c>
      <c r="C525" s="40" t="s">
        <v>1395</v>
      </c>
      <c r="D525" s="41" t="s">
        <v>1427</v>
      </c>
      <c r="E525" s="41"/>
      <c r="F525" s="42"/>
      <c r="G525" s="42"/>
      <c r="H525" s="42"/>
      <c r="I525" s="42"/>
      <c r="J525" s="42">
        <v>2</v>
      </c>
      <c r="K525" s="41" t="s">
        <v>2371</v>
      </c>
      <c r="L525" s="43" t="s">
        <v>311</v>
      </c>
      <c r="M525" s="43" t="s">
        <v>1542</v>
      </c>
      <c r="N525" s="43" t="s">
        <v>311</v>
      </c>
      <c r="O525" s="43" t="s">
        <v>1461</v>
      </c>
      <c r="P525" s="43" t="s">
        <v>1568</v>
      </c>
      <c r="Q525" s="43"/>
    </row>
    <row r="526" spans="1:17" x14ac:dyDescent="0.25">
      <c r="A526" s="40">
        <v>524</v>
      </c>
      <c r="B526" s="46" t="s">
        <v>312</v>
      </c>
      <c r="C526" s="40" t="s">
        <v>1396</v>
      </c>
      <c r="D526" s="41" t="s">
        <v>1427</v>
      </c>
      <c r="E526" s="41"/>
      <c r="F526" s="42"/>
      <c r="G526" s="42"/>
      <c r="H526" s="42"/>
      <c r="I526" s="42"/>
      <c r="J526" s="42">
        <v>2</v>
      </c>
      <c r="K526" s="41" t="s">
        <v>2373</v>
      </c>
      <c r="L526" s="43" t="s">
        <v>312</v>
      </c>
      <c r="M526" s="43" t="s">
        <v>1542</v>
      </c>
      <c r="N526" s="43" t="s">
        <v>312</v>
      </c>
      <c r="O526" s="43" t="s">
        <v>1454</v>
      </c>
      <c r="P526" s="43" t="s">
        <v>1568</v>
      </c>
      <c r="Q526" s="43"/>
    </row>
    <row r="527" spans="1:17" x14ac:dyDescent="0.25">
      <c r="A527" s="40">
        <v>525</v>
      </c>
      <c r="B527" s="46" t="s">
        <v>313</v>
      </c>
      <c r="C527" s="40" t="s">
        <v>1397</v>
      </c>
      <c r="D527" s="41" t="s">
        <v>2374</v>
      </c>
      <c r="E527" s="41" t="s">
        <v>812</v>
      </c>
      <c r="F527" s="42"/>
      <c r="G527" s="42"/>
      <c r="H527" s="42"/>
      <c r="I527" s="42"/>
      <c r="J527" s="42"/>
      <c r="K527" s="41"/>
      <c r="L527" s="43"/>
      <c r="M527" s="43"/>
      <c r="N527" s="43"/>
      <c r="O527" s="43"/>
      <c r="P527" s="43" t="s">
        <v>1568</v>
      </c>
      <c r="Q527" s="43"/>
    </row>
    <row r="528" spans="1:17" x14ac:dyDescent="0.25">
      <c r="A528" s="40">
        <v>526</v>
      </c>
      <c r="B528" s="46" t="s">
        <v>314</v>
      </c>
      <c r="C528" s="40" t="s">
        <v>1398</v>
      </c>
      <c r="D528" s="41" t="s">
        <v>1427</v>
      </c>
      <c r="E528" s="41" t="s">
        <v>1554</v>
      </c>
      <c r="F528" s="42"/>
      <c r="G528" s="42"/>
      <c r="H528" s="42"/>
      <c r="I528" s="42"/>
      <c r="J528" s="42">
        <v>2</v>
      </c>
      <c r="K528" s="41" t="s">
        <v>1545</v>
      </c>
      <c r="L528" s="43" t="s">
        <v>314</v>
      </c>
      <c r="M528" s="43"/>
      <c r="N528" s="43"/>
      <c r="O528" s="43"/>
      <c r="P528" s="43" t="s">
        <v>1568</v>
      </c>
      <c r="Q528" s="43"/>
    </row>
    <row r="529" spans="1:17" x14ac:dyDescent="0.25">
      <c r="A529" s="40">
        <v>527</v>
      </c>
      <c r="B529" s="46" t="s">
        <v>315</v>
      </c>
      <c r="C529" s="40" t="s">
        <v>1399</v>
      </c>
      <c r="D529" s="41" t="s">
        <v>1553</v>
      </c>
      <c r="E529" s="41" t="s">
        <v>1554</v>
      </c>
      <c r="F529" s="42"/>
      <c r="G529" s="42">
        <v>2</v>
      </c>
      <c r="H529" s="42" t="s">
        <v>1544</v>
      </c>
      <c r="I529" s="42" t="s">
        <v>315</v>
      </c>
      <c r="J529" s="42"/>
      <c r="K529" s="41"/>
      <c r="L529" s="43"/>
      <c r="M529" s="43" t="s">
        <v>1465</v>
      </c>
      <c r="N529" s="43" t="s">
        <v>315</v>
      </c>
      <c r="O529" s="43" t="s">
        <v>1436</v>
      </c>
      <c r="P529" s="43"/>
      <c r="Q529" s="43"/>
    </row>
    <row r="530" spans="1:17" x14ac:dyDescent="0.25">
      <c r="A530" s="40">
        <v>528</v>
      </c>
      <c r="B530" s="40" t="s">
        <v>319</v>
      </c>
      <c r="C530" s="40" t="s">
        <v>1400</v>
      </c>
      <c r="D530" s="41" t="s">
        <v>1427</v>
      </c>
      <c r="E530" s="41"/>
      <c r="F530" s="42"/>
      <c r="G530" s="42"/>
      <c r="H530" s="42"/>
      <c r="I530" s="42"/>
      <c r="J530" s="42">
        <v>2</v>
      </c>
      <c r="K530" s="41" t="s">
        <v>1531</v>
      </c>
      <c r="L530" s="43" t="s">
        <v>319</v>
      </c>
      <c r="M530" s="43" t="s">
        <v>1530</v>
      </c>
      <c r="N530" s="43" t="s">
        <v>319</v>
      </c>
      <c r="O530" s="43" t="s">
        <v>1436</v>
      </c>
      <c r="P530" s="43" t="s">
        <v>1568</v>
      </c>
      <c r="Q530" s="43"/>
    </row>
    <row r="531" spans="1:17" x14ac:dyDescent="0.25">
      <c r="A531" s="40">
        <v>529</v>
      </c>
      <c r="B531" s="40" t="s">
        <v>323</v>
      </c>
      <c r="C531" s="40" t="s">
        <v>1401</v>
      </c>
      <c r="D531" s="41" t="str">
        <f>VLOOKUP(B531,[1]CSG!$B$2:$C$169,2,0)</f>
        <v>CSG-CTVT28</v>
      </c>
      <c r="E531" s="41" t="s">
        <v>812</v>
      </c>
      <c r="F531" s="41"/>
      <c r="G531" s="41"/>
      <c r="H531" s="41"/>
      <c r="I531" s="41"/>
      <c r="J531" s="42"/>
      <c r="K531" s="41"/>
      <c r="L531" s="43"/>
      <c r="M531" s="43"/>
      <c r="N531" s="43"/>
      <c r="O531" s="43"/>
      <c r="P531" s="43"/>
      <c r="Q531" s="43"/>
    </row>
    <row r="532" spans="1:17" x14ac:dyDescent="0.25">
      <c r="A532" s="40">
        <v>530</v>
      </c>
      <c r="B532" s="40" t="s">
        <v>320</v>
      </c>
      <c r="C532" s="40" t="s">
        <v>1402</v>
      </c>
      <c r="D532" s="41" t="s">
        <v>1427</v>
      </c>
      <c r="E532" s="41" t="s">
        <v>1554</v>
      </c>
      <c r="F532" s="42"/>
      <c r="G532" s="42"/>
      <c r="H532" s="42"/>
      <c r="I532" s="42"/>
      <c r="J532" s="42">
        <v>2</v>
      </c>
      <c r="K532" s="41" t="s">
        <v>1542</v>
      </c>
      <c r="L532" s="43" t="s">
        <v>320</v>
      </c>
      <c r="M532" s="43"/>
      <c r="N532" s="43"/>
      <c r="O532" s="43"/>
      <c r="P532" s="43" t="s">
        <v>1568</v>
      </c>
      <c r="Q532" s="43"/>
    </row>
    <row r="533" spans="1:17" x14ac:dyDescent="0.25">
      <c r="A533" s="40">
        <v>531</v>
      </c>
      <c r="B533" s="40" t="s">
        <v>321</v>
      </c>
      <c r="C533" s="40" t="s">
        <v>1403</v>
      </c>
      <c r="D533" s="41" t="s">
        <v>2373</v>
      </c>
      <c r="E533" s="41" t="s">
        <v>812</v>
      </c>
      <c r="F533" s="42"/>
      <c r="G533" s="42"/>
      <c r="H533" s="42"/>
      <c r="I533" s="42"/>
      <c r="J533" s="42"/>
      <c r="K533" s="41"/>
      <c r="L533" s="43"/>
      <c r="M533" s="43"/>
      <c r="N533" s="43"/>
      <c r="O533" s="43"/>
      <c r="P533" s="43" t="s">
        <v>1568</v>
      </c>
      <c r="Q533" s="43"/>
    </row>
    <row r="534" spans="1:17" x14ac:dyDescent="0.25">
      <c r="A534" s="40">
        <v>532</v>
      </c>
      <c r="B534" s="40" t="s">
        <v>316</v>
      </c>
      <c r="C534" s="40" t="s">
        <v>1404</v>
      </c>
      <c r="D534" s="41" t="str">
        <f>VLOOKUP(B534,[1]CSG!$B$2:$C$169,2,0)</f>
        <v>CSG-CTVT31</v>
      </c>
      <c r="E534" s="41" t="s">
        <v>812</v>
      </c>
      <c r="F534" s="41"/>
      <c r="G534" s="41"/>
      <c r="H534" s="41"/>
      <c r="I534" s="41"/>
      <c r="J534" s="42"/>
      <c r="K534" s="41"/>
      <c r="L534" s="43"/>
      <c r="M534" s="43"/>
      <c r="N534" s="43"/>
      <c r="O534" s="43"/>
      <c r="P534" s="43"/>
      <c r="Q534" s="43"/>
    </row>
    <row r="535" spans="1:17" x14ac:dyDescent="0.25">
      <c r="A535" s="40">
        <v>533</v>
      </c>
      <c r="B535" s="40" t="s">
        <v>317</v>
      </c>
      <c r="C535" s="40" t="s">
        <v>1405</v>
      </c>
      <c r="D535" s="41" t="s">
        <v>1427</v>
      </c>
      <c r="E535" s="41"/>
      <c r="F535" s="42"/>
      <c r="G535" s="42"/>
      <c r="H535" s="42"/>
      <c r="I535" s="42"/>
      <c r="J535" s="42">
        <v>2</v>
      </c>
      <c r="K535" s="41" t="s">
        <v>1604</v>
      </c>
      <c r="L535" s="43" t="s">
        <v>317</v>
      </c>
      <c r="M535" s="43" t="s">
        <v>1543</v>
      </c>
      <c r="N535" s="43" t="s">
        <v>317</v>
      </c>
      <c r="O535" s="43" t="s">
        <v>1454</v>
      </c>
      <c r="P535" s="43" t="s">
        <v>1568</v>
      </c>
      <c r="Q535" s="43"/>
    </row>
    <row r="536" spans="1:17" x14ac:dyDescent="0.25">
      <c r="A536" s="40">
        <v>534</v>
      </c>
      <c r="B536" s="40" t="s">
        <v>318</v>
      </c>
      <c r="C536" s="40" t="s">
        <v>1406</v>
      </c>
      <c r="D536" s="41" t="s">
        <v>1427</v>
      </c>
      <c r="E536" s="41"/>
      <c r="F536" s="42"/>
      <c r="G536" s="42"/>
      <c r="H536" s="42"/>
      <c r="I536" s="42"/>
      <c r="J536" s="42">
        <v>2</v>
      </c>
      <c r="K536" s="41" t="s">
        <v>1544</v>
      </c>
      <c r="L536" s="43" t="s">
        <v>318</v>
      </c>
      <c r="M536" s="43" t="s">
        <v>1465</v>
      </c>
      <c r="N536" s="43" t="s">
        <v>318</v>
      </c>
      <c r="O536" s="43" t="s">
        <v>1461</v>
      </c>
      <c r="P536" s="43" t="s">
        <v>1568</v>
      </c>
      <c r="Q536" s="43"/>
    </row>
    <row r="537" spans="1:17" x14ac:dyDescent="0.25">
      <c r="A537" s="40">
        <v>535</v>
      </c>
      <c r="B537" s="40" t="s">
        <v>322</v>
      </c>
      <c r="C537" s="40" t="s">
        <v>1407</v>
      </c>
      <c r="D537" s="41" t="s">
        <v>1553</v>
      </c>
      <c r="E537" s="41" t="s">
        <v>1554</v>
      </c>
      <c r="F537" s="42"/>
      <c r="G537" s="42">
        <v>2</v>
      </c>
      <c r="H537" s="42" t="s">
        <v>1544</v>
      </c>
      <c r="I537" s="42" t="s">
        <v>322</v>
      </c>
      <c r="J537" s="42"/>
      <c r="K537" s="41"/>
      <c r="L537" s="43"/>
      <c r="M537" s="43"/>
      <c r="N537" s="43"/>
      <c r="O537" s="43"/>
      <c r="P537" s="43" t="s">
        <v>1568</v>
      </c>
      <c r="Q537" s="43"/>
    </row>
    <row r="538" spans="1:17" x14ac:dyDescent="0.25">
      <c r="A538" s="40">
        <v>536</v>
      </c>
      <c r="B538" s="43" t="s">
        <v>387</v>
      </c>
      <c r="C538" s="40" t="s">
        <v>1408</v>
      </c>
      <c r="D538" s="41" t="s">
        <v>1427</v>
      </c>
      <c r="E538" s="41"/>
      <c r="F538" s="42"/>
      <c r="G538" s="42"/>
      <c r="H538" s="42"/>
      <c r="I538" s="42"/>
      <c r="J538" s="42">
        <v>2</v>
      </c>
      <c r="K538" s="41" t="s">
        <v>1542</v>
      </c>
      <c r="L538" s="43" t="s">
        <v>387</v>
      </c>
      <c r="M538" s="43" t="s">
        <v>1605</v>
      </c>
      <c r="N538" s="43" t="s">
        <v>387</v>
      </c>
      <c r="O538" s="43" t="s">
        <v>1461</v>
      </c>
      <c r="P538" s="43" t="s">
        <v>1568</v>
      </c>
      <c r="Q538" s="43"/>
    </row>
    <row r="539" spans="1:17" x14ac:dyDescent="0.25">
      <c r="A539" s="40">
        <v>537</v>
      </c>
      <c r="B539" s="43" t="s">
        <v>417</v>
      </c>
      <c r="C539" s="40" t="s">
        <v>1409</v>
      </c>
      <c r="D539" s="41" t="str">
        <f>VLOOKUP(B539,[1]CSG!$B$2:$C$169,2,0)</f>
        <v>CSG-CTVT36</v>
      </c>
      <c r="E539" s="41" t="s">
        <v>812</v>
      </c>
      <c r="F539" s="41"/>
      <c r="G539" s="41"/>
      <c r="H539" s="41"/>
      <c r="I539" s="41"/>
      <c r="J539" s="42"/>
      <c r="K539" s="41"/>
      <c r="L539" s="43"/>
      <c r="M539" s="43"/>
      <c r="N539" s="43"/>
      <c r="O539" s="43"/>
      <c r="P539" s="43"/>
      <c r="Q539" s="43"/>
    </row>
    <row r="540" spans="1:17" x14ac:dyDescent="0.25">
      <c r="A540" s="40">
        <v>538</v>
      </c>
      <c r="B540" s="43" t="s">
        <v>494</v>
      </c>
      <c r="C540" s="40" t="s">
        <v>727</v>
      </c>
      <c r="D540" s="41" t="s">
        <v>1553</v>
      </c>
      <c r="E540" s="41"/>
      <c r="F540" s="42"/>
      <c r="G540" s="42">
        <v>2</v>
      </c>
      <c r="H540" s="42" t="s">
        <v>1546</v>
      </c>
      <c r="I540" s="42" t="s">
        <v>494</v>
      </c>
      <c r="J540" s="42"/>
      <c r="K540" s="41"/>
      <c r="L540" s="43"/>
      <c r="M540" s="43"/>
      <c r="N540" s="43"/>
      <c r="O540" s="43"/>
      <c r="P540" s="43"/>
      <c r="Q540" s="43"/>
    </row>
    <row r="541" spans="1:17" x14ac:dyDescent="0.25">
      <c r="A541" s="40">
        <v>539</v>
      </c>
      <c r="B541" s="43" t="s">
        <v>495</v>
      </c>
      <c r="C541" s="40" t="s">
        <v>728</v>
      </c>
      <c r="D541" s="41" t="s">
        <v>1427</v>
      </c>
      <c r="E541" s="41"/>
      <c r="F541" s="42"/>
      <c r="G541" s="42"/>
      <c r="H541" s="42"/>
      <c r="I541" s="42"/>
      <c r="J541" s="42">
        <v>2</v>
      </c>
      <c r="K541" s="41" t="s">
        <v>1602</v>
      </c>
      <c r="L541" s="43" t="s">
        <v>495</v>
      </c>
      <c r="M541" s="43" t="s">
        <v>1542</v>
      </c>
      <c r="N541" s="43" t="s">
        <v>495</v>
      </c>
      <c r="O541" s="43" t="s">
        <v>2425</v>
      </c>
      <c r="P541" s="43"/>
      <c r="Q541" s="43"/>
    </row>
    <row r="542" spans="1:17" x14ac:dyDescent="0.25">
      <c r="A542" s="40">
        <v>540</v>
      </c>
      <c r="B542" s="43" t="s">
        <v>482</v>
      </c>
      <c r="C542" s="40" t="s">
        <v>729</v>
      </c>
      <c r="D542" s="41" t="s">
        <v>1427</v>
      </c>
      <c r="E542" s="41"/>
      <c r="F542" s="42"/>
      <c r="G542" s="42"/>
      <c r="H542" s="42"/>
      <c r="I542" s="42"/>
      <c r="J542" s="42">
        <v>2</v>
      </c>
      <c r="K542" s="41" t="s">
        <v>1602</v>
      </c>
      <c r="L542" s="43" t="s">
        <v>482</v>
      </c>
      <c r="M542" s="43"/>
      <c r="N542" s="43"/>
      <c r="O542" s="43"/>
      <c r="P542" s="43"/>
      <c r="Q542" s="43"/>
    </row>
    <row r="543" spans="1:17" x14ac:dyDescent="0.25">
      <c r="A543" s="40">
        <v>541</v>
      </c>
      <c r="B543" s="43" t="s">
        <v>532</v>
      </c>
      <c r="C543" s="40" t="s">
        <v>730</v>
      </c>
      <c r="D543" s="41" t="s">
        <v>1427</v>
      </c>
      <c r="E543" s="41"/>
      <c r="F543" s="42"/>
      <c r="G543" s="42"/>
      <c r="H543" s="42"/>
      <c r="I543" s="42"/>
      <c r="J543" s="42">
        <v>2</v>
      </c>
      <c r="K543" s="41" t="s">
        <v>1606</v>
      </c>
      <c r="L543" s="43" t="s">
        <v>532</v>
      </c>
      <c r="M543" s="43" t="s">
        <v>1542</v>
      </c>
      <c r="N543" s="43" t="s">
        <v>532</v>
      </c>
      <c r="O543" s="43" t="s">
        <v>1570</v>
      </c>
      <c r="P543" s="43"/>
      <c r="Q543" s="43"/>
    </row>
    <row r="544" spans="1:17" x14ac:dyDescent="0.25">
      <c r="A544" s="40">
        <v>542</v>
      </c>
      <c r="B544" s="43" t="s">
        <v>531</v>
      </c>
      <c r="C544" s="40" t="s">
        <v>731</v>
      </c>
      <c r="D544" s="41" t="s">
        <v>1553</v>
      </c>
      <c r="E544" s="41"/>
      <c r="F544" s="42"/>
      <c r="G544" s="42">
        <v>2</v>
      </c>
      <c r="H544" s="42" t="s">
        <v>1543</v>
      </c>
      <c r="I544" s="42" t="s">
        <v>531</v>
      </c>
      <c r="J544" s="42"/>
      <c r="K544" s="41"/>
      <c r="L544" s="43"/>
      <c r="M544" s="43" t="s">
        <v>1542</v>
      </c>
      <c r="N544" s="43" t="s">
        <v>531</v>
      </c>
      <c r="O544" s="43" t="s">
        <v>1573</v>
      </c>
      <c r="P544" s="43"/>
      <c r="Q544" s="43"/>
    </row>
    <row r="545" spans="1:17" x14ac:dyDescent="0.25">
      <c r="A545" s="40">
        <v>543</v>
      </c>
      <c r="B545" s="43" t="s">
        <v>571</v>
      </c>
      <c r="C545" s="40" t="s">
        <v>732</v>
      </c>
      <c r="D545" s="41" t="s">
        <v>1461</v>
      </c>
      <c r="E545" s="41"/>
      <c r="F545" s="42"/>
      <c r="G545" s="42"/>
      <c r="H545" s="42"/>
      <c r="I545" s="42"/>
      <c r="J545" s="42"/>
      <c r="K545" s="41"/>
      <c r="L545" s="43"/>
      <c r="M545" s="43" t="s">
        <v>1542</v>
      </c>
      <c r="N545" s="43" t="s">
        <v>571</v>
      </c>
      <c r="O545" s="43" t="s">
        <v>1461</v>
      </c>
      <c r="P545" s="43"/>
      <c r="Q545" s="43"/>
    </row>
    <row r="546" spans="1:17" x14ac:dyDescent="0.25">
      <c r="A546" s="40">
        <v>544</v>
      </c>
      <c r="B546" s="43" t="s">
        <v>583</v>
      </c>
      <c r="C546" s="40" t="s">
        <v>733</v>
      </c>
      <c r="D546" s="41" t="s">
        <v>1427</v>
      </c>
      <c r="E546" s="41"/>
      <c r="F546" s="42"/>
      <c r="G546" s="42"/>
      <c r="H546" s="42"/>
      <c r="I546" s="42"/>
      <c r="J546" s="42">
        <v>2</v>
      </c>
      <c r="K546" s="41" t="s">
        <v>1542</v>
      </c>
      <c r="L546" s="43" t="s">
        <v>583</v>
      </c>
      <c r="M546" s="43"/>
      <c r="N546" s="43"/>
      <c r="O546" s="43"/>
      <c r="P546" s="43"/>
      <c r="Q546" s="43"/>
    </row>
    <row r="547" spans="1:17" x14ac:dyDescent="0.25">
      <c r="A547" s="40">
        <v>545</v>
      </c>
      <c r="B547" s="47" t="s">
        <v>592</v>
      </c>
      <c r="C547" s="40" t="s">
        <v>734</v>
      </c>
      <c r="D547" s="41" t="s">
        <v>1553</v>
      </c>
      <c r="E547" s="41"/>
      <c r="F547" s="42"/>
      <c r="G547" s="42">
        <v>2</v>
      </c>
      <c r="H547" s="42" t="s">
        <v>1451</v>
      </c>
      <c r="I547" s="42" t="s">
        <v>592</v>
      </c>
      <c r="J547" s="42"/>
      <c r="K547" s="41"/>
      <c r="L547" s="43"/>
      <c r="M547" s="43"/>
      <c r="N547" s="43"/>
      <c r="O547" s="43"/>
      <c r="P547" s="43"/>
      <c r="Q547" s="43"/>
    </row>
    <row r="548" spans="1:17" x14ac:dyDescent="0.25">
      <c r="A548" s="40">
        <v>546</v>
      </c>
      <c r="B548" s="47" t="s">
        <v>1610</v>
      </c>
      <c r="C548" s="40" t="s">
        <v>735</v>
      </c>
      <c r="D548" s="41" t="s">
        <v>1427</v>
      </c>
      <c r="E548" s="41"/>
      <c r="F548" s="42"/>
      <c r="G548" s="42"/>
      <c r="H548" s="42"/>
      <c r="I548" s="42"/>
      <c r="J548" s="42">
        <v>2</v>
      </c>
      <c r="K548" s="41" t="s">
        <v>1531</v>
      </c>
      <c r="L548" s="43" t="s">
        <v>593</v>
      </c>
      <c r="M548" s="43" t="s">
        <v>1531</v>
      </c>
      <c r="N548" s="43" t="s">
        <v>593</v>
      </c>
      <c r="O548" s="43" t="s">
        <v>1573</v>
      </c>
      <c r="P548" s="43"/>
      <c r="Q548" s="43"/>
    </row>
    <row r="549" spans="1:17" x14ac:dyDescent="0.25">
      <c r="A549" s="40">
        <v>547</v>
      </c>
      <c r="B549" s="47" t="s">
        <v>594</v>
      </c>
      <c r="C549" s="40" t="s">
        <v>736</v>
      </c>
      <c r="D549" s="41" t="s">
        <v>1427</v>
      </c>
      <c r="E549" s="41"/>
      <c r="F549" s="42"/>
      <c r="G549" s="42"/>
      <c r="H549" s="42"/>
      <c r="I549" s="42"/>
      <c r="J549" s="42">
        <v>2</v>
      </c>
      <c r="K549" s="41" t="s">
        <v>1537</v>
      </c>
      <c r="L549" s="43" t="s">
        <v>594</v>
      </c>
      <c r="M549" s="43"/>
      <c r="N549" s="43"/>
      <c r="O549" s="43"/>
      <c r="P549" s="43"/>
      <c r="Q549" s="43"/>
    </row>
    <row r="550" spans="1:17" x14ac:dyDescent="0.25">
      <c r="A550" s="40">
        <v>548</v>
      </c>
      <c r="B550" s="47" t="s">
        <v>595</v>
      </c>
      <c r="C550" s="40" t="s">
        <v>737</v>
      </c>
      <c r="D550" s="41" t="s">
        <v>1427</v>
      </c>
      <c r="E550" s="41"/>
      <c r="F550" s="42"/>
      <c r="G550" s="42"/>
      <c r="H550" s="42"/>
      <c r="I550" s="42"/>
      <c r="J550" s="42">
        <v>2</v>
      </c>
      <c r="K550" s="41" t="s">
        <v>1450</v>
      </c>
      <c r="L550" s="43" t="s">
        <v>595</v>
      </c>
      <c r="M550" s="43"/>
      <c r="N550" s="43"/>
      <c r="O550" s="43"/>
      <c r="P550" s="43"/>
      <c r="Q550" s="43"/>
    </row>
    <row r="551" spans="1:17" x14ac:dyDescent="0.25">
      <c r="A551" s="40">
        <v>549</v>
      </c>
      <c r="B551" s="47" t="s">
        <v>596</v>
      </c>
      <c r="C551" s="40" t="s">
        <v>738</v>
      </c>
      <c r="D551" s="41" t="s">
        <v>1427</v>
      </c>
      <c r="E551" s="41"/>
      <c r="F551" s="42"/>
      <c r="G551" s="42"/>
      <c r="H551" s="42"/>
      <c r="I551" s="42"/>
      <c r="J551" s="42">
        <v>2</v>
      </c>
      <c r="K551" s="41" t="s">
        <v>1545</v>
      </c>
      <c r="L551" s="43" t="s">
        <v>596</v>
      </c>
      <c r="M551" s="43" t="s">
        <v>1581</v>
      </c>
      <c r="N551" s="43" t="s">
        <v>596</v>
      </c>
      <c r="O551" s="43" t="s">
        <v>1573</v>
      </c>
      <c r="P551" s="43"/>
      <c r="Q551" s="43"/>
    </row>
    <row r="552" spans="1:17" x14ac:dyDescent="0.25">
      <c r="A552" s="40">
        <v>550</v>
      </c>
      <c r="B552" s="47" t="s">
        <v>597</v>
      </c>
      <c r="C552" s="40" t="s">
        <v>739</v>
      </c>
      <c r="D552" s="41" t="s">
        <v>1553</v>
      </c>
      <c r="E552" s="41"/>
      <c r="F552" s="42"/>
      <c r="G552" s="42">
        <v>2</v>
      </c>
      <c r="H552" s="42" t="s">
        <v>1547</v>
      </c>
      <c r="I552" s="42" t="s">
        <v>597</v>
      </c>
      <c r="J552" s="42"/>
      <c r="K552" s="41"/>
      <c r="L552" s="43"/>
      <c r="M552" s="43"/>
      <c r="N552" s="43"/>
      <c r="O552" s="43"/>
      <c r="P552" s="43"/>
      <c r="Q552" s="43"/>
    </row>
    <row r="553" spans="1:17" x14ac:dyDescent="0.25">
      <c r="A553" s="40">
        <v>551</v>
      </c>
      <c r="B553" s="47" t="s">
        <v>598</v>
      </c>
      <c r="C553" s="40" t="s">
        <v>740</v>
      </c>
      <c r="D553" s="41" t="s">
        <v>1427</v>
      </c>
      <c r="E553" s="41"/>
      <c r="F553" s="42"/>
      <c r="G553" s="42"/>
      <c r="H553" s="42"/>
      <c r="I553" s="42"/>
      <c r="J553" s="42">
        <v>2</v>
      </c>
      <c r="K553" s="41" t="s">
        <v>1476</v>
      </c>
      <c r="L553" s="43" t="s">
        <v>598</v>
      </c>
      <c r="M553" s="43"/>
      <c r="N553" s="43"/>
      <c r="O553" s="43"/>
      <c r="P553" s="43"/>
      <c r="Q553" s="43"/>
    </row>
    <row r="554" spans="1:17" x14ac:dyDescent="0.25">
      <c r="A554" s="40">
        <v>552</v>
      </c>
      <c r="B554" s="47" t="s">
        <v>599</v>
      </c>
      <c r="C554" s="40" t="s">
        <v>741</v>
      </c>
      <c r="D554" s="41" t="s">
        <v>1553</v>
      </c>
      <c r="E554" s="41"/>
      <c r="F554" s="42"/>
      <c r="G554" s="42">
        <v>2</v>
      </c>
      <c r="H554" s="42" t="s">
        <v>1548</v>
      </c>
      <c r="I554" s="42" t="s">
        <v>599</v>
      </c>
      <c r="J554" s="42"/>
      <c r="K554" s="41"/>
      <c r="L554" s="43"/>
      <c r="M554" s="43"/>
      <c r="N554" s="43"/>
      <c r="O554" s="43"/>
      <c r="P554" s="43"/>
      <c r="Q554" s="43"/>
    </row>
    <row r="555" spans="1:17" x14ac:dyDescent="0.25">
      <c r="A555" s="40">
        <v>553</v>
      </c>
      <c r="B555" s="47" t="s">
        <v>600</v>
      </c>
      <c r="C555" s="40" t="s">
        <v>742</v>
      </c>
      <c r="D555" s="41" t="s">
        <v>1427</v>
      </c>
      <c r="E555" s="41"/>
      <c r="F555" s="42"/>
      <c r="G555" s="42"/>
      <c r="H555" s="42"/>
      <c r="I555" s="42"/>
      <c r="J555" s="42">
        <v>2</v>
      </c>
      <c r="K555" s="41" t="s">
        <v>1480</v>
      </c>
      <c r="L555" s="43" t="s">
        <v>600</v>
      </c>
      <c r="M555" s="43"/>
      <c r="N555" s="43"/>
      <c r="O555" s="43"/>
      <c r="P555" s="43"/>
      <c r="Q555" s="43"/>
    </row>
    <row r="556" spans="1:17" x14ac:dyDescent="0.25">
      <c r="A556" s="40">
        <v>554</v>
      </c>
      <c r="B556" s="47" t="s">
        <v>601</v>
      </c>
      <c r="C556" s="40" t="s">
        <v>743</v>
      </c>
      <c r="D556" s="41" t="s">
        <v>1427</v>
      </c>
      <c r="E556" s="41"/>
      <c r="F556" s="42"/>
      <c r="G556" s="42"/>
      <c r="H556" s="42"/>
      <c r="I556" s="42"/>
      <c r="J556" s="42">
        <v>2</v>
      </c>
      <c r="K556" s="41" t="s">
        <v>1566</v>
      </c>
      <c r="L556" s="43" t="s">
        <v>601</v>
      </c>
      <c r="M556" s="43"/>
      <c r="N556" s="43"/>
      <c r="O556" s="43"/>
      <c r="P556" s="43"/>
      <c r="Q556" s="43"/>
    </row>
    <row r="557" spans="1:17" x14ac:dyDescent="0.25">
      <c r="A557" s="40">
        <v>555</v>
      </c>
      <c r="B557" s="47" t="s">
        <v>744</v>
      </c>
      <c r="C557" s="47" t="s">
        <v>745</v>
      </c>
      <c r="D557" s="41" t="s">
        <v>1427</v>
      </c>
      <c r="E557" s="41"/>
      <c r="F557" s="42"/>
      <c r="G557" s="42"/>
      <c r="H557" s="42"/>
      <c r="I557" s="42"/>
      <c r="J557" s="42">
        <v>2</v>
      </c>
      <c r="K557" s="41" t="s">
        <v>2369</v>
      </c>
      <c r="L557" s="43" t="s">
        <v>744</v>
      </c>
      <c r="M557" s="43" t="s">
        <v>1527</v>
      </c>
      <c r="N557" s="43" t="s">
        <v>744</v>
      </c>
      <c r="O557" s="43" t="s">
        <v>1571</v>
      </c>
      <c r="P557" s="43"/>
      <c r="Q557" s="43"/>
    </row>
    <row r="558" spans="1:17" x14ac:dyDescent="0.25">
      <c r="A558" s="40">
        <v>556</v>
      </c>
      <c r="B558" s="47" t="s">
        <v>746</v>
      </c>
      <c r="C558" s="47" t="s">
        <v>747</v>
      </c>
      <c r="D558" s="41" t="s">
        <v>1427</v>
      </c>
      <c r="E558" s="41"/>
      <c r="F558" s="42"/>
      <c r="G558" s="42"/>
      <c r="H558" s="42"/>
      <c r="I558" s="42"/>
      <c r="J558" s="42">
        <v>2</v>
      </c>
      <c r="K558" s="41" t="s">
        <v>1525</v>
      </c>
      <c r="L558" s="43" t="s">
        <v>746</v>
      </c>
      <c r="M558" s="43" t="s">
        <v>1525</v>
      </c>
      <c r="N558" s="43" t="s">
        <v>746</v>
      </c>
      <c r="O558" s="43" t="s">
        <v>1571</v>
      </c>
      <c r="P558" s="43"/>
      <c r="Q558" s="43"/>
    </row>
    <row r="559" spans="1:17" x14ac:dyDescent="0.25">
      <c r="A559" s="40">
        <v>557</v>
      </c>
      <c r="B559" s="47" t="s">
        <v>748</v>
      </c>
      <c r="C559" s="47" t="s">
        <v>749</v>
      </c>
      <c r="D559" s="41" t="s">
        <v>1427</v>
      </c>
      <c r="E559" s="41"/>
      <c r="F559" s="42"/>
      <c r="G559" s="42"/>
      <c r="H559" s="42"/>
      <c r="I559" s="42"/>
      <c r="J559" s="42">
        <v>2</v>
      </c>
      <c r="K559" s="41" t="s">
        <v>1507</v>
      </c>
      <c r="L559" s="43" t="s">
        <v>748</v>
      </c>
      <c r="M559" s="43"/>
      <c r="N559" s="43"/>
      <c r="O559" s="43"/>
      <c r="P559" s="43"/>
      <c r="Q559" s="43"/>
    </row>
    <row r="560" spans="1:17" x14ac:dyDescent="0.25">
      <c r="A560" s="40">
        <v>558</v>
      </c>
      <c r="B560" s="47" t="s">
        <v>750</v>
      </c>
      <c r="C560" s="47" t="s">
        <v>751</v>
      </c>
      <c r="D560" s="41" t="s">
        <v>1427</v>
      </c>
      <c r="E560" s="41"/>
      <c r="F560" s="42"/>
      <c r="G560" s="42"/>
      <c r="H560" s="42"/>
      <c r="I560" s="42"/>
      <c r="J560" s="42">
        <v>2</v>
      </c>
      <c r="K560" s="41" t="s">
        <v>1456</v>
      </c>
      <c r="L560" s="43" t="s">
        <v>750</v>
      </c>
      <c r="M560" s="43"/>
      <c r="N560" s="43"/>
      <c r="O560" s="43"/>
      <c r="P560" s="43"/>
      <c r="Q560" s="43"/>
    </row>
    <row r="561" spans="1:17" x14ac:dyDescent="0.25">
      <c r="A561" s="40">
        <v>559</v>
      </c>
      <c r="B561" s="47" t="s">
        <v>752</v>
      </c>
      <c r="C561" s="47" t="s">
        <v>753</v>
      </c>
      <c r="D561" s="41" t="s">
        <v>1427</v>
      </c>
      <c r="E561" s="41"/>
      <c r="F561" s="42"/>
      <c r="G561" s="42"/>
      <c r="H561" s="42"/>
      <c r="I561" s="42"/>
      <c r="J561" s="42">
        <v>2</v>
      </c>
      <c r="K561" s="41" t="s">
        <v>1476</v>
      </c>
      <c r="L561" s="43" t="s">
        <v>752</v>
      </c>
      <c r="M561" s="43"/>
      <c r="N561" s="43"/>
      <c r="O561" s="43"/>
      <c r="P561" s="43"/>
      <c r="Q561" s="43"/>
    </row>
    <row r="562" spans="1:17" x14ac:dyDescent="0.25">
      <c r="A562" s="40">
        <v>560</v>
      </c>
      <c r="B562" s="47" t="s">
        <v>816</v>
      </c>
      <c r="C562" s="47" t="s">
        <v>817</v>
      </c>
      <c r="D562" s="41" t="s">
        <v>1436</v>
      </c>
      <c r="E562" s="41"/>
      <c r="F562" s="42"/>
      <c r="G562" s="42"/>
      <c r="H562" s="42"/>
      <c r="I562" s="42"/>
      <c r="J562" s="42"/>
      <c r="K562" s="41"/>
      <c r="L562" s="43"/>
      <c r="M562" s="43" t="s">
        <v>1549</v>
      </c>
      <c r="N562" s="43" t="s">
        <v>816</v>
      </c>
      <c r="O562" s="43" t="s">
        <v>1436</v>
      </c>
      <c r="P562" s="43"/>
      <c r="Q562" s="43"/>
    </row>
    <row r="563" spans="1:17" x14ac:dyDescent="0.25">
      <c r="A563" s="40">
        <v>561</v>
      </c>
      <c r="B563" s="43" t="s">
        <v>821</v>
      </c>
      <c r="C563" s="43" t="s">
        <v>822</v>
      </c>
      <c r="D563" s="43" t="s">
        <v>1436</v>
      </c>
      <c r="E563" s="41"/>
      <c r="F563" s="42"/>
      <c r="G563" s="42"/>
      <c r="H563" s="42"/>
      <c r="I563" s="42"/>
      <c r="J563" s="42"/>
      <c r="K563" s="43"/>
      <c r="L563" s="43"/>
      <c r="M563" s="43" t="s">
        <v>1542</v>
      </c>
      <c r="N563" s="43" t="s">
        <v>821</v>
      </c>
      <c r="O563" s="43" t="s">
        <v>1436</v>
      </c>
      <c r="P563" s="43"/>
      <c r="Q563" s="43"/>
    </row>
    <row r="564" spans="1:17" x14ac:dyDescent="0.25">
      <c r="A564" s="40">
        <v>562</v>
      </c>
      <c r="B564" s="43" t="s">
        <v>824</v>
      </c>
      <c r="C564" s="43" t="s">
        <v>825</v>
      </c>
      <c r="D564" s="43" t="s">
        <v>1436</v>
      </c>
      <c r="E564" s="41"/>
      <c r="F564" s="42"/>
      <c r="G564" s="42"/>
      <c r="H564" s="42"/>
      <c r="I564" s="42"/>
      <c r="J564" s="42"/>
      <c r="K564" s="43"/>
      <c r="L564" s="43"/>
      <c r="M564" s="43" t="s">
        <v>1545</v>
      </c>
      <c r="N564" s="43" t="s">
        <v>824</v>
      </c>
      <c r="O564" s="43" t="s">
        <v>1436</v>
      </c>
      <c r="P564" s="43"/>
      <c r="Q564" s="43"/>
    </row>
    <row r="565" spans="1:17" x14ac:dyDescent="0.25">
      <c r="A565" s="40">
        <v>563</v>
      </c>
      <c r="B565" s="40" t="s">
        <v>831</v>
      </c>
      <c r="C565" s="40" t="s">
        <v>826</v>
      </c>
      <c r="D565" s="43" t="s">
        <v>1427</v>
      </c>
      <c r="E565" s="43"/>
      <c r="F565" s="42"/>
      <c r="G565" s="42"/>
      <c r="H565" s="42"/>
      <c r="I565" s="42"/>
      <c r="J565" s="42">
        <v>2</v>
      </c>
      <c r="K565" s="43" t="s">
        <v>1440</v>
      </c>
      <c r="L565" s="40" t="s">
        <v>831</v>
      </c>
      <c r="M565" s="43"/>
      <c r="N565" s="40"/>
      <c r="O565" s="43"/>
      <c r="P565" s="43"/>
      <c r="Q565" s="43"/>
    </row>
    <row r="566" spans="1:17" x14ac:dyDescent="0.25">
      <c r="A566" s="40">
        <v>564</v>
      </c>
      <c r="B566" s="40" t="s">
        <v>844</v>
      </c>
      <c r="C566" s="40" t="s">
        <v>1649</v>
      </c>
      <c r="D566" s="43" t="s">
        <v>1427</v>
      </c>
      <c r="E566" s="43"/>
      <c r="F566" s="42"/>
      <c r="G566" s="42"/>
      <c r="H566" s="42"/>
      <c r="I566" s="42"/>
      <c r="J566" s="42">
        <v>2</v>
      </c>
      <c r="K566" s="43" t="s">
        <v>1435</v>
      </c>
      <c r="L566" s="40" t="s">
        <v>844</v>
      </c>
      <c r="M566" s="43"/>
      <c r="N566" s="40"/>
      <c r="O566" s="43"/>
      <c r="P566" s="43"/>
      <c r="Q566" s="43"/>
    </row>
    <row r="567" spans="1:17" x14ac:dyDescent="0.25">
      <c r="A567" s="40">
        <v>565</v>
      </c>
      <c r="B567" s="40" t="s">
        <v>829</v>
      </c>
      <c r="C567" s="40" t="s">
        <v>1650</v>
      </c>
      <c r="D567" s="43" t="s">
        <v>1427</v>
      </c>
      <c r="E567" s="43"/>
      <c r="F567" s="42"/>
      <c r="G567" s="42"/>
      <c r="H567" s="42"/>
      <c r="I567" s="42"/>
      <c r="J567" s="42">
        <v>2</v>
      </c>
      <c r="K567" s="43" t="s">
        <v>1466</v>
      </c>
      <c r="L567" s="40" t="s">
        <v>829</v>
      </c>
      <c r="M567" s="43"/>
      <c r="N567" s="40"/>
      <c r="O567" s="43"/>
      <c r="P567" s="43"/>
      <c r="Q567" s="43"/>
    </row>
    <row r="568" spans="1:17" x14ac:dyDescent="0.25">
      <c r="A568" s="40">
        <v>566</v>
      </c>
      <c r="B568" s="40" t="s">
        <v>845</v>
      </c>
      <c r="C568" s="40" t="s">
        <v>1651</v>
      </c>
      <c r="D568" s="43" t="s">
        <v>1427</v>
      </c>
      <c r="E568" s="43"/>
      <c r="F568" s="42"/>
      <c r="G568" s="42"/>
      <c r="H568" s="42"/>
      <c r="I568" s="42"/>
      <c r="J568" s="42">
        <v>2</v>
      </c>
      <c r="K568" s="43" t="s">
        <v>517</v>
      </c>
      <c r="L568" s="40" t="s">
        <v>845</v>
      </c>
      <c r="M568" s="43" t="s">
        <v>798</v>
      </c>
      <c r="N568" s="40" t="s">
        <v>845</v>
      </c>
      <c r="O568" s="43" t="s">
        <v>2375</v>
      </c>
      <c r="P568" s="43"/>
      <c r="Q568" s="43" t="s">
        <v>2426</v>
      </c>
    </row>
    <row r="569" spans="1:17" x14ac:dyDescent="0.25">
      <c r="A569" s="40">
        <v>567</v>
      </c>
      <c r="B569" s="40" t="s">
        <v>846</v>
      </c>
      <c r="C569" s="40" t="s">
        <v>1652</v>
      </c>
      <c r="D569" s="43" t="s">
        <v>1427</v>
      </c>
      <c r="E569" s="43"/>
      <c r="F569" s="42"/>
      <c r="G569" s="42"/>
      <c r="H569" s="42"/>
      <c r="I569" s="42"/>
      <c r="J569" s="42">
        <v>2</v>
      </c>
      <c r="K569" s="43" t="s">
        <v>1470</v>
      </c>
      <c r="L569" s="40" t="s">
        <v>846</v>
      </c>
      <c r="M569" s="43" t="s">
        <v>1582</v>
      </c>
      <c r="N569" s="40" t="s">
        <v>846</v>
      </c>
      <c r="O569" s="43" t="s">
        <v>1573</v>
      </c>
      <c r="P569" s="43"/>
      <c r="Q569" s="43"/>
    </row>
    <row r="570" spans="1:17" x14ac:dyDescent="0.25">
      <c r="A570" s="40">
        <v>568</v>
      </c>
      <c r="B570" s="40" t="s">
        <v>830</v>
      </c>
      <c r="C570" s="40" t="s">
        <v>814</v>
      </c>
      <c r="D570" s="43" t="s">
        <v>1427</v>
      </c>
      <c r="E570" s="43"/>
      <c r="F570" s="42"/>
      <c r="G570" s="42"/>
      <c r="H570" s="42"/>
      <c r="I570" s="42"/>
      <c r="J570" s="42">
        <v>2</v>
      </c>
      <c r="K570" s="43" t="s">
        <v>1475</v>
      </c>
      <c r="L570" s="40" t="s">
        <v>830</v>
      </c>
      <c r="M570" s="43"/>
      <c r="N570" s="40"/>
      <c r="O570" s="43"/>
      <c r="P570" s="43"/>
      <c r="Q570" s="43"/>
    </row>
    <row r="571" spans="1:17" x14ac:dyDescent="0.25">
      <c r="A571" s="40">
        <v>569</v>
      </c>
      <c r="B571" s="40" t="s">
        <v>847</v>
      </c>
      <c r="C571" s="40" t="s">
        <v>1653</v>
      </c>
      <c r="D571" s="43" t="s">
        <v>1427</v>
      </c>
      <c r="E571" s="43"/>
      <c r="F571" s="42"/>
      <c r="G571" s="42"/>
      <c r="H571" s="42"/>
      <c r="I571" s="42"/>
      <c r="J571" s="42">
        <v>2</v>
      </c>
      <c r="K571" s="43" t="s">
        <v>1479</v>
      </c>
      <c r="L571" s="40" t="s">
        <v>847</v>
      </c>
      <c r="M571" s="43"/>
      <c r="N571" s="40"/>
      <c r="O571" s="43"/>
      <c r="P571" s="43"/>
      <c r="Q571" s="43"/>
    </row>
    <row r="572" spans="1:17" x14ac:dyDescent="0.25">
      <c r="A572" s="40">
        <v>570</v>
      </c>
      <c r="B572" s="40" t="s">
        <v>848</v>
      </c>
      <c r="C572" s="40" t="s">
        <v>1654</v>
      </c>
      <c r="D572" s="43" t="s">
        <v>1427</v>
      </c>
      <c r="E572" s="43"/>
      <c r="F572" s="42"/>
      <c r="G572" s="42"/>
      <c r="H572" s="42"/>
      <c r="I572" s="42"/>
      <c r="J572" s="42">
        <v>2</v>
      </c>
      <c r="K572" s="43" t="s">
        <v>1547</v>
      </c>
      <c r="L572" s="40" t="s">
        <v>848</v>
      </c>
      <c r="M572" s="43"/>
      <c r="N572" s="40"/>
      <c r="O572" s="43"/>
      <c r="P572" s="43"/>
      <c r="Q572" s="43"/>
    </row>
    <row r="573" spans="1:17" x14ac:dyDescent="0.25">
      <c r="A573" s="40">
        <v>571</v>
      </c>
      <c r="B573" s="40" t="s">
        <v>849</v>
      </c>
      <c r="C573" s="40" t="s">
        <v>827</v>
      </c>
      <c r="D573" s="43" t="s">
        <v>1427</v>
      </c>
      <c r="E573" s="43"/>
      <c r="F573" s="42"/>
      <c r="G573" s="42"/>
      <c r="H573" s="42"/>
      <c r="I573" s="42"/>
      <c r="J573" s="42">
        <v>2</v>
      </c>
      <c r="K573" s="43" t="s">
        <v>1592</v>
      </c>
      <c r="L573" s="40" t="s">
        <v>849</v>
      </c>
      <c r="M573" s="43" t="s">
        <v>808</v>
      </c>
      <c r="N573" s="40" t="s">
        <v>849</v>
      </c>
      <c r="O573" s="43" t="s">
        <v>1573</v>
      </c>
      <c r="P573" s="43"/>
      <c r="Q573" s="43"/>
    </row>
    <row r="574" spans="1:17" x14ac:dyDescent="0.25">
      <c r="A574" s="40">
        <v>572</v>
      </c>
      <c r="B574" s="40" t="s">
        <v>850</v>
      </c>
      <c r="C574" s="40" t="s">
        <v>818</v>
      </c>
      <c r="D574" s="43" t="s">
        <v>1427</v>
      </c>
      <c r="E574" s="43"/>
      <c r="F574" s="42"/>
      <c r="G574" s="42"/>
      <c r="H574" s="42"/>
      <c r="I574" s="42"/>
      <c r="J574" s="42">
        <v>2</v>
      </c>
      <c r="K574" s="43" t="s">
        <v>1550</v>
      </c>
      <c r="L574" s="40" t="s">
        <v>850</v>
      </c>
      <c r="M574" s="43"/>
      <c r="N574" s="40"/>
      <c r="O574" s="43"/>
      <c r="P574" s="43"/>
      <c r="Q574" s="43"/>
    </row>
    <row r="575" spans="1:17" x14ac:dyDescent="0.25">
      <c r="A575" s="40">
        <v>573</v>
      </c>
      <c r="B575" s="40" t="s">
        <v>851</v>
      </c>
      <c r="C575" s="40" t="s">
        <v>819</v>
      </c>
      <c r="D575" s="43" t="s">
        <v>1427</v>
      </c>
      <c r="E575" s="43"/>
      <c r="F575" s="42"/>
      <c r="G575" s="42"/>
      <c r="H575" s="42"/>
      <c r="I575" s="42"/>
      <c r="J575" s="42">
        <v>2</v>
      </c>
      <c r="K575" s="43" t="s">
        <v>2369</v>
      </c>
      <c r="L575" s="40" t="s">
        <v>851</v>
      </c>
      <c r="M575" s="43"/>
      <c r="N575" s="40"/>
      <c r="O575" s="43"/>
      <c r="P575" s="43"/>
      <c r="Q575" s="43"/>
    </row>
    <row r="576" spans="1:17" x14ac:dyDescent="0.25">
      <c r="A576" s="40">
        <v>574</v>
      </c>
      <c r="B576" s="40" t="s">
        <v>852</v>
      </c>
      <c r="C576" s="40" t="s">
        <v>820</v>
      </c>
      <c r="D576" s="43" t="s">
        <v>1427</v>
      </c>
      <c r="E576" s="43"/>
      <c r="F576" s="42"/>
      <c r="G576" s="42"/>
      <c r="H576" s="42"/>
      <c r="I576" s="42"/>
      <c r="J576" s="42">
        <v>2</v>
      </c>
      <c r="K576" s="43" t="s">
        <v>1527</v>
      </c>
      <c r="L576" s="40" t="s">
        <v>852</v>
      </c>
      <c r="M576" s="43"/>
      <c r="N576" s="40"/>
      <c r="O576" s="43"/>
      <c r="P576" s="43"/>
      <c r="Q576" s="43"/>
    </row>
    <row r="577" spans="1:17" x14ac:dyDescent="0.25">
      <c r="A577" s="40">
        <v>575</v>
      </c>
      <c r="B577" s="40" t="s">
        <v>853</v>
      </c>
      <c r="C577" s="40" t="s">
        <v>1655</v>
      </c>
      <c r="D577" s="43" t="s">
        <v>1427</v>
      </c>
      <c r="E577" s="43"/>
      <c r="F577" s="42"/>
      <c r="G577" s="42"/>
      <c r="H577" s="42"/>
      <c r="I577" s="42"/>
      <c r="J577" s="42">
        <v>2</v>
      </c>
      <c r="K577" s="43" t="s">
        <v>1595</v>
      </c>
      <c r="L577" s="40" t="s">
        <v>853</v>
      </c>
      <c r="M577" s="43"/>
      <c r="N577" s="40"/>
      <c r="O577" s="43"/>
      <c r="P577" s="43"/>
      <c r="Q577" s="43"/>
    </row>
    <row r="578" spans="1:17" x14ac:dyDescent="0.25">
      <c r="A578" s="40">
        <v>576</v>
      </c>
      <c r="B578" s="40" t="s">
        <v>854</v>
      </c>
      <c r="C578" s="40" t="s">
        <v>1656</v>
      </c>
      <c r="D578" s="43" t="s">
        <v>1427</v>
      </c>
      <c r="E578" s="43"/>
      <c r="F578" s="42"/>
      <c r="G578" s="42"/>
      <c r="H578" s="42"/>
      <c r="I578" s="42"/>
      <c r="J578" s="42">
        <v>2</v>
      </c>
      <c r="K578" s="43" t="s">
        <v>1596</v>
      </c>
      <c r="L578" s="40" t="s">
        <v>854</v>
      </c>
      <c r="M578" s="43" t="s">
        <v>1596</v>
      </c>
      <c r="N578" s="40" t="s">
        <v>854</v>
      </c>
      <c r="O578" s="43" t="s">
        <v>1570</v>
      </c>
      <c r="P578" s="43"/>
      <c r="Q578" s="43"/>
    </row>
    <row r="579" spans="1:17" x14ac:dyDescent="0.25">
      <c r="A579" s="40">
        <v>577</v>
      </c>
      <c r="B579" s="40" t="s">
        <v>855</v>
      </c>
      <c r="C579" s="40" t="s">
        <v>823</v>
      </c>
      <c r="D579" s="43" t="s">
        <v>1427</v>
      </c>
      <c r="E579" s="43"/>
      <c r="F579" s="42"/>
      <c r="G579" s="42"/>
      <c r="H579" s="42"/>
      <c r="I579" s="42"/>
      <c r="J579" s="42">
        <v>2</v>
      </c>
      <c r="K579" s="43" t="s">
        <v>1486</v>
      </c>
      <c r="L579" s="40" t="s">
        <v>855</v>
      </c>
      <c r="M579" s="43"/>
      <c r="N579" s="40"/>
      <c r="O579" s="43"/>
      <c r="P579" s="43"/>
      <c r="Q579" s="43"/>
    </row>
    <row r="580" spans="1:17" x14ac:dyDescent="0.25">
      <c r="A580" s="40">
        <v>578</v>
      </c>
      <c r="B580" s="40" t="s">
        <v>856</v>
      </c>
      <c r="C580" s="40" t="s">
        <v>1657</v>
      </c>
      <c r="D580" s="41" t="s">
        <v>1427</v>
      </c>
      <c r="E580" s="43"/>
      <c r="F580" s="42"/>
      <c r="G580" s="42"/>
      <c r="H580" s="42"/>
      <c r="I580" s="42"/>
      <c r="J580" s="42">
        <v>2</v>
      </c>
      <c r="K580" s="43" t="s">
        <v>1602</v>
      </c>
      <c r="L580" s="40" t="s">
        <v>856</v>
      </c>
      <c r="M580" s="43"/>
      <c r="N580" s="40"/>
      <c r="O580" s="43"/>
      <c r="P580" s="43"/>
      <c r="Q580" s="43"/>
    </row>
    <row r="581" spans="1:17" x14ac:dyDescent="0.25">
      <c r="A581" s="40">
        <v>579</v>
      </c>
      <c r="B581" s="40" t="s">
        <v>857</v>
      </c>
      <c r="C581" s="40" t="s">
        <v>1658</v>
      </c>
      <c r="D581" s="41" t="s">
        <v>1427</v>
      </c>
      <c r="E581" s="43"/>
      <c r="F581" s="42"/>
      <c r="G581" s="42"/>
      <c r="H581" s="42"/>
      <c r="I581" s="42"/>
      <c r="J581" s="42">
        <v>2</v>
      </c>
      <c r="K581" s="43" t="s">
        <v>2371</v>
      </c>
      <c r="L581" s="40" t="s">
        <v>857</v>
      </c>
      <c r="M581" s="43" t="s">
        <v>1605</v>
      </c>
      <c r="N581" s="40" t="s">
        <v>857</v>
      </c>
      <c r="O581" s="43" t="s">
        <v>1608</v>
      </c>
      <c r="P581" s="43"/>
      <c r="Q581" s="43"/>
    </row>
    <row r="582" spans="1:17" x14ac:dyDescent="0.25">
      <c r="A582" s="40">
        <v>580</v>
      </c>
      <c r="B582" s="40" t="s">
        <v>858</v>
      </c>
      <c r="C582" s="40" t="s">
        <v>1659</v>
      </c>
      <c r="D582" s="43" t="s">
        <v>1427</v>
      </c>
      <c r="E582" s="43"/>
      <c r="F582" s="42"/>
      <c r="G582" s="42"/>
      <c r="H582" s="42"/>
      <c r="I582" s="42"/>
      <c r="J582" s="42">
        <v>2</v>
      </c>
      <c r="K582" s="43" t="s">
        <v>2371</v>
      </c>
      <c r="L582" s="40" t="s">
        <v>858</v>
      </c>
      <c r="M582" s="43"/>
      <c r="N582" s="40"/>
      <c r="O582" s="43"/>
      <c r="P582" s="43"/>
      <c r="Q582" s="43"/>
    </row>
    <row r="583" spans="1:17" x14ac:dyDescent="0.25">
      <c r="A583" s="40">
        <v>581</v>
      </c>
      <c r="B583" s="40" t="s">
        <v>859</v>
      </c>
      <c r="C583" s="40" t="s">
        <v>1660</v>
      </c>
      <c r="D583" s="41" t="s">
        <v>1427</v>
      </c>
      <c r="E583" s="43"/>
      <c r="F583" s="42"/>
      <c r="G583" s="42"/>
      <c r="H583" s="42"/>
      <c r="I583" s="42"/>
      <c r="J583" s="42">
        <v>2</v>
      </c>
      <c r="K583" s="43" t="s">
        <v>2374</v>
      </c>
      <c r="L583" s="40" t="s">
        <v>859</v>
      </c>
      <c r="M583" s="43" t="s">
        <v>1542</v>
      </c>
      <c r="N583" s="40" t="s">
        <v>859</v>
      </c>
      <c r="O583" s="43" t="s">
        <v>2427</v>
      </c>
      <c r="P583" s="43"/>
      <c r="Q583" s="43" t="s">
        <v>2428</v>
      </c>
    </row>
    <row r="584" spans="1:17" x14ac:dyDescent="0.25">
      <c r="A584" s="40">
        <v>582</v>
      </c>
      <c r="B584" s="40" t="s">
        <v>860</v>
      </c>
      <c r="C584" s="40" t="s">
        <v>1661</v>
      </c>
      <c r="D584" s="41" t="s">
        <v>1427</v>
      </c>
      <c r="E584" s="43"/>
      <c r="F584" s="42"/>
      <c r="G584" s="42"/>
      <c r="H584" s="42"/>
      <c r="I584" s="42"/>
      <c r="J584" s="42">
        <v>2</v>
      </c>
      <c r="K584" s="43" t="s">
        <v>2373</v>
      </c>
      <c r="L584" s="40" t="s">
        <v>860</v>
      </c>
      <c r="M584" s="43" t="s">
        <v>1603</v>
      </c>
      <c r="N584" s="40" t="s">
        <v>860</v>
      </c>
      <c r="O584" s="43" t="s">
        <v>1608</v>
      </c>
      <c r="P584" s="43"/>
      <c r="Q584" s="43"/>
    </row>
    <row r="585" spans="1:17" x14ac:dyDescent="0.25">
      <c r="A585" s="40">
        <v>583</v>
      </c>
      <c r="B585" s="40" t="s">
        <v>861</v>
      </c>
      <c r="C585" s="40" t="s">
        <v>1662</v>
      </c>
      <c r="D585" s="41" t="s">
        <v>1427</v>
      </c>
      <c r="E585" s="43"/>
      <c r="F585" s="42"/>
      <c r="G585" s="42"/>
      <c r="H585" s="42"/>
      <c r="I585" s="42"/>
      <c r="J585" s="42">
        <v>2</v>
      </c>
      <c r="K585" s="43" t="s">
        <v>2373</v>
      </c>
      <c r="L585" s="40" t="s">
        <v>861</v>
      </c>
      <c r="M585" s="43" t="s">
        <v>1607</v>
      </c>
      <c r="N585" s="40" t="s">
        <v>861</v>
      </c>
      <c r="O585" s="43" t="s">
        <v>1608</v>
      </c>
      <c r="P585" s="43"/>
      <c r="Q585" s="43"/>
    </row>
    <row r="586" spans="1:17" x14ac:dyDescent="0.25">
      <c r="A586" s="40">
        <v>584</v>
      </c>
      <c r="B586" s="40" t="s">
        <v>862</v>
      </c>
      <c r="C586" s="40" t="s">
        <v>1663</v>
      </c>
      <c r="D586" s="41" t="s">
        <v>1454</v>
      </c>
      <c r="E586" s="43"/>
      <c r="F586" s="42"/>
      <c r="G586" s="42"/>
      <c r="H586" s="42"/>
      <c r="I586" s="42"/>
      <c r="J586" s="42"/>
      <c r="K586" s="43"/>
      <c r="L586" s="40"/>
      <c r="M586" s="43" t="s">
        <v>1551</v>
      </c>
      <c r="N586" s="40" t="s">
        <v>862</v>
      </c>
      <c r="O586" s="43" t="s">
        <v>1609</v>
      </c>
      <c r="P586" s="43"/>
      <c r="Q586" s="43"/>
    </row>
    <row r="587" spans="1:17" x14ac:dyDescent="0.25">
      <c r="A587" s="40">
        <v>585</v>
      </c>
      <c r="B587" s="40" t="s">
        <v>863</v>
      </c>
      <c r="C587" s="40" t="s">
        <v>1664</v>
      </c>
      <c r="D587" s="43" t="s">
        <v>1427</v>
      </c>
      <c r="E587" s="43"/>
      <c r="F587" s="42"/>
      <c r="G587" s="42"/>
      <c r="H587" s="42"/>
      <c r="I587" s="42"/>
      <c r="J587" s="42">
        <v>2</v>
      </c>
      <c r="K587" s="43" t="s">
        <v>1580</v>
      </c>
      <c r="L587" s="40" t="s">
        <v>863</v>
      </c>
      <c r="M587" s="43"/>
      <c r="N587" s="40"/>
      <c r="O587" s="43"/>
      <c r="P587" s="43"/>
      <c r="Q587" s="43"/>
    </row>
    <row r="588" spans="1:17" x14ac:dyDescent="0.25">
      <c r="A588" s="40">
        <v>586</v>
      </c>
      <c r="B588" s="40" t="s">
        <v>864</v>
      </c>
      <c r="C588" s="40" t="s">
        <v>1665</v>
      </c>
      <c r="D588" s="43" t="s">
        <v>1427</v>
      </c>
      <c r="E588" s="43"/>
      <c r="F588" s="42"/>
      <c r="G588" s="42"/>
      <c r="H588" s="42"/>
      <c r="I588" s="42"/>
      <c r="J588" s="42">
        <v>2</v>
      </c>
      <c r="K588" s="43" t="s">
        <v>1519</v>
      </c>
      <c r="L588" s="40" t="s">
        <v>864</v>
      </c>
      <c r="M588" s="43"/>
      <c r="N588" s="40"/>
      <c r="O588" s="43"/>
      <c r="P588" s="43"/>
      <c r="Q588" s="43"/>
    </row>
    <row r="589" spans="1:17" x14ac:dyDescent="0.25">
      <c r="A589" s="40">
        <v>587</v>
      </c>
      <c r="B589" s="40" t="s">
        <v>865</v>
      </c>
      <c r="C589" s="40" t="s">
        <v>1666</v>
      </c>
      <c r="D589" s="43" t="s">
        <v>1427</v>
      </c>
      <c r="E589" s="43"/>
      <c r="F589" s="42"/>
      <c r="G589" s="42"/>
      <c r="H589" s="42"/>
      <c r="I589" s="42"/>
      <c r="J589" s="42">
        <v>2</v>
      </c>
      <c r="K589" s="43" t="s">
        <v>1507</v>
      </c>
      <c r="L589" s="40" t="s">
        <v>865</v>
      </c>
      <c r="M589" s="43"/>
      <c r="N589" s="40"/>
      <c r="O589" s="43"/>
      <c r="P589" s="43"/>
      <c r="Q589" s="43"/>
    </row>
    <row r="590" spans="1:17" x14ac:dyDescent="0.25">
      <c r="A590" s="40">
        <v>588</v>
      </c>
      <c r="B590" s="43" t="s">
        <v>866</v>
      </c>
      <c r="C590" s="40" t="s">
        <v>1667</v>
      </c>
      <c r="D590" s="43" t="s">
        <v>1427</v>
      </c>
      <c r="E590" s="43"/>
      <c r="F590" s="42"/>
      <c r="G590" s="42"/>
      <c r="H590" s="42"/>
      <c r="I590" s="42"/>
      <c r="J590" s="42">
        <v>2</v>
      </c>
      <c r="K590" s="43" t="s">
        <v>123</v>
      </c>
      <c r="L590" s="43" t="s">
        <v>866</v>
      </c>
      <c r="M590" s="43"/>
      <c r="N590" s="43"/>
      <c r="O590" s="43"/>
      <c r="P590" s="43"/>
      <c r="Q590" s="43"/>
    </row>
    <row r="591" spans="1:17" x14ac:dyDescent="0.25">
      <c r="A591" s="40">
        <v>589</v>
      </c>
      <c r="B591" s="43" t="s">
        <v>868</v>
      </c>
      <c r="C591" s="40" t="s">
        <v>1668</v>
      </c>
      <c r="D591" s="43" t="s">
        <v>1427</v>
      </c>
      <c r="E591" s="43"/>
      <c r="F591" s="42"/>
      <c r="G591" s="42"/>
      <c r="H591" s="42"/>
      <c r="I591" s="42"/>
      <c r="J591" s="42"/>
      <c r="K591" s="43" t="s">
        <v>17</v>
      </c>
      <c r="L591" s="43" t="s">
        <v>868</v>
      </c>
      <c r="M591" s="43"/>
      <c r="N591" s="43"/>
      <c r="O591" s="43"/>
      <c r="P591" s="43"/>
      <c r="Q591" s="43"/>
    </row>
    <row r="592" spans="1:17" x14ac:dyDescent="0.25">
      <c r="A592" s="40">
        <v>590</v>
      </c>
      <c r="B592" s="43" t="s">
        <v>869</v>
      </c>
      <c r="C592" s="40" t="s">
        <v>1669</v>
      </c>
      <c r="D592" s="43" t="s">
        <v>1427</v>
      </c>
      <c r="E592" s="43"/>
      <c r="F592" s="42"/>
      <c r="G592" s="42"/>
      <c r="H592" s="42"/>
      <c r="I592" s="42"/>
      <c r="J592" s="42"/>
      <c r="K592" s="43" t="s">
        <v>547</v>
      </c>
      <c r="L592" s="43" t="s">
        <v>869</v>
      </c>
      <c r="M592" s="43"/>
      <c r="N592" s="43"/>
      <c r="O592" s="43"/>
      <c r="P592" s="43"/>
      <c r="Q592" s="43"/>
    </row>
    <row r="593" spans="1:17" x14ac:dyDescent="0.25">
      <c r="A593" s="40">
        <v>591</v>
      </c>
      <c r="B593" s="43" t="s">
        <v>867</v>
      </c>
      <c r="C593" s="40" t="s">
        <v>1670</v>
      </c>
      <c r="D593" s="43" t="s">
        <v>1427</v>
      </c>
      <c r="E593" s="43"/>
      <c r="F593" s="42"/>
      <c r="G593" s="42"/>
      <c r="H593" s="42"/>
      <c r="I593" s="42"/>
      <c r="J593" s="42"/>
      <c r="K593" s="43" t="s">
        <v>15</v>
      </c>
      <c r="L593" s="43" t="s">
        <v>867</v>
      </c>
      <c r="M593" s="43"/>
      <c r="N593" s="43"/>
      <c r="O593" s="43"/>
      <c r="P593" s="43"/>
      <c r="Q593" s="43"/>
    </row>
    <row r="594" spans="1:17" x14ac:dyDescent="0.25">
      <c r="A594" s="40">
        <v>592</v>
      </c>
      <c r="B594" s="43" t="s">
        <v>871</v>
      </c>
      <c r="C594" s="40" t="s">
        <v>1671</v>
      </c>
      <c r="D594" s="43" t="s">
        <v>1427</v>
      </c>
      <c r="E594" s="43"/>
      <c r="F594" s="42"/>
      <c r="G594" s="42"/>
      <c r="H594" s="42"/>
      <c r="I594" s="42"/>
      <c r="J594" s="42"/>
      <c r="K594" s="43" t="s">
        <v>16</v>
      </c>
      <c r="L594" s="43" t="s">
        <v>871</v>
      </c>
      <c r="M594" s="43"/>
      <c r="N594" s="43"/>
      <c r="O594" s="43"/>
      <c r="P594" s="43"/>
      <c r="Q594" s="43"/>
    </row>
    <row r="595" spans="1:17" x14ac:dyDescent="0.25">
      <c r="A595" s="40">
        <v>593</v>
      </c>
      <c r="B595" s="43" t="s">
        <v>872</v>
      </c>
      <c r="C595" s="40" t="s">
        <v>1672</v>
      </c>
      <c r="D595" s="43" t="s">
        <v>1427</v>
      </c>
      <c r="E595" s="43"/>
      <c r="F595" s="42"/>
      <c r="G595" s="42"/>
      <c r="H595" s="42"/>
      <c r="I595" s="42"/>
      <c r="J595" s="42"/>
      <c r="K595" s="43" t="s">
        <v>66</v>
      </c>
      <c r="L595" s="43" t="s">
        <v>872</v>
      </c>
      <c r="M595" s="43"/>
      <c r="N595" s="43"/>
      <c r="O595" s="43"/>
      <c r="P595" s="43"/>
      <c r="Q595" s="43"/>
    </row>
    <row r="596" spans="1:17" x14ac:dyDescent="0.25">
      <c r="A596" s="40">
        <v>594</v>
      </c>
      <c r="B596" s="43" t="s">
        <v>870</v>
      </c>
      <c r="C596" s="40" t="s">
        <v>1673</v>
      </c>
      <c r="D596" s="43" t="s">
        <v>1427</v>
      </c>
      <c r="E596" s="43"/>
      <c r="F596" s="42"/>
      <c r="G596" s="42"/>
      <c r="H596" s="42"/>
      <c r="I596" s="42"/>
      <c r="J596" s="42"/>
      <c r="K596" s="43" t="s">
        <v>162</v>
      </c>
      <c r="L596" s="43" t="s">
        <v>870</v>
      </c>
      <c r="M596" s="43"/>
      <c r="N596" s="43"/>
      <c r="O596" s="43"/>
      <c r="P596" s="43"/>
      <c r="Q596" s="43"/>
    </row>
    <row r="597" spans="1:17" x14ac:dyDescent="0.25">
      <c r="A597" s="40">
        <v>595</v>
      </c>
      <c r="B597" s="43" t="s">
        <v>873</v>
      </c>
      <c r="C597" s="43" t="s">
        <v>1674</v>
      </c>
      <c r="D597" s="43" t="s">
        <v>1427</v>
      </c>
      <c r="E597" s="43"/>
      <c r="F597" s="42"/>
      <c r="G597" s="42"/>
      <c r="H597" s="42"/>
      <c r="I597" s="42"/>
      <c r="J597" s="42">
        <v>2</v>
      </c>
      <c r="K597" s="43" t="s">
        <v>1516</v>
      </c>
      <c r="L597" s="43" t="s">
        <v>873</v>
      </c>
      <c r="M597" s="43"/>
      <c r="N597" s="43"/>
      <c r="O597" s="43"/>
      <c r="P597" s="43"/>
      <c r="Q597" s="43"/>
    </row>
    <row r="598" spans="1:17" x14ac:dyDescent="0.25">
      <c r="A598" s="40">
        <v>596</v>
      </c>
      <c r="B598" s="43" t="s">
        <v>874</v>
      </c>
      <c r="C598" s="43" t="s">
        <v>815</v>
      </c>
      <c r="D598" s="43" t="s">
        <v>1427</v>
      </c>
      <c r="E598" s="43"/>
      <c r="F598" s="42"/>
      <c r="G598" s="42"/>
      <c r="H598" s="42"/>
      <c r="I598" s="42"/>
      <c r="J598" s="42">
        <v>2</v>
      </c>
      <c r="K598" s="43" t="s">
        <v>1534</v>
      </c>
      <c r="L598" s="43" t="s">
        <v>874</v>
      </c>
      <c r="M598" s="43"/>
      <c r="N598" s="43"/>
      <c r="O598" s="43"/>
      <c r="P598" s="43"/>
      <c r="Q598" s="43"/>
    </row>
    <row r="599" spans="1:17" x14ac:dyDescent="0.25">
      <c r="A599" s="40">
        <v>597</v>
      </c>
      <c r="B599" s="43" t="s">
        <v>876</v>
      </c>
      <c r="C599" s="43" t="s">
        <v>1675</v>
      </c>
      <c r="D599" s="43" t="s">
        <v>1427</v>
      </c>
      <c r="E599" s="43"/>
      <c r="F599" s="42"/>
      <c r="G599" s="42"/>
      <c r="H599" s="42"/>
      <c r="I599" s="42"/>
      <c r="J599" s="42">
        <v>2</v>
      </c>
      <c r="K599" s="43" t="s">
        <v>1530</v>
      </c>
      <c r="L599" s="43" t="s">
        <v>876</v>
      </c>
      <c r="M599" s="43"/>
      <c r="N599" s="43"/>
      <c r="O599" s="43"/>
      <c r="P599" s="43"/>
      <c r="Q599" s="43"/>
    </row>
    <row r="600" spans="1:17" x14ac:dyDescent="0.25">
      <c r="A600" s="40">
        <v>598</v>
      </c>
      <c r="B600" s="43" t="s">
        <v>875</v>
      </c>
      <c r="C600" s="43" t="s">
        <v>1676</v>
      </c>
      <c r="D600" s="43" t="s">
        <v>1427</v>
      </c>
      <c r="E600" s="43"/>
      <c r="F600" s="42"/>
      <c r="G600" s="42"/>
      <c r="H600" s="42"/>
      <c r="I600" s="42"/>
      <c r="J600" s="42">
        <v>2</v>
      </c>
      <c r="K600" s="43" t="s">
        <v>1537</v>
      </c>
      <c r="L600" s="43" t="s">
        <v>875</v>
      </c>
      <c r="M600" s="43"/>
      <c r="N600" s="43"/>
      <c r="O600" s="43"/>
      <c r="P600" s="43"/>
      <c r="Q600" s="43"/>
    </row>
    <row r="601" spans="1:17" x14ac:dyDescent="0.25">
      <c r="A601" s="40">
        <v>599</v>
      </c>
      <c r="B601" s="43" t="s">
        <v>1414</v>
      </c>
      <c r="C601" s="43" t="s">
        <v>1677</v>
      </c>
      <c r="D601" s="43" t="s">
        <v>1427</v>
      </c>
      <c r="E601" s="43"/>
      <c r="F601" s="42"/>
      <c r="G601" s="42"/>
      <c r="H601" s="42"/>
      <c r="I601" s="42"/>
      <c r="J601" s="42">
        <v>2</v>
      </c>
      <c r="K601" s="43" t="s">
        <v>1552</v>
      </c>
      <c r="L601" s="43" t="s">
        <v>1414</v>
      </c>
      <c r="M601" s="43"/>
      <c r="N601" s="43"/>
      <c r="O601" s="43"/>
      <c r="P601" s="43"/>
      <c r="Q601" s="43"/>
    </row>
    <row r="602" spans="1:17" x14ac:dyDescent="0.25">
      <c r="A602" s="40">
        <v>600</v>
      </c>
      <c r="B602" s="43" t="s">
        <v>1415</v>
      </c>
      <c r="C602" s="43" t="s">
        <v>1678</v>
      </c>
      <c r="D602" s="43" t="s">
        <v>1427</v>
      </c>
      <c r="E602" s="43"/>
      <c r="F602" s="42"/>
      <c r="G602" s="42"/>
      <c r="H602" s="42"/>
      <c r="I602" s="42"/>
      <c r="J602" s="42">
        <v>2</v>
      </c>
      <c r="K602" s="43" t="s">
        <v>1500</v>
      </c>
      <c r="L602" s="43" t="s">
        <v>1415</v>
      </c>
      <c r="M602" s="43"/>
      <c r="N602" s="43"/>
      <c r="O602" s="43"/>
      <c r="P602" s="43"/>
      <c r="Q602" s="43"/>
    </row>
    <row r="603" spans="1:17" x14ac:dyDescent="0.25">
      <c r="A603" s="40">
        <v>601</v>
      </c>
      <c r="B603" s="43" t="s">
        <v>1416</v>
      </c>
      <c r="C603" s="43" t="s">
        <v>1679</v>
      </c>
      <c r="D603" s="43" t="s">
        <v>1427</v>
      </c>
      <c r="E603" s="43"/>
      <c r="F603" s="42"/>
      <c r="G603" s="42"/>
      <c r="H603" s="42"/>
      <c r="I603" s="42"/>
      <c r="J603" s="42">
        <v>2</v>
      </c>
      <c r="K603" s="43" t="s">
        <v>1547</v>
      </c>
      <c r="L603" s="43" t="s">
        <v>1416</v>
      </c>
      <c r="M603" s="43"/>
      <c r="N603" s="43"/>
      <c r="O603" s="43"/>
      <c r="P603" s="43"/>
      <c r="Q603" s="43"/>
    </row>
    <row r="604" spans="1:17" x14ac:dyDescent="0.25">
      <c r="A604" s="40">
        <v>602</v>
      </c>
      <c r="B604" s="43" t="s">
        <v>1417</v>
      </c>
      <c r="C604" s="43" t="s">
        <v>1680</v>
      </c>
      <c r="D604" s="43" t="s">
        <v>1427</v>
      </c>
      <c r="E604" s="43"/>
      <c r="F604" s="42"/>
      <c r="G604" s="42"/>
      <c r="H604" s="42"/>
      <c r="I604" s="42"/>
      <c r="J604" s="42">
        <v>2</v>
      </c>
      <c r="K604" s="43" t="s">
        <v>1485</v>
      </c>
      <c r="L604" s="43" t="s">
        <v>1417</v>
      </c>
      <c r="M604" s="43"/>
      <c r="N604" s="43"/>
      <c r="O604" s="43"/>
      <c r="P604" s="43"/>
      <c r="Q604" s="43"/>
    </row>
    <row r="605" spans="1:17" x14ac:dyDescent="0.25">
      <c r="A605" s="40">
        <v>603</v>
      </c>
      <c r="B605" s="43" t="s">
        <v>1645</v>
      </c>
      <c r="C605" s="43" t="s">
        <v>1681</v>
      </c>
      <c r="D605" s="41" t="s">
        <v>1553</v>
      </c>
      <c r="E605" s="43"/>
      <c r="F605" s="42"/>
      <c r="G605" s="42">
        <v>4</v>
      </c>
      <c r="H605" s="43" t="s">
        <v>597</v>
      </c>
      <c r="I605" s="43" t="s">
        <v>1645</v>
      </c>
      <c r="J605" s="42"/>
      <c r="K605" s="43"/>
      <c r="L605" s="43"/>
      <c r="M605" s="43"/>
      <c r="N605" s="43"/>
      <c r="O605" s="43"/>
      <c r="P605" s="43"/>
      <c r="Q605" s="43"/>
    </row>
    <row r="606" spans="1:17" x14ac:dyDescent="0.25">
      <c r="A606" s="40">
        <v>604</v>
      </c>
      <c r="B606" s="43" t="s">
        <v>1612</v>
      </c>
      <c r="C606" s="43" t="s">
        <v>1682</v>
      </c>
      <c r="D606" s="41" t="s">
        <v>1427</v>
      </c>
      <c r="E606" s="43"/>
      <c r="F606" s="42"/>
      <c r="G606" s="42"/>
      <c r="H606" s="43"/>
      <c r="I606" s="43"/>
      <c r="J606" s="42">
        <v>2</v>
      </c>
      <c r="K606" s="43" t="s">
        <v>566</v>
      </c>
      <c r="L606" s="43" t="s">
        <v>1612</v>
      </c>
      <c r="M606" s="43"/>
      <c r="N606" s="43"/>
      <c r="O606" s="43"/>
      <c r="P606" s="43"/>
      <c r="Q606" s="43"/>
    </row>
    <row r="607" spans="1:17" x14ac:dyDescent="0.25">
      <c r="A607" s="40">
        <v>605</v>
      </c>
      <c r="B607" s="43" t="s">
        <v>1613</v>
      </c>
      <c r="C607" s="43" t="s">
        <v>1683</v>
      </c>
      <c r="D607" s="41" t="s">
        <v>1427</v>
      </c>
      <c r="E607" s="43"/>
      <c r="F607" s="42"/>
      <c r="G607" s="42"/>
      <c r="H607" s="42"/>
      <c r="I607" s="42"/>
      <c r="J607" s="42">
        <v>2</v>
      </c>
      <c r="K607" s="43" t="s">
        <v>361</v>
      </c>
      <c r="L607" s="43" t="s">
        <v>1613</v>
      </c>
      <c r="M607" s="43"/>
      <c r="N607" s="43"/>
      <c r="O607" s="43"/>
      <c r="P607" s="43"/>
      <c r="Q607" s="43"/>
    </row>
    <row r="608" spans="1:17" x14ac:dyDescent="0.25">
      <c r="A608" s="40">
        <v>606</v>
      </c>
      <c r="B608" s="43" t="s">
        <v>869</v>
      </c>
      <c r="C608" s="43" t="s">
        <v>1684</v>
      </c>
      <c r="D608" s="41" t="s">
        <v>1427</v>
      </c>
      <c r="E608" s="43"/>
      <c r="F608" s="42"/>
      <c r="G608" s="42"/>
      <c r="H608" s="42"/>
      <c r="I608" s="42"/>
      <c r="J608" s="42">
        <v>2</v>
      </c>
      <c r="K608" s="43" t="s">
        <v>547</v>
      </c>
      <c r="L608" s="43" t="s">
        <v>869</v>
      </c>
      <c r="M608" s="43"/>
      <c r="N608" s="43"/>
      <c r="O608" s="43"/>
      <c r="P608" s="43"/>
      <c r="Q608" s="43"/>
    </row>
    <row r="609" spans="1:17" x14ac:dyDescent="0.25">
      <c r="A609" s="40">
        <v>607</v>
      </c>
      <c r="B609" s="43" t="s">
        <v>1614</v>
      </c>
      <c r="C609" s="43" t="s">
        <v>1685</v>
      </c>
      <c r="D609" s="41" t="s">
        <v>1427</v>
      </c>
      <c r="E609" s="43"/>
      <c r="F609" s="42"/>
      <c r="G609" s="42"/>
      <c r="H609" s="42"/>
      <c r="I609" s="42"/>
      <c r="J609" s="42">
        <v>2</v>
      </c>
      <c r="K609" s="43" t="s">
        <v>422</v>
      </c>
      <c r="L609" s="43" t="s">
        <v>1614</v>
      </c>
      <c r="M609" s="43"/>
      <c r="N609" s="43"/>
      <c r="O609" s="43"/>
      <c r="P609" s="43"/>
      <c r="Q609" s="43"/>
    </row>
    <row r="610" spans="1:17" x14ac:dyDescent="0.25">
      <c r="A610" s="40">
        <v>608</v>
      </c>
      <c r="B610" s="43" t="s">
        <v>1618</v>
      </c>
      <c r="C610" s="43" t="s">
        <v>1686</v>
      </c>
      <c r="D610" s="41" t="s">
        <v>1427</v>
      </c>
      <c r="E610" s="43"/>
      <c r="F610" s="42"/>
      <c r="G610" s="42"/>
      <c r="H610" s="42"/>
      <c r="I610" s="42"/>
      <c r="J610" s="42">
        <v>2</v>
      </c>
      <c r="K610" s="43" t="s">
        <v>575</v>
      </c>
      <c r="L610" s="43" t="s">
        <v>1618</v>
      </c>
      <c r="M610" s="43"/>
      <c r="N610" s="43"/>
      <c r="O610" s="43"/>
      <c r="P610" s="43"/>
      <c r="Q610" s="43"/>
    </row>
    <row r="611" spans="1:17" x14ac:dyDescent="0.25">
      <c r="A611" s="40">
        <v>609</v>
      </c>
      <c r="B611" s="43" t="s">
        <v>1615</v>
      </c>
      <c r="C611" s="43" t="s">
        <v>1687</v>
      </c>
      <c r="D611" s="41" t="s">
        <v>1427</v>
      </c>
      <c r="E611" s="43"/>
      <c r="F611" s="42"/>
      <c r="G611" s="42"/>
      <c r="H611" s="42"/>
      <c r="I611" s="42"/>
      <c r="J611" s="42">
        <v>2</v>
      </c>
      <c r="K611" s="43" t="s">
        <v>443</v>
      </c>
      <c r="L611" s="43" t="s">
        <v>1615</v>
      </c>
      <c r="M611" s="43"/>
      <c r="N611" s="43"/>
      <c r="O611" s="43"/>
      <c r="P611" s="43"/>
      <c r="Q611" s="43"/>
    </row>
    <row r="612" spans="1:17" x14ac:dyDescent="0.25">
      <c r="A612" s="40">
        <v>610</v>
      </c>
      <c r="B612" s="43" t="s">
        <v>1616</v>
      </c>
      <c r="C612" s="43" t="s">
        <v>1688</v>
      </c>
      <c r="D612" s="41" t="s">
        <v>1427</v>
      </c>
      <c r="E612" s="43"/>
      <c r="F612" s="42"/>
      <c r="G612" s="42"/>
      <c r="H612" s="42"/>
      <c r="I612" s="42"/>
      <c r="J612" s="42">
        <v>2</v>
      </c>
      <c r="K612" s="43" t="s">
        <v>526</v>
      </c>
      <c r="L612" s="43" t="s">
        <v>1616</v>
      </c>
      <c r="M612" s="43"/>
      <c r="N612" s="43"/>
      <c r="O612" s="43"/>
      <c r="P612" s="43"/>
      <c r="Q612" s="43"/>
    </row>
    <row r="613" spans="1:17" x14ac:dyDescent="0.25">
      <c r="A613" s="40">
        <v>611</v>
      </c>
      <c r="B613" s="43" t="s">
        <v>1617</v>
      </c>
      <c r="C613" s="43" t="s">
        <v>1689</v>
      </c>
      <c r="D613" s="41" t="s">
        <v>1427</v>
      </c>
      <c r="E613" s="43"/>
      <c r="F613" s="42"/>
      <c r="G613" s="42"/>
      <c r="H613" s="42"/>
      <c r="I613" s="42"/>
      <c r="J613" s="42">
        <v>2</v>
      </c>
      <c r="K613" s="43" t="s">
        <v>275</v>
      </c>
      <c r="L613" s="43" t="s">
        <v>1617</v>
      </c>
      <c r="M613" s="43"/>
      <c r="N613" s="43"/>
      <c r="O613" s="43"/>
      <c r="P613" s="43"/>
      <c r="Q613" s="43"/>
    </row>
    <row r="614" spans="1:17" x14ac:dyDescent="0.25">
      <c r="A614" s="40">
        <v>612</v>
      </c>
      <c r="B614" s="43" t="s">
        <v>1619</v>
      </c>
      <c r="C614" s="43" t="s">
        <v>1690</v>
      </c>
      <c r="D614" s="41" t="s">
        <v>1427</v>
      </c>
      <c r="E614" s="43"/>
      <c r="F614" s="42"/>
      <c r="G614" s="42"/>
      <c r="H614" s="42"/>
      <c r="I614" s="42"/>
      <c r="J614" s="42">
        <v>2</v>
      </c>
      <c r="K614" s="43" t="s">
        <v>320</v>
      </c>
      <c r="L614" s="43" t="s">
        <v>1619</v>
      </c>
      <c r="M614" s="43"/>
      <c r="N614" s="43"/>
      <c r="O614" s="43"/>
      <c r="P614" s="43"/>
      <c r="Q614" s="43"/>
    </row>
    <row r="615" spans="1:17" x14ac:dyDescent="0.25">
      <c r="A615" s="40">
        <v>613</v>
      </c>
      <c r="B615" s="43" t="s">
        <v>1620</v>
      </c>
      <c r="C615" s="43" t="s">
        <v>1691</v>
      </c>
      <c r="D615" s="41" t="s">
        <v>1427</v>
      </c>
      <c r="E615" s="43"/>
      <c r="F615" s="42"/>
      <c r="G615" s="42"/>
      <c r="H615" s="42"/>
      <c r="I615" s="42"/>
      <c r="J615" s="42">
        <v>2</v>
      </c>
      <c r="K615" s="43" t="s">
        <v>277</v>
      </c>
      <c r="L615" s="43" t="s">
        <v>1620</v>
      </c>
      <c r="M615" s="43"/>
      <c r="N615" s="43"/>
      <c r="O615" s="43"/>
      <c r="P615" s="43"/>
      <c r="Q615" s="43"/>
    </row>
    <row r="616" spans="1:17" x14ac:dyDescent="0.25">
      <c r="A616" s="40">
        <v>614</v>
      </c>
      <c r="B616" s="43" t="s">
        <v>1621</v>
      </c>
      <c r="C616" s="43" t="s">
        <v>1692</v>
      </c>
      <c r="D616" s="41" t="s">
        <v>1427</v>
      </c>
      <c r="E616" s="43"/>
      <c r="F616" s="42"/>
      <c r="G616" s="42"/>
      <c r="H616" s="42"/>
      <c r="I616" s="42"/>
      <c r="J616" s="42">
        <v>2</v>
      </c>
      <c r="K616" s="43" t="s">
        <v>301</v>
      </c>
      <c r="L616" s="43" t="s">
        <v>1621</v>
      </c>
      <c r="M616" s="43"/>
      <c r="N616" s="43"/>
      <c r="O616" s="43"/>
      <c r="P616" s="43"/>
      <c r="Q616" s="43"/>
    </row>
    <row r="617" spans="1:17" x14ac:dyDescent="0.25">
      <c r="A617" s="40">
        <v>615</v>
      </c>
      <c r="B617" s="43" t="s">
        <v>1622</v>
      </c>
      <c r="C617" s="43" t="s">
        <v>1693</v>
      </c>
      <c r="D617" s="41" t="s">
        <v>1427</v>
      </c>
      <c r="E617" s="43"/>
      <c r="F617" s="42"/>
      <c r="G617" s="42"/>
      <c r="H617" s="42"/>
      <c r="I617" s="42"/>
      <c r="J617" s="42">
        <v>2</v>
      </c>
      <c r="K617" s="43" t="s">
        <v>30</v>
      </c>
      <c r="L617" s="43" t="s">
        <v>1622</v>
      </c>
      <c r="M617" s="43"/>
      <c r="N617" s="43"/>
      <c r="O617" s="43"/>
      <c r="P617" s="43"/>
      <c r="Q617" s="43"/>
    </row>
    <row r="618" spans="1:17" x14ac:dyDescent="0.25">
      <c r="A618" s="40">
        <v>616</v>
      </c>
      <c r="B618" s="43" t="s">
        <v>1632</v>
      </c>
      <c r="C618" s="43" t="s">
        <v>1694</v>
      </c>
      <c r="D618" s="43" t="s">
        <v>1427</v>
      </c>
      <c r="E618" s="43"/>
      <c r="F618" s="42"/>
      <c r="G618" s="42"/>
      <c r="H618" s="42"/>
      <c r="I618" s="42"/>
      <c r="J618" s="42">
        <v>2</v>
      </c>
      <c r="K618" s="43" t="s">
        <v>1630</v>
      </c>
      <c r="L618" s="43" t="s">
        <v>1632</v>
      </c>
      <c r="M618" s="43"/>
      <c r="N618" s="43"/>
      <c r="O618" s="43"/>
      <c r="P618" s="43"/>
      <c r="Q618" s="43"/>
    </row>
    <row r="619" spans="1:17" x14ac:dyDescent="0.25">
      <c r="A619" s="40">
        <v>617</v>
      </c>
      <c r="B619" s="43" t="s">
        <v>1624</v>
      </c>
      <c r="C619" s="43" t="s">
        <v>1695</v>
      </c>
      <c r="D619" s="43" t="s">
        <v>1427</v>
      </c>
      <c r="E619" s="43"/>
      <c r="F619" s="42"/>
      <c r="G619" s="42"/>
      <c r="H619" s="42"/>
      <c r="I619" s="42"/>
      <c r="J619" s="42">
        <v>2</v>
      </c>
      <c r="K619" s="43" t="s">
        <v>148</v>
      </c>
      <c r="L619" s="43" t="s">
        <v>1624</v>
      </c>
      <c r="M619" s="43"/>
      <c r="N619" s="43"/>
      <c r="O619" s="43"/>
      <c r="P619" s="43"/>
      <c r="Q619" s="43"/>
    </row>
    <row r="620" spans="1:17" x14ac:dyDescent="0.25">
      <c r="A620" s="40">
        <v>618</v>
      </c>
      <c r="B620" s="43" t="s">
        <v>1625</v>
      </c>
      <c r="C620" s="43" t="s">
        <v>1696</v>
      </c>
      <c r="D620" s="43" t="s">
        <v>1427</v>
      </c>
      <c r="E620" s="43"/>
      <c r="F620" s="42"/>
      <c r="G620" s="42"/>
      <c r="H620" s="42"/>
      <c r="I620" s="42"/>
      <c r="J620" s="42">
        <v>2</v>
      </c>
      <c r="K620" s="43" t="s">
        <v>239</v>
      </c>
      <c r="L620" s="43" t="s">
        <v>1625</v>
      </c>
      <c r="M620" s="43"/>
      <c r="N620" s="43"/>
      <c r="O620" s="43"/>
      <c r="P620" s="43"/>
      <c r="Q620" s="43"/>
    </row>
    <row r="621" spans="1:17" x14ac:dyDescent="0.25">
      <c r="A621" s="40">
        <v>619</v>
      </c>
      <c r="B621" s="43" t="s">
        <v>1626</v>
      </c>
      <c r="C621" s="43" t="s">
        <v>1697</v>
      </c>
      <c r="D621" s="43" t="s">
        <v>1427</v>
      </c>
      <c r="E621" s="43"/>
      <c r="F621" s="42"/>
      <c r="G621" s="42"/>
      <c r="H621" s="42"/>
      <c r="I621" s="42"/>
      <c r="J621" s="42">
        <v>2</v>
      </c>
      <c r="K621" s="43" t="s">
        <v>273</v>
      </c>
      <c r="L621" s="43" t="s">
        <v>1626</v>
      </c>
      <c r="M621" s="43"/>
      <c r="N621" s="43"/>
      <c r="O621" s="43"/>
      <c r="P621" s="43"/>
      <c r="Q621" s="43"/>
    </row>
    <row r="622" spans="1:17" x14ac:dyDescent="0.25">
      <c r="A622" s="40">
        <v>620</v>
      </c>
      <c r="B622" s="43" t="s">
        <v>1627</v>
      </c>
      <c r="C622" s="43" t="s">
        <v>1698</v>
      </c>
      <c r="D622" s="43" t="s">
        <v>1427</v>
      </c>
      <c r="E622" s="43"/>
      <c r="F622" s="42"/>
      <c r="G622" s="42"/>
      <c r="H622" s="42"/>
      <c r="I622" s="42"/>
      <c r="J622" s="42">
        <v>2</v>
      </c>
      <c r="K622" s="43" t="s">
        <v>327</v>
      </c>
      <c r="L622" s="43" t="s">
        <v>1627</v>
      </c>
      <c r="M622" s="43"/>
      <c r="N622" s="43"/>
      <c r="O622" s="43"/>
      <c r="P622" s="43"/>
      <c r="Q622" s="43"/>
    </row>
    <row r="623" spans="1:17" x14ac:dyDescent="0.25">
      <c r="A623" s="40">
        <v>621</v>
      </c>
      <c r="B623" s="43" t="s">
        <v>1628</v>
      </c>
      <c r="C623" s="43" t="s">
        <v>1699</v>
      </c>
      <c r="D623" s="43" t="s">
        <v>1427</v>
      </c>
      <c r="E623" s="43"/>
      <c r="F623" s="42"/>
      <c r="G623" s="42"/>
      <c r="H623" s="42"/>
      <c r="I623" s="42"/>
      <c r="J623" s="42">
        <v>2</v>
      </c>
      <c r="K623" s="43" t="s">
        <v>274</v>
      </c>
      <c r="L623" s="43" t="s">
        <v>1628</v>
      </c>
      <c r="M623" s="43"/>
      <c r="N623" s="43"/>
      <c r="O623" s="43"/>
      <c r="P623" s="43"/>
      <c r="Q623" s="43"/>
    </row>
    <row r="624" spans="1:17" x14ac:dyDescent="0.25">
      <c r="A624" s="40">
        <v>622</v>
      </c>
      <c r="B624" s="43" t="s">
        <v>1629</v>
      </c>
      <c r="C624" s="43" t="s">
        <v>1700</v>
      </c>
      <c r="D624" s="43" t="s">
        <v>1427</v>
      </c>
      <c r="E624" s="43"/>
      <c r="F624" s="42"/>
      <c r="G624" s="42"/>
      <c r="H624" s="42"/>
      <c r="I624" s="42"/>
      <c r="J624" s="42">
        <v>2</v>
      </c>
      <c r="K624" s="43" t="s">
        <v>130</v>
      </c>
      <c r="L624" s="43" t="s">
        <v>1629</v>
      </c>
      <c r="M624" s="43"/>
      <c r="N624" s="43"/>
      <c r="O624" s="43"/>
      <c r="P624" s="43"/>
      <c r="Q624" s="43"/>
    </row>
    <row r="625" spans="1:17" x14ac:dyDescent="0.25">
      <c r="A625" s="40">
        <v>623</v>
      </c>
      <c r="B625" s="43" t="s">
        <v>1633</v>
      </c>
      <c r="C625" s="43" t="s">
        <v>1701</v>
      </c>
      <c r="D625" s="43" t="s">
        <v>1427</v>
      </c>
      <c r="E625" s="43"/>
      <c r="F625" s="42"/>
      <c r="G625" s="42"/>
      <c r="H625" s="42"/>
      <c r="I625" s="42"/>
      <c r="J625" s="42">
        <v>2</v>
      </c>
      <c r="K625" s="43" t="s">
        <v>388</v>
      </c>
      <c r="L625" s="43" t="s">
        <v>1633</v>
      </c>
      <c r="M625" s="43"/>
      <c r="N625" s="43"/>
      <c r="O625" s="43"/>
      <c r="P625" s="43"/>
      <c r="Q625" s="43"/>
    </row>
    <row r="626" spans="1:17" x14ac:dyDescent="0.25">
      <c r="A626" s="40">
        <v>624</v>
      </c>
      <c r="B626" s="43" t="s">
        <v>1634</v>
      </c>
      <c r="C626" s="43" t="s">
        <v>1702</v>
      </c>
      <c r="D626" s="43" t="s">
        <v>1427</v>
      </c>
      <c r="E626" s="43"/>
      <c r="F626" s="42"/>
      <c r="G626" s="42"/>
      <c r="H626" s="42"/>
      <c r="I626" s="42"/>
      <c r="J626" s="42">
        <v>2</v>
      </c>
      <c r="K626" s="43" t="s">
        <v>206</v>
      </c>
      <c r="L626" s="43" t="s">
        <v>1634</v>
      </c>
      <c r="M626" s="43"/>
      <c r="N626" s="43"/>
      <c r="O626" s="43"/>
      <c r="P626" s="43"/>
      <c r="Q626" s="43"/>
    </row>
    <row r="627" spans="1:17" x14ac:dyDescent="0.25">
      <c r="A627" s="40">
        <v>625</v>
      </c>
      <c r="B627" s="43" t="s">
        <v>1635</v>
      </c>
      <c r="C627" s="43" t="s">
        <v>1703</v>
      </c>
      <c r="D627" s="43" t="s">
        <v>1427</v>
      </c>
      <c r="E627" s="43"/>
      <c r="F627" s="42"/>
      <c r="G627" s="42"/>
      <c r="H627" s="42"/>
      <c r="I627" s="42"/>
      <c r="J627" s="42">
        <v>2</v>
      </c>
      <c r="K627" s="43" t="s">
        <v>452</v>
      </c>
      <c r="L627" s="43" t="s">
        <v>1635</v>
      </c>
      <c r="M627" s="43"/>
      <c r="N627" s="43"/>
      <c r="O627" s="43"/>
      <c r="P627" s="43"/>
      <c r="Q627" s="43"/>
    </row>
    <row r="628" spans="1:17" x14ac:dyDescent="0.25">
      <c r="A628" s="40">
        <v>626</v>
      </c>
      <c r="B628" s="43" t="s">
        <v>1636</v>
      </c>
      <c r="C628" s="43" t="s">
        <v>1704</v>
      </c>
      <c r="D628" s="43" t="s">
        <v>1427</v>
      </c>
      <c r="E628" s="43"/>
      <c r="F628" s="42"/>
      <c r="G628" s="42"/>
      <c r="H628" s="42"/>
      <c r="I628" s="42"/>
      <c r="J628" s="42">
        <v>2</v>
      </c>
      <c r="K628" s="43" t="s">
        <v>210</v>
      </c>
      <c r="L628" s="43" t="s">
        <v>1636</v>
      </c>
      <c r="M628" s="43"/>
      <c r="N628" s="43"/>
      <c r="O628" s="43"/>
      <c r="P628" s="43"/>
      <c r="Q628" s="43"/>
    </row>
    <row r="629" spans="1:17" x14ac:dyDescent="0.25">
      <c r="A629" s="40">
        <v>627</v>
      </c>
      <c r="B629" s="43" t="s">
        <v>1637</v>
      </c>
      <c r="C629" s="43" t="s">
        <v>1705</v>
      </c>
      <c r="D629" s="43" t="s">
        <v>1427</v>
      </c>
      <c r="E629" s="43"/>
      <c r="F629" s="42"/>
      <c r="G629" s="42"/>
      <c r="H629" s="42"/>
      <c r="I629" s="42"/>
      <c r="J629" s="42">
        <v>2</v>
      </c>
      <c r="K629" s="43" t="s">
        <v>1561</v>
      </c>
      <c r="L629" s="43" t="s">
        <v>1637</v>
      </c>
      <c r="M629" s="43"/>
      <c r="N629" s="43"/>
      <c r="O629" s="43"/>
      <c r="P629" s="43"/>
      <c r="Q629" s="43"/>
    </row>
    <row r="630" spans="1:17" x14ac:dyDescent="0.25">
      <c r="A630" s="40">
        <v>628</v>
      </c>
      <c r="B630" s="43" t="s">
        <v>1638</v>
      </c>
      <c r="C630" s="43" t="s">
        <v>1706</v>
      </c>
      <c r="D630" s="43" t="s">
        <v>1427</v>
      </c>
      <c r="E630" s="43"/>
      <c r="F630" s="42"/>
      <c r="G630" s="42"/>
      <c r="H630" s="42"/>
      <c r="I630" s="42"/>
      <c r="J630" s="42">
        <v>2</v>
      </c>
      <c r="K630" s="43" t="s">
        <v>25</v>
      </c>
      <c r="L630" s="43" t="s">
        <v>1638</v>
      </c>
      <c r="M630" s="43"/>
      <c r="N630" s="43"/>
      <c r="O630" s="43"/>
      <c r="P630" s="43"/>
      <c r="Q630" s="43"/>
    </row>
    <row r="631" spans="1:17" x14ac:dyDescent="0.25">
      <c r="A631" s="40">
        <v>629</v>
      </c>
      <c r="B631" s="43" t="s">
        <v>1631</v>
      </c>
      <c r="C631" s="43" t="s">
        <v>1707</v>
      </c>
      <c r="D631" s="43" t="s">
        <v>1427</v>
      </c>
      <c r="E631" s="43"/>
      <c r="F631" s="42"/>
      <c r="G631" s="42"/>
      <c r="H631" s="42"/>
      <c r="I631" s="42"/>
      <c r="J631" s="42">
        <v>2</v>
      </c>
      <c r="K631" s="43" t="s">
        <v>168</v>
      </c>
      <c r="L631" s="43" t="s">
        <v>1631</v>
      </c>
      <c r="M631" s="43"/>
      <c r="N631" s="43"/>
      <c r="O631" s="43"/>
      <c r="P631" s="43"/>
      <c r="Q631" s="43"/>
    </row>
    <row r="632" spans="1:17" x14ac:dyDescent="0.25">
      <c r="A632" s="40">
        <v>630</v>
      </c>
      <c r="B632" s="43" t="s">
        <v>1713</v>
      </c>
      <c r="C632" s="43" t="s">
        <v>1719</v>
      </c>
      <c r="D632" s="43" t="s">
        <v>1427</v>
      </c>
      <c r="E632" s="43"/>
      <c r="F632" s="42"/>
      <c r="G632" s="42"/>
      <c r="H632" s="42"/>
      <c r="I632" s="42"/>
      <c r="J632" s="42">
        <v>2</v>
      </c>
      <c r="K632" s="43" t="s">
        <v>530</v>
      </c>
      <c r="L632" s="43" t="s">
        <v>1713</v>
      </c>
      <c r="M632" s="43"/>
      <c r="N632" s="43"/>
      <c r="O632" s="43"/>
      <c r="P632" s="43"/>
      <c r="Q632" s="43"/>
    </row>
    <row r="633" spans="1:17" x14ac:dyDescent="0.25">
      <c r="A633" s="40">
        <v>631</v>
      </c>
      <c r="B633" s="43" t="s">
        <v>1714</v>
      </c>
      <c r="C633" s="43" t="s">
        <v>1720</v>
      </c>
      <c r="D633" s="43" t="s">
        <v>1427</v>
      </c>
      <c r="E633" s="43"/>
      <c r="F633" s="42"/>
      <c r="G633" s="42"/>
      <c r="H633" s="42"/>
      <c r="I633" s="42"/>
      <c r="J633" s="42">
        <v>2</v>
      </c>
      <c r="K633" s="43" t="s">
        <v>305</v>
      </c>
      <c r="L633" s="43" t="s">
        <v>1714</v>
      </c>
      <c r="M633" s="43"/>
      <c r="N633" s="43"/>
      <c r="O633" s="43"/>
      <c r="P633" s="43"/>
      <c r="Q633" s="43"/>
    </row>
    <row r="634" spans="1:17" x14ac:dyDescent="0.25">
      <c r="A634" s="40">
        <v>632</v>
      </c>
      <c r="B634" s="43" t="s">
        <v>1715</v>
      </c>
      <c r="C634" s="43" t="s">
        <v>1721</v>
      </c>
      <c r="D634" s="43" t="s">
        <v>1427</v>
      </c>
      <c r="E634" s="43"/>
      <c r="F634" s="42"/>
      <c r="G634" s="42"/>
      <c r="H634" s="42"/>
      <c r="I634" s="42"/>
      <c r="J634" s="42">
        <v>2</v>
      </c>
      <c r="K634" s="43" t="s">
        <v>167</v>
      </c>
      <c r="L634" s="43" t="s">
        <v>1715</v>
      </c>
      <c r="M634" s="43"/>
      <c r="N634" s="43"/>
      <c r="O634" s="43"/>
      <c r="P634" s="43"/>
      <c r="Q634" s="43"/>
    </row>
    <row r="635" spans="1:17" x14ac:dyDescent="0.25">
      <c r="A635" s="40">
        <v>633</v>
      </c>
      <c r="B635" s="43" t="s">
        <v>1716</v>
      </c>
      <c r="C635" s="43" t="s">
        <v>1722</v>
      </c>
      <c r="D635" s="43" t="s">
        <v>1454</v>
      </c>
      <c r="E635" s="43"/>
      <c r="F635" s="42"/>
      <c r="G635" s="42"/>
      <c r="H635" s="42"/>
      <c r="I635" s="42"/>
      <c r="J635" s="42"/>
      <c r="K635" s="43"/>
      <c r="L635" s="43"/>
      <c r="M635" s="43" t="s">
        <v>198</v>
      </c>
      <c r="N635" s="43" t="s">
        <v>1716</v>
      </c>
      <c r="O635" s="43" t="s">
        <v>1454</v>
      </c>
      <c r="P635" s="43"/>
      <c r="Q635" s="43"/>
    </row>
    <row r="636" spans="1:17" x14ac:dyDescent="0.25">
      <c r="A636" s="40">
        <v>634</v>
      </c>
      <c r="B636" s="43" t="s">
        <v>1717</v>
      </c>
      <c r="C636" s="43" t="s">
        <v>1723</v>
      </c>
      <c r="D636" s="43" t="s">
        <v>1427</v>
      </c>
      <c r="E636" s="43"/>
      <c r="F636" s="42"/>
      <c r="G636" s="42"/>
      <c r="H636" s="42"/>
      <c r="I636" s="42"/>
      <c r="J636" s="42">
        <v>2</v>
      </c>
      <c r="K636" s="43" t="s">
        <v>1497</v>
      </c>
      <c r="L636" s="43" t="s">
        <v>1717</v>
      </c>
      <c r="M636" s="43"/>
      <c r="N636" s="43"/>
      <c r="O636" s="43"/>
      <c r="P636" s="43"/>
      <c r="Q636" s="43"/>
    </row>
    <row r="637" spans="1:17" x14ac:dyDescent="0.25">
      <c r="A637" s="40">
        <v>635</v>
      </c>
      <c r="B637" s="43" t="s">
        <v>1718</v>
      </c>
      <c r="C637" s="43" t="s">
        <v>1724</v>
      </c>
      <c r="D637" s="43" t="s">
        <v>1427</v>
      </c>
      <c r="E637" s="43"/>
      <c r="F637" s="42"/>
      <c r="G637" s="42"/>
      <c r="H637" s="42"/>
      <c r="I637" s="42"/>
      <c r="J637" s="42">
        <v>2</v>
      </c>
      <c r="K637" s="43" t="s">
        <v>25</v>
      </c>
      <c r="L637" s="43" t="s">
        <v>1718</v>
      </c>
      <c r="M637" s="43"/>
      <c r="N637" s="43"/>
      <c r="O637" s="43"/>
      <c r="P637" s="43"/>
      <c r="Q637" s="43"/>
    </row>
    <row r="638" spans="1:17" x14ac:dyDescent="0.25">
      <c r="A638" s="40">
        <v>636</v>
      </c>
      <c r="B638" s="43" t="s">
        <v>2327</v>
      </c>
      <c r="C638" s="43" t="s">
        <v>2338</v>
      </c>
      <c r="D638" s="43" t="s">
        <v>1427</v>
      </c>
      <c r="E638" s="43"/>
      <c r="F638" s="42"/>
      <c r="G638" s="42"/>
      <c r="H638" s="42"/>
      <c r="I638" s="42"/>
      <c r="J638" s="42">
        <v>2</v>
      </c>
      <c r="K638" s="43" t="s">
        <v>381</v>
      </c>
      <c r="L638" s="43" t="s">
        <v>2327</v>
      </c>
      <c r="M638" s="43"/>
      <c r="N638" s="43"/>
      <c r="O638" s="43"/>
      <c r="P638" s="50"/>
      <c r="Q638" s="43"/>
    </row>
    <row r="639" spans="1:17" x14ac:dyDescent="0.25">
      <c r="A639" s="40">
        <v>637</v>
      </c>
      <c r="B639" s="43" t="s">
        <v>2328</v>
      </c>
      <c r="C639" s="43" t="s">
        <v>2339</v>
      </c>
      <c r="D639" s="43" t="s">
        <v>1427</v>
      </c>
      <c r="E639" s="43"/>
      <c r="F639" s="42"/>
      <c r="G639" s="42"/>
      <c r="H639" s="42"/>
      <c r="I639" s="42"/>
      <c r="J639" s="42">
        <v>2</v>
      </c>
      <c r="K639" s="43" t="s">
        <v>331</v>
      </c>
      <c r="L639" s="43" t="s">
        <v>2328</v>
      </c>
      <c r="M639" s="43"/>
      <c r="N639" s="43"/>
      <c r="O639" s="43"/>
      <c r="P639" s="50"/>
      <c r="Q639" s="43"/>
    </row>
    <row r="640" spans="1:17" x14ac:dyDescent="0.25">
      <c r="A640" s="40">
        <v>638</v>
      </c>
      <c r="B640" s="43" t="s">
        <v>2323</v>
      </c>
      <c r="C640" s="43" t="s">
        <v>2340</v>
      </c>
      <c r="D640" s="43" t="s">
        <v>1427</v>
      </c>
      <c r="E640" s="43"/>
      <c r="F640" s="42"/>
      <c r="G640" s="42"/>
      <c r="H640" s="42"/>
      <c r="I640" s="42"/>
      <c r="J640" s="42">
        <v>2</v>
      </c>
      <c r="K640" s="43" t="s">
        <v>463</v>
      </c>
      <c r="L640" s="43" t="s">
        <v>2323</v>
      </c>
      <c r="M640" s="43"/>
      <c r="N640" s="43"/>
      <c r="O640" s="43"/>
      <c r="P640" s="50"/>
      <c r="Q640" s="43"/>
    </row>
    <row r="641" spans="1:17" x14ac:dyDescent="0.25">
      <c r="A641" s="40">
        <v>639</v>
      </c>
      <c r="B641" s="43" t="s">
        <v>2324</v>
      </c>
      <c r="C641" s="43" t="s">
        <v>2341</v>
      </c>
      <c r="D641" s="43" t="s">
        <v>1427</v>
      </c>
      <c r="E641" s="43"/>
      <c r="F641" s="42"/>
      <c r="G641" s="42"/>
      <c r="H641" s="42"/>
      <c r="I641" s="42"/>
      <c r="J641" s="42">
        <v>2</v>
      </c>
      <c r="K641" s="43" t="s">
        <v>201</v>
      </c>
      <c r="L641" s="43" t="s">
        <v>2324</v>
      </c>
      <c r="M641" s="43"/>
      <c r="N641" s="43"/>
      <c r="O641" s="43"/>
      <c r="P641" s="50"/>
      <c r="Q641" s="43"/>
    </row>
    <row r="642" spans="1:17" x14ac:dyDescent="0.25">
      <c r="A642" s="40">
        <v>640</v>
      </c>
      <c r="B642" s="43" t="s">
        <v>2329</v>
      </c>
      <c r="C642" s="43" t="s">
        <v>2342</v>
      </c>
      <c r="D642" s="43" t="s">
        <v>1427</v>
      </c>
      <c r="E642" s="43"/>
      <c r="F642" s="42"/>
      <c r="G642" s="42"/>
      <c r="H642" s="42"/>
      <c r="I642" s="42"/>
      <c r="J642" s="42">
        <v>2</v>
      </c>
      <c r="K642" s="43" t="s">
        <v>51</v>
      </c>
      <c r="L642" s="43" t="s">
        <v>2329</v>
      </c>
      <c r="M642" s="43"/>
      <c r="N642" s="43"/>
      <c r="O642" s="43"/>
      <c r="P642" s="50"/>
      <c r="Q642" s="43"/>
    </row>
    <row r="643" spans="1:17" x14ac:dyDescent="0.25">
      <c r="A643" s="40">
        <v>641</v>
      </c>
      <c r="B643" s="43" t="s">
        <v>2330</v>
      </c>
      <c r="C643" s="43" t="s">
        <v>2343</v>
      </c>
      <c r="D643" s="43" t="s">
        <v>1427</v>
      </c>
      <c r="E643" s="43"/>
      <c r="F643" s="42"/>
      <c r="G643" s="42"/>
      <c r="H643" s="42"/>
      <c r="I643" s="42"/>
      <c r="J643" s="42">
        <v>2</v>
      </c>
      <c r="K643" s="43" t="s">
        <v>172</v>
      </c>
      <c r="L643" s="43" t="s">
        <v>2330</v>
      </c>
      <c r="M643" s="43"/>
      <c r="N643" s="43"/>
      <c r="O643" s="43"/>
      <c r="P643" s="50"/>
      <c r="Q643" s="43"/>
    </row>
    <row r="644" spans="1:17" x14ac:dyDescent="0.25">
      <c r="A644" s="40">
        <v>642</v>
      </c>
      <c r="B644" s="43" t="s">
        <v>2331</v>
      </c>
      <c r="C644" s="43" t="s">
        <v>2344</v>
      </c>
      <c r="D644" s="43" t="s">
        <v>1427</v>
      </c>
      <c r="E644" s="43"/>
      <c r="F644" s="42"/>
      <c r="G644" s="42"/>
      <c r="H644" s="42"/>
      <c r="I644" s="42"/>
      <c r="J644" s="42">
        <v>2</v>
      </c>
      <c r="K644" s="43" t="s">
        <v>479</v>
      </c>
      <c r="L644" s="43" t="s">
        <v>2331</v>
      </c>
      <c r="M644" s="43"/>
      <c r="N644" s="43"/>
      <c r="O644" s="43"/>
      <c r="P644" s="50"/>
      <c r="Q644" s="43"/>
    </row>
    <row r="645" spans="1:17" x14ac:dyDescent="0.25">
      <c r="A645" s="40">
        <v>643</v>
      </c>
      <c r="B645" s="43" t="s">
        <v>2332</v>
      </c>
      <c r="C645" s="43" t="s">
        <v>2345</v>
      </c>
      <c r="D645" s="43" t="s">
        <v>1427</v>
      </c>
      <c r="E645" s="43"/>
      <c r="F645" s="42"/>
      <c r="G645" s="42"/>
      <c r="H645" s="42"/>
      <c r="I645" s="42"/>
      <c r="J645" s="42">
        <v>2</v>
      </c>
      <c r="K645" s="43" t="s">
        <v>251</v>
      </c>
      <c r="L645" s="43" t="s">
        <v>2332</v>
      </c>
      <c r="M645" s="43"/>
      <c r="N645" s="43"/>
      <c r="O645" s="43"/>
      <c r="P645" s="50"/>
      <c r="Q645" s="43"/>
    </row>
    <row r="646" spans="1:17" x14ac:dyDescent="0.25">
      <c r="A646" s="40">
        <v>644</v>
      </c>
      <c r="B646" s="43" t="s">
        <v>2333</v>
      </c>
      <c r="C646" s="43" t="s">
        <v>2346</v>
      </c>
      <c r="D646" s="43" t="s">
        <v>1427</v>
      </c>
      <c r="E646" s="43"/>
      <c r="F646" s="42"/>
      <c r="G646" s="42"/>
      <c r="H646" s="42"/>
      <c r="I646" s="42"/>
      <c r="J646" s="42">
        <v>2</v>
      </c>
      <c r="K646" s="43" t="s">
        <v>367</v>
      </c>
      <c r="L646" s="43" t="s">
        <v>2333</v>
      </c>
      <c r="M646" s="43"/>
      <c r="N646" s="43"/>
      <c r="O646" s="43"/>
      <c r="P646" s="50"/>
      <c r="Q646" s="43"/>
    </row>
    <row r="647" spans="1:17" x14ac:dyDescent="0.25">
      <c r="A647" s="40">
        <v>645</v>
      </c>
      <c r="B647" s="43" t="s">
        <v>2325</v>
      </c>
      <c r="C647" s="43" t="s">
        <v>2347</v>
      </c>
      <c r="D647" s="43" t="s">
        <v>1427</v>
      </c>
      <c r="E647" s="43"/>
      <c r="F647" s="42"/>
      <c r="G647" s="42"/>
      <c r="H647" s="42"/>
      <c r="I647" s="42"/>
      <c r="J647" s="42">
        <v>2</v>
      </c>
      <c r="K647" s="43" t="s">
        <v>238</v>
      </c>
      <c r="L647" s="43" t="s">
        <v>2325</v>
      </c>
      <c r="M647" s="43"/>
      <c r="N647" s="43"/>
      <c r="O647" s="43"/>
      <c r="P647" s="50"/>
      <c r="Q647" s="43"/>
    </row>
    <row r="648" spans="1:17" x14ac:dyDescent="0.25">
      <c r="A648" s="40">
        <v>646</v>
      </c>
      <c r="B648" s="43" t="s">
        <v>2326</v>
      </c>
      <c r="C648" s="43" t="s">
        <v>2348</v>
      </c>
      <c r="D648" s="43" t="s">
        <v>1427</v>
      </c>
      <c r="E648" s="43"/>
      <c r="F648" s="42"/>
      <c r="G648" s="42"/>
      <c r="H648" s="42"/>
      <c r="I648" s="42"/>
      <c r="J648" s="42">
        <v>2</v>
      </c>
      <c r="K648" s="43" t="s">
        <v>7</v>
      </c>
      <c r="L648" s="43" t="s">
        <v>2326</v>
      </c>
      <c r="M648" s="43"/>
      <c r="N648" s="43"/>
      <c r="O648" s="43"/>
      <c r="P648" s="50"/>
      <c r="Q648" s="43"/>
    </row>
    <row r="649" spans="1:17" x14ac:dyDescent="0.25">
      <c r="A649" s="40">
        <v>647</v>
      </c>
      <c r="B649" s="43" t="s">
        <v>2398</v>
      </c>
      <c r="C649" s="43" t="s">
        <v>2349</v>
      </c>
      <c r="D649" s="43" t="s">
        <v>1427</v>
      </c>
      <c r="E649" s="43"/>
      <c r="F649" s="42"/>
      <c r="G649" s="42"/>
      <c r="H649" s="42"/>
      <c r="I649" s="42"/>
      <c r="J649" s="42">
        <v>2</v>
      </c>
      <c r="K649" s="43" t="s">
        <v>2429</v>
      </c>
      <c r="L649" s="43" t="s">
        <v>2398</v>
      </c>
      <c r="M649" s="43"/>
      <c r="N649" s="43"/>
      <c r="O649" s="43"/>
      <c r="P649" s="43"/>
      <c r="Q649" s="43"/>
    </row>
    <row r="650" spans="1:17" x14ac:dyDescent="0.25">
      <c r="A650" s="40">
        <v>648</v>
      </c>
      <c r="B650" s="43" t="s">
        <v>2404</v>
      </c>
      <c r="C650" s="43" t="s">
        <v>2351</v>
      </c>
      <c r="D650" s="43" t="s">
        <v>1427</v>
      </c>
      <c r="E650" s="43"/>
      <c r="F650" s="42"/>
      <c r="G650" s="42"/>
      <c r="H650" s="42"/>
      <c r="I650" s="42"/>
      <c r="J650" s="42">
        <v>2</v>
      </c>
      <c r="K650" s="43" t="s">
        <v>2430</v>
      </c>
      <c r="L650" s="43" t="s">
        <v>2404</v>
      </c>
      <c r="M650" s="43"/>
      <c r="N650" s="43"/>
      <c r="O650" s="43"/>
      <c r="P650" s="43"/>
      <c r="Q650" s="43"/>
    </row>
    <row r="651" spans="1:17" x14ac:dyDescent="0.25">
      <c r="A651" s="40">
        <v>649</v>
      </c>
      <c r="B651" s="43" t="s">
        <v>2405</v>
      </c>
      <c r="C651" s="43" t="s">
        <v>2352</v>
      </c>
      <c r="D651" s="43" t="s">
        <v>1427</v>
      </c>
      <c r="E651" s="43"/>
      <c r="F651" s="42"/>
      <c r="G651" s="42"/>
      <c r="H651" s="42"/>
      <c r="I651" s="42"/>
      <c r="J651" s="42">
        <v>2</v>
      </c>
      <c r="K651" s="43" t="s">
        <v>1561</v>
      </c>
      <c r="L651" s="43" t="s">
        <v>2405</v>
      </c>
      <c r="M651" s="43"/>
      <c r="N651" s="43"/>
      <c r="O651" s="43"/>
      <c r="P651" s="43"/>
      <c r="Q651" s="43"/>
    </row>
    <row r="652" spans="1:17" x14ac:dyDescent="0.25">
      <c r="A652" s="40">
        <v>650</v>
      </c>
      <c r="B652" s="43" t="s">
        <v>2403</v>
      </c>
      <c r="C652" s="43" t="s">
        <v>2431</v>
      </c>
      <c r="D652" s="43" t="s">
        <v>1427</v>
      </c>
      <c r="E652" s="43"/>
      <c r="F652" s="42"/>
      <c r="G652" s="42"/>
      <c r="H652" s="42"/>
      <c r="I652" s="42"/>
      <c r="J652" s="42">
        <v>2</v>
      </c>
      <c r="K652" s="43" t="s">
        <v>2430</v>
      </c>
      <c r="L652" s="43" t="s">
        <v>2403</v>
      </c>
      <c r="M652" s="43"/>
      <c r="N652" s="43"/>
      <c r="O652" s="43"/>
      <c r="P652" s="43"/>
      <c r="Q652" s="43"/>
    </row>
    <row r="653" spans="1:17" x14ac:dyDescent="0.25">
      <c r="A653" s="40">
        <v>651</v>
      </c>
      <c r="B653" s="43" t="s">
        <v>2406</v>
      </c>
      <c r="C653" s="43" t="s">
        <v>2353</v>
      </c>
      <c r="D653" s="43" t="s">
        <v>1427</v>
      </c>
      <c r="E653" s="43"/>
      <c r="F653" s="42"/>
      <c r="G653" s="42"/>
      <c r="H653" s="42"/>
      <c r="I653" s="42"/>
      <c r="J653" s="42">
        <v>2</v>
      </c>
      <c r="K653" s="43" t="s">
        <v>2432</v>
      </c>
      <c r="L653" s="43" t="s">
        <v>2406</v>
      </c>
      <c r="M653" s="43"/>
      <c r="N653" s="43"/>
      <c r="O653" s="43"/>
      <c r="P653" s="43"/>
      <c r="Q653" s="43"/>
    </row>
    <row r="654" spans="1:17" x14ac:dyDescent="0.25">
      <c r="A654" s="40">
        <v>652</v>
      </c>
      <c r="B654" s="43" t="s">
        <v>2396</v>
      </c>
      <c r="C654" s="43" t="s">
        <v>1681</v>
      </c>
      <c r="D654" s="43" t="s">
        <v>1427</v>
      </c>
      <c r="E654" s="43"/>
      <c r="F654" s="42"/>
      <c r="G654" s="42"/>
      <c r="H654" s="42"/>
      <c r="I654" s="42"/>
      <c r="J654" s="42">
        <v>2</v>
      </c>
      <c r="K654" s="43" t="s">
        <v>1555</v>
      </c>
      <c r="L654" s="43" t="s">
        <v>2396</v>
      </c>
      <c r="M654" s="43"/>
      <c r="N654" s="43"/>
      <c r="O654" s="43"/>
      <c r="P654" s="43"/>
      <c r="Q654" s="43"/>
    </row>
    <row r="655" spans="1:17" x14ac:dyDescent="0.25">
      <c r="A655" s="40">
        <v>653</v>
      </c>
      <c r="B655" s="43" t="s">
        <v>2399</v>
      </c>
      <c r="C655" s="43" t="s">
        <v>1681</v>
      </c>
      <c r="D655" s="43" t="s">
        <v>1427</v>
      </c>
      <c r="E655" s="43"/>
      <c r="F655" s="42"/>
      <c r="G655" s="42"/>
      <c r="H655" s="42"/>
      <c r="I655" s="42"/>
      <c r="J655" s="42">
        <v>2</v>
      </c>
      <c r="K655" s="43" t="s">
        <v>1584</v>
      </c>
      <c r="L655" s="43" t="s">
        <v>2399</v>
      </c>
      <c r="M655" s="43"/>
      <c r="N655" s="43"/>
      <c r="O655" s="43"/>
      <c r="P655" s="43"/>
      <c r="Q655" s="43"/>
    </row>
    <row r="656" spans="1:17" x14ac:dyDescent="0.25">
      <c r="A656" s="40">
        <v>654</v>
      </c>
      <c r="B656" s="43" t="s">
        <v>2407</v>
      </c>
      <c r="C656" s="43" t="s">
        <v>2433</v>
      </c>
      <c r="D656" s="43" t="s">
        <v>1427</v>
      </c>
      <c r="E656" s="43"/>
      <c r="F656" s="42"/>
      <c r="G656" s="42"/>
      <c r="H656" s="42"/>
      <c r="I656" s="42"/>
      <c r="J656" s="42">
        <v>2</v>
      </c>
      <c r="K656" s="43" t="s">
        <v>1565</v>
      </c>
      <c r="L656" s="43" t="s">
        <v>2407</v>
      </c>
      <c r="M656" s="43"/>
      <c r="N656" s="43"/>
      <c r="O656" s="43"/>
      <c r="P656" s="43"/>
      <c r="Q656" s="43"/>
    </row>
    <row r="657" spans="1:17" x14ac:dyDescent="0.25">
      <c r="A657" s="40">
        <v>655</v>
      </c>
      <c r="B657" s="43" t="s">
        <v>2354</v>
      </c>
      <c r="C657" s="43" t="s">
        <v>1681</v>
      </c>
      <c r="D657" s="43" t="s">
        <v>1427</v>
      </c>
      <c r="E657" s="43"/>
      <c r="F657" s="42"/>
      <c r="G657" s="42"/>
      <c r="H657" s="42"/>
      <c r="I657" s="42"/>
      <c r="J657" s="42">
        <v>2</v>
      </c>
      <c r="K657" s="43" t="s">
        <v>1516</v>
      </c>
      <c r="L657" s="43" t="s">
        <v>2354</v>
      </c>
      <c r="M657" s="43"/>
      <c r="N657" s="43"/>
      <c r="O657" s="43"/>
      <c r="P657" s="43"/>
      <c r="Q657" s="43"/>
    </row>
    <row r="658" spans="1:17" x14ac:dyDescent="0.25">
      <c r="A658" s="40">
        <v>656</v>
      </c>
      <c r="B658" s="43" t="s">
        <v>2415</v>
      </c>
      <c r="C658" s="43" t="s">
        <v>1681</v>
      </c>
      <c r="D658" s="43" t="s">
        <v>1427</v>
      </c>
      <c r="E658" s="43"/>
      <c r="F658" s="42"/>
      <c r="G658" s="42"/>
      <c r="H658" s="42"/>
      <c r="I658" s="42"/>
      <c r="J658" s="42">
        <v>2</v>
      </c>
      <c r="K658" s="43" t="s">
        <v>280</v>
      </c>
      <c r="L658" s="43" t="s">
        <v>2415</v>
      </c>
      <c r="M658" s="43"/>
      <c r="N658" s="43"/>
      <c r="O658" s="43"/>
      <c r="P658" s="43"/>
      <c r="Q658" s="43"/>
    </row>
    <row r="659" spans="1:17" s="52" customFormat="1" x14ac:dyDescent="0.25">
      <c r="A659" s="40">
        <v>657</v>
      </c>
      <c r="B659" s="43" t="s">
        <v>2417</v>
      </c>
      <c r="C659" s="43" t="s">
        <v>1681</v>
      </c>
      <c r="D659" s="43" t="s">
        <v>1427</v>
      </c>
      <c r="E659" s="43"/>
      <c r="F659" s="42"/>
      <c r="G659" s="42"/>
      <c r="H659" s="42"/>
      <c r="I659" s="42"/>
      <c r="J659" s="42">
        <v>2</v>
      </c>
      <c r="K659" s="43" t="s">
        <v>227</v>
      </c>
      <c r="L659" s="43" t="s">
        <v>2417</v>
      </c>
      <c r="M659" s="43"/>
      <c r="N659" s="43"/>
      <c r="O659" s="43"/>
      <c r="P659" s="43"/>
      <c r="Q659" s="43"/>
    </row>
    <row r="660" spans="1:17" s="52" customFormat="1" x14ac:dyDescent="0.25">
      <c r="A660" s="40">
        <v>658</v>
      </c>
      <c r="B660" s="43" t="s">
        <v>2416</v>
      </c>
      <c r="C660" s="43" t="s">
        <v>1681</v>
      </c>
      <c r="D660" s="43" t="s">
        <v>1427</v>
      </c>
      <c r="E660" s="43"/>
      <c r="F660" s="42"/>
      <c r="G660" s="42"/>
      <c r="H660" s="42"/>
      <c r="I660" s="42"/>
      <c r="J660" s="42">
        <v>2</v>
      </c>
      <c r="K660" s="43" t="s">
        <v>313</v>
      </c>
      <c r="L660" s="43" t="s">
        <v>2416</v>
      </c>
      <c r="M660" s="43"/>
      <c r="N660" s="43"/>
      <c r="O660" s="43"/>
      <c r="P660" s="43"/>
      <c r="Q660" s="43"/>
    </row>
    <row r="661" spans="1:17" s="52" customFormat="1" x14ac:dyDescent="0.25">
      <c r="A661" s="40">
        <v>659</v>
      </c>
      <c r="B661" s="43" t="s">
        <v>2413</v>
      </c>
      <c r="C661" s="43" t="s">
        <v>2434</v>
      </c>
      <c r="D661" s="43" t="s">
        <v>1427</v>
      </c>
      <c r="E661" s="43"/>
      <c r="F661" s="42"/>
      <c r="G661" s="42"/>
      <c r="H661" s="42"/>
      <c r="I661" s="42"/>
      <c r="J661" s="42">
        <v>2</v>
      </c>
      <c r="K661" s="43" t="s">
        <v>566</v>
      </c>
      <c r="L661" s="43" t="s">
        <v>2413</v>
      </c>
      <c r="M661" s="43"/>
      <c r="N661" s="43"/>
      <c r="O661" s="43"/>
      <c r="P661" s="43"/>
      <c r="Q661" s="43"/>
    </row>
    <row r="662" spans="1:17" s="52" customFormat="1" x14ac:dyDescent="0.25">
      <c r="A662" s="40">
        <v>660</v>
      </c>
      <c r="B662" s="90" t="s">
        <v>2529</v>
      </c>
      <c r="C662" s="43" t="s">
        <v>1681</v>
      </c>
      <c r="D662" s="43" t="s">
        <v>1427</v>
      </c>
      <c r="E662" s="43"/>
      <c r="F662" s="42"/>
      <c r="G662" s="42"/>
      <c r="H662" s="42"/>
      <c r="I662" s="42"/>
      <c r="J662" s="42">
        <v>2</v>
      </c>
      <c r="K662" s="43" t="s">
        <v>120</v>
      </c>
      <c r="L662" s="43" t="s">
        <v>2529</v>
      </c>
      <c r="M662" s="43"/>
      <c r="N662" s="43"/>
      <c r="O662" s="43"/>
      <c r="P662" s="43"/>
      <c r="Q662" s="43"/>
    </row>
    <row r="663" spans="1:17" s="52" customFormat="1" x14ac:dyDescent="0.25">
      <c r="A663" s="40">
        <v>661</v>
      </c>
      <c r="B663" s="43" t="s">
        <v>2527</v>
      </c>
      <c r="C663" s="43" t="s">
        <v>1681</v>
      </c>
      <c r="D663" s="43" t="s">
        <v>1427</v>
      </c>
      <c r="E663" s="43"/>
      <c r="F663" s="42"/>
      <c r="G663" s="42"/>
      <c r="H663" s="42"/>
      <c r="I663" s="42"/>
      <c r="J663" s="42">
        <v>2</v>
      </c>
      <c r="K663" s="43" t="s">
        <v>1521</v>
      </c>
      <c r="L663" s="43" t="s">
        <v>2527</v>
      </c>
      <c r="M663" s="43"/>
      <c r="N663" s="43"/>
      <c r="O663" s="43"/>
      <c r="P663" s="43"/>
      <c r="Q663" s="43"/>
    </row>
    <row r="664" spans="1:17" s="52" customFormat="1" x14ac:dyDescent="0.25">
      <c r="A664" s="40">
        <v>662</v>
      </c>
      <c r="B664" s="90" t="s">
        <v>2548</v>
      </c>
      <c r="C664" s="43" t="s">
        <v>1681</v>
      </c>
      <c r="D664" s="43" t="s">
        <v>1427</v>
      </c>
      <c r="E664" s="43"/>
      <c r="F664" s="42"/>
      <c r="G664" s="42"/>
      <c r="H664" s="42"/>
      <c r="I664" s="42"/>
      <c r="J664" s="42">
        <v>2</v>
      </c>
      <c r="K664" s="43" t="s">
        <v>1491</v>
      </c>
      <c r="L664" s="43" t="s">
        <v>2414</v>
      </c>
      <c r="M664" s="43"/>
      <c r="N664" s="43"/>
      <c r="O664" s="43"/>
      <c r="P664" s="43"/>
      <c r="Q664" s="43"/>
    </row>
    <row r="665" spans="1:17" s="52" customFormat="1" x14ac:dyDescent="0.25">
      <c r="A665" s="40">
        <v>663</v>
      </c>
      <c r="B665" s="90" t="s">
        <v>2528</v>
      </c>
      <c r="C665" s="43" t="s">
        <v>1681</v>
      </c>
      <c r="D665" s="43" t="s">
        <v>1427</v>
      </c>
      <c r="E665" s="43"/>
      <c r="F665" s="42"/>
      <c r="G665" s="42"/>
      <c r="H665" s="42"/>
      <c r="I665" s="42"/>
      <c r="J665" s="42">
        <v>2</v>
      </c>
      <c r="K665" s="43" t="s">
        <v>1548</v>
      </c>
      <c r="L665" s="43" t="s">
        <v>2528</v>
      </c>
      <c r="M665" s="43"/>
      <c r="N665" s="43"/>
      <c r="O665" s="43"/>
      <c r="P665" s="43"/>
      <c r="Q665" s="43"/>
    </row>
    <row r="666" spans="1:17" x14ac:dyDescent="0.25">
      <c r="A666" s="40">
        <v>664</v>
      </c>
      <c r="B666" s="43" t="s">
        <v>2412</v>
      </c>
      <c r="C666" s="43" t="s">
        <v>1681</v>
      </c>
      <c r="D666" s="43" t="s">
        <v>1427</v>
      </c>
      <c r="E666" s="43"/>
      <c r="F666" s="42"/>
      <c r="G666" s="42"/>
      <c r="H666" s="42"/>
      <c r="I666" s="42"/>
      <c r="J666" s="42">
        <v>2</v>
      </c>
      <c r="K666" s="43" t="s">
        <v>1556</v>
      </c>
      <c r="L666" s="43" t="s">
        <v>2350</v>
      </c>
      <c r="M666" s="43"/>
      <c r="N666" s="43"/>
      <c r="O666" s="43"/>
      <c r="P666" s="43"/>
      <c r="Q666" s="43"/>
    </row>
    <row r="667" spans="1:17" x14ac:dyDescent="0.25">
      <c r="A667" s="40">
        <v>665</v>
      </c>
      <c r="B667" s="90" t="s">
        <v>2526</v>
      </c>
      <c r="C667" s="43" t="s">
        <v>1681</v>
      </c>
      <c r="D667" s="43" t="s">
        <v>1427</v>
      </c>
      <c r="E667" s="43"/>
      <c r="F667" s="42"/>
      <c r="G667" s="42"/>
      <c r="H667" s="42"/>
      <c r="I667" s="42"/>
      <c r="J667" s="42">
        <v>2</v>
      </c>
      <c r="K667" s="43" t="s">
        <v>209</v>
      </c>
      <c r="L667" s="43" t="s">
        <v>2526</v>
      </c>
      <c r="M667" s="43"/>
      <c r="N667" s="43"/>
      <c r="O667" s="43"/>
      <c r="P667" s="43"/>
      <c r="Q667" s="43"/>
    </row>
    <row r="668" spans="1:17" x14ac:dyDescent="0.25">
      <c r="A668" s="40">
        <v>666</v>
      </c>
      <c r="B668" s="43" t="s">
        <v>2355</v>
      </c>
      <c r="C668" s="43" t="s">
        <v>1681</v>
      </c>
      <c r="D668" s="43" t="s">
        <v>1427</v>
      </c>
      <c r="E668" s="43"/>
      <c r="F668" s="42"/>
      <c r="G668" s="42"/>
      <c r="H668" s="42"/>
      <c r="I668" s="42"/>
      <c r="J668" s="42">
        <v>2</v>
      </c>
      <c r="K668" s="43" t="s">
        <v>254</v>
      </c>
      <c r="L668" s="43" t="s">
        <v>2355</v>
      </c>
      <c r="M668" s="43"/>
      <c r="N668" s="43"/>
      <c r="O668" s="43"/>
      <c r="P668" s="43"/>
      <c r="Q668" s="43"/>
    </row>
    <row r="669" spans="1:17" x14ac:dyDescent="0.25">
      <c r="A669" s="40">
        <v>667</v>
      </c>
      <c r="B669" s="92" t="s">
        <v>2456</v>
      </c>
      <c r="C669" s="92" t="s">
        <v>1681</v>
      </c>
      <c r="D669" s="92" t="s">
        <v>1427</v>
      </c>
      <c r="E669" s="92"/>
      <c r="F669" s="93"/>
      <c r="G669" s="93"/>
      <c r="H669" s="93"/>
      <c r="I669" s="93"/>
      <c r="J669" s="93">
        <v>1</v>
      </c>
      <c r="K669" s="94" t="s">
        <v>1555</v>
      </c>
      <c r="L669" s="92" t="s">
        <v>2456</v>
      </c>
    </row>
    <row r="670" spans="1:17" x14ac:dyDescent="0.25">
      <c r="A670" s="40">
        <v>668</v>
      </c>
      <c r="B670" s="92" t="s">
        <v>2492</v>
      </c>
      <c r="C670" s="92" t="s">
        <v>1681</v>
      </c>
      <c r="D670" s="92" t="s">
        <v>1427</v>
      </c>
      <c r="E670" s="92"/>
      <c r="F670" s="93"/>
      <c r="G670" s="93"/>
      <c r="H670" s="93"/>
      <c r="I670" s="93"/>
      <c r="J670" s="93">
        <v>1</v>
      </c>
      <c r="K670" s="94" t="s">
        <v>1499</v>
      </c>
      <c r="L670" s="92" t="s">
        <v>2492</v>
      </c>
    </row>
    <row r="671" spans="1:17" x14ac:dyDescent="0.25">
      <c r="A671" s="40">
        <v>669</v>
      </c>
      <c r="B671" s="92" t="s">
        <v>2494</v>
      </c>
      <c r="C671" s="92" t="s">
        <v>1681</v>
      </c>
      <c r="D671" s="92" t="s">
        <v>1427</v>
      </c>
      <c r="E671" s="92"/>
      <c r="F671" s="93"/>
      <c r="G671" s="93"/>
      <c r="H671" s="93"/>
      <c r="I671" s="93"/>
      <c r="J671" s="93">
        <v>1</v>
      </c>
      <c r="K671" s="94" t="s">
        <v>1521</v>
      </c>
      <c r="L671" s="92" t="s">
        <v>2494</v>
      </c>
    </row>
    <row r="672" spans="1:17" x14ac:dyDescent="0.25">
      <c r="A672" s="40">
        <v>670</v>
      </c>
      <c r="B672" s="92" t="s">
        <v>2458</v>
      </c>
      <c r="C672" s="92" t="s">
        <v>1681</v>
      </c>
      <c r="D672" s="92" t="s">
        <v>1427</v>
      </c>
      <c r="E672" s="92"/>
      <c r="F672" s="93"/>
      <c r="G672" s="93"/>
      <c r="H672" s="93"/>
      <c r="I672" s="93"/>
      <c r="J672" s="93">
        <v>1</v>
      </c>
      <c r="K672" s="94" t="s">
        <v>1440</v>
      </c>
      <c r="L672" s="92" t="s">
        <v>2458</v>
      </c>
    </row>
    <row r="673" spans="1:12" x14ac:dyDescent="0.25">
      <c r="A673" s="40">
        <v>671</v>
      </c>
      <c r="B673" s="92" t="s">
        <v>2472</v>
      </c>
      <c r="C673" s="92" t="s">
        <v>1681</v>
      </c>
      <c r="D673" s="92" t="s">
        <v>1427</v>
      </c>
      <c r="E673" s="92"/>
      <c r="F673" s="93"/>
      <c r="G673" s="93"/>
      <c r="H673" s="93"/>
      <c r="I673" s="93"/>
      <c r="J673" s="93">
        <v>1</v>
      </c>
      <c r="K673" s="94" t="s">
        <v>2513</v>
      </c>
      <c r="L673" s="92" t="s">
        <v>2472</v>
      </c>
    </row>
    <row r="674" spans="1:12" x14ac:dyDescent="0.25">
      <c r="A674" s="40">
        <v>672</v>
      </c>
      <c r="B674" s="92" t="s">
        <v>2500</v>
      </c>
      <c r="C674" s="92" t="s">
        <v>1681</v>
      </c>
      <c r="D674" s="92" t="s">
        <v>1427</v>
      </c>
      <c r="E674" s="92"/>
      <c r="F674" s="93"/>
      <c r="G674" s="93"/>
      <c r="H674" s="93"/>
      <c r="I674" s="93"/>
      <c r="J674" s="93">
        <v>1</v>
      </c>
      <c r="K674" s="94" t="s">
        <v>1516</v>
      </c>
      <c r="L674" s="92" t="s">
        <v>2500</v>
      </c>
    </row>
    <row r="675" spans="1:12" x14ac:dyDescent="0.25">
      <c r="A675" s="40">
        <v>673</v>
      </c>
      <c r="B675" s="92" t="s">
        <v>2474</v>
      </c>
      <c r="C675" s="92" t="s">
        <v>1681</v>
      </c>
      <c r="D675" s="92" t="s">
        <v>1427</v>
      </c>
      <c r="E675" s="92"/>
      <c r="F675" s="93"/>
      <c r="G675" s="93"/>
      <c r="H675" s="93"/>
      <c r="I675" s="93"/>
      <c r="J675" s="93">
        <v>1</v>
      </c>
      <c r="K675" s="94" t="s">
        <v>1442</v>
      </c>
      <c r="L675" s="92" t="s">
        <v>2474</v>
      </c>
    </row>
    <row r="676" spans="1:12" x14ac:dyDescent="0.25">
      <c r="A676" s="40">
        <v>674</v>
      </c>
      <c r="B676" s="92" t="s">
        <v>2476</v>
      </c>
      <c r="C676" s="92" t="s">
        <v>1681</v>
      </c>
      <c r="D676" s="92" t="s">
        <v>1427</v>
      </c>
      <c r="E676" s="92"/>
      <c r="F676" s="93"/>
      <c r="G676" s="93"/>
      <c r="H676" s="93"/>
      <c r="I676" s="93"/>
      <c r="J676" s="93">
        <v>1</v>
      </c>
      <c r="K676" s="94" t="s">
        <v>1493</v>
      </c>
      <c r="L676" s="92" t="s">
        <v>2476</v>
      </c>
    </row>
    <row r="677" spans="1:12" x14ac:dyDescent="0.25">
      <c r="A677" s="40">
        <v>675</v>
      </c>
      <c r="B677" s="92" t="s">
        <v>2514</v>
      </c>
      <c r="C677" s="92" t="s">
        <v>1681</v>
      </c>
      <c r="D677" s="92" t="s">
        <v>1427</v>
      </c>
      <c r="E677" s="92"/>
      <c r="F677" s="93"/>
      <c r="G677" s="93"/>
      <c r="H677" s="93"/>
      <c r="I677" s="93"/>
      <c r="J677" s="93">
        <v>1</v>
      </c>
      <c r="K677" s="94" t="s">
        <v>2515</v>
      </c>
      <c r="L677" s="92" t="s">
        <v>2514</v>
      </c>
    </row>
    <row r="678" spans="1:12" x14ac:dyDescent="0.25">
      <c r="A678" s="40">
        <v>676</v>
      </c>
      <c r="B678" s="92" t="s">
        <v>2502</v>
      </c>
      <c r="C678" s="92" t="s">
        <v>1681</v>
      </c>
      <c r="D678" s="92" t="s">
        <v>1427</v>
      </c>
      <c r="E678" s="92"/>
      <c r="F678" s="93"/>
      <c r="G678" s="93"/>
      <c r="H678" s="93"/>
      <c r="I678" s="93"/>
      <c r="J678" s="93">
        <v>1</v>
      </c>
      <c r="K678" s="94" t="s">
        <v>2516</v>
      </c>
      <c r="L678" s="92" t="s">
        <v>2502</v>
      </c>
    </row>
    <row r="679" spans="1:12" x14ac:dyDescent="0.25">
      <c r="A679" s="40">
        <v>677</v>
      </c>
      <c r="B679" s="92" t="s">
        <v>2506</v>
      </c>
      <c r="C679" s="92" t="s">
        <v>1681</v>
      </c>
      <c r="D679" s="92" t="s">
        <v>1427</v>
      </c>
      <c r="E679" s="92"/>
      <c r="F679" s="93"/>
      <c r="G679" s="93"/>
      <c r="H679" s="93"/>
      <c r="I679" s="93"/>
      <c r="J679" s="93">
        <v>1</v>
      </c>
      <c r="K679" s="94" t="s">
        <v>1542</v>
      </c>
      <c r="L679" s="92" t="s">
        <v>2506</v>
      </c>
    </row>
    <row r="680" spans="1:12" x14ac:dyDescent="0.25">
      <c r="A680" s="40">
        <v>678</v>
      </c>
      <c r="B680" s="92" t="s">
        <v>2460</v>
      </c>
      <c r="C680" s="92" t="s">
        <v>1681</v>
      </c>
      <c r="D680" s="92" t="s">
        <v>1427</v>
      </c>
      <c r="E680" s="92"/>
      <c r="F680" s="93"/>
      <c r="G680" s="93"/>
      <c r="H680" s="93"/>
      <c r="I680" s="93"/>
      <c r="J680" s="93">
        <v>1</v>
      </c>
      <c r="K680" s="94" t="s">
        <v>2360</v>
      </c>
      <c r="L680" s="92" t="s">
        <v>2460</v>
      </c>
    </row>
    <row r="681" spans="1:12" x14ac:dyDescent="0.25">
      <c r="A681" s="40">
        <v>679</v>
      </c>
      <c r="B681" s="92" t="s">
        <v>2478</v>
      </c>
      <c r="C681" s="92" t="s">
        <v>1681</v>
      </c>
      <c r="D681" s="92" t="s">
        <v>1427</v>
      </c>
      <c r="E681" s="92"/>
      <c r="F681" s="93"/>
      <c r="G681" s="93"/>
      <c r="H681" s="93"/>
      <c r="I681" s="93"/>
      <c r="J681" s="93">
        <v>1</v>
      </c>
      <c r="K681" s="94" t="s">
        <v>799</v>
      </c>
      <c r="L681" s="92" t="s">
        <v>2478</v>
      </c>
    </row>
    <row r="682" spans="1:12" x14ac:dyDescent="0.25">
      <c r="A682" s="40">
        <v>680</v>
      </c>
      <c r="B682" s="92" t="s">
        <v>2480</v>
      </c>
      <c r="C682" s="92" t="s">
        <v>1681</v>
      </c>
      <c r="D682" s="92" t="s">
        <v>1427</v>
      </c>
      <c r="E682" s="92"/>
      <c r="F682" s="93"/>
      <c r="G682" s="93"/>
      <c r="H682" s="93"/>
      <c r="I682" s="93"/>
      <c r="J682" s="93">
        <v>1</v>
      </c>
      <c r="K682" s="94" t="s">
        <v>1552</v>
      </c>
      <c r="L682" s="92" t="s">
        <v>2480</v>
      </c>
    </row>
    <row r="683" spans="1:12" x14ac:dyDescent="0.25">
      <c r="A683" s="40">
        <v>681</v>
      </c>
      <c r="B683" s="92" t="s">
        <v>2482</v>
      </c>
      <c r="C683" s="92" t="s">
        <v>1681</v>
      </c>
      <c r="D683" s="92" t="s">
        <v>1427</v>
      </c>
      <c r="E683" s="92"/>
      <c r="F683" s="93"/>
      <c r="G683" s="93"/>
      <c r="H683" s="93"/>
      <c r="I683" s="93"/>
      <c r="J683" s="93">
        <v>1</v>
      </c>
      <c r="K683" s="94" t="s">
        <v>1548</v>
      </c>
      <c r="L683" s="92" t="s">
        <v>2482</v>
      </c>
    </row>
    <row r="684" spans="1:12" x14ac:dyDescent="0.25">
      <c r="A684" s="40">
        <v>682</v>
      </c>
      <c r="B684" s="92" t="s">
        <v>2496</v>
      </c>
      <c r="C684" s="92" t="s">
        <v>1681</v>
      </c>
      <c r="D684" s="92" t="s">
        <v>1427</v>
      </c>
      <c r="E684" s="92"/>
      <c r="F684" s="93"/>
      <c r="G684" s="93"/>
      <c r="H684" s="93"/>
      <c r="I684" s="93"/>
      <c r="J684" s="93">
        <v>1</v>
      </c>
      <c r="K684" s="94" t="s">
        <v>1515</v>
      </c>
      <c r="L684" s="92" t="s">
        <v>2496</v>
      </c>
    </row>
    <row r="685" spans="1:12" x14ac:dyDescent="0.25">
      <c r="A685" s="40">
        <v>683</v>
      </c>
      <c r="B685" s="92" t="s">
        <v>2498</v>
      </c>
      <c r="C685" s="92" t="s">
        <v>1681</v>
      </c>
      <c r="D685" s="92" t="s">
        <v>1427</v>
      </c>
      <c r="E685" s="92"/>
      <c r="F685" s="93"/>
      <c r="G685" s="93"/>
      <c r="H685" s="93"/>
      <c r="I685" s="93"/>
      <c r="J685" s="93">
        <v>1</v>
      </c>
      <c r="K685" s="94" t="s">
        <v>805</v>
      </c>
      <c r="L685" s="92" t="s">
        <v>2498</v>
      </c>
    </row>
    <row r="686" spans="1:12" x14ac:dyDescent="0.25">
      <c r="A686" s="40">
        <v>684</v>
      </c>
      <c r="B686" s="92" t="s">
        <v>2504</v>
      </c>
      <c r="C686" s="92" t="s">
        <v>1681</v>
      </c>
      <c r="D686" s="92" t="s">
        <v>1427</v>
      </c>
      <c r="E686" s="92"/>
      <c r="F686" s="93"/>
      <c r="G686" s="93"/>
      <c r="H686" s="93"/>
      <c r="I686" s="93"/>
      <c r="J686" s="93">
        <v>1</v>
      </c>
      <c r="K686" s="94" t="s">
        <v>1472</v>
      </c>
      <c r="L686" s="92" t="s">
        <v>2504</v>
      </c>
    </row>
    <row r="687" spans="1:12" x14ac:dyDescent="0.25">
      <c r="A687" s="40">
        <v>685</v>
      </c>
      <c r="B687" s="92" t="s">
        <v>2508</v>
      </c>
      <c r="C687" s="92" t="s">
        <v>1681</v>
      </c>
      <c r="D687" s="92" t="s">
        <v>1427</v>
      </c>
      <c r="E687" s="92"/>
      <c r="F687" s="93"/>
      <c r="G687" s="93"/>
      <c r="H687" s="93"/>
      <c r="I687" s="93"/>
      <c r="J687" s="93">
        <v>1</v>
      </c>
      <c r="K687" s="94" t="s">
        <v>2372</v>
      </c>
      <c r="L687" s="92" t="s">
        <v>2508</v>
      </c>
    </row>
    <row r="688" spans="1:12" x14ac:dyDescent="0.25">
      <c r="A688" s="40">
        <v>686</v>
      </c>
      <c r="B688" s="92" t="s">
        <v>2462</v>
      </c>
      <c r="C688" s="92" t="s">
        <v>1681</v>
      </c>
      <c r="D688" s="92" t="s">
        <v>1427</v>
      </c>
      <c r="E688" s="92"/>
      <c r="F688" s="93"/>
      <c r="G688" s="93"/>
      <c r="H688" s="93"/>
      <c r="I688" s="93"/>
      <c r="J688" s="93">
        <v>1</v>
      </c>
      <c r="K688" s="94" t="s">
        <v>1481</v>
      </c>
      <c r="L688" s="92" t="s">
        <v>2462</v>
      </c>
    </row>
    <row r="689" spans="1:12" x14ac:dyDescent="0.25">
      <c r="A689" s="40">
        <v>687</v>
      </c>
      <c r="B689" s="92" t="s">
        <v>2464</v>
      </c>
      <c r="C689" s="92" t="s">
        <v>1681</v>
      </c>
      <c r="D689" s="92" t="s">
        <v>1427</v>
      </c>
      <c r="E689" s="92"/>
      <c r="F689" s="93"/>
      <c r="G689" s="93"/>
      <c r="H689" s="93"/>
      <c r="I689" s="93"/>
      <c r="J689" s="93">
        <v>1</v>
      </c>
      <c r="K689" s="94" t="s">
        <v>1477</v>
      </c>
      <c r="L689" s="92" t="s">
        <v>2464</v>
      </c>
    </row>
    <row r="690" spans="1:12" x14ac:dyDescent="0.25">
      <c r="A690" s="40">
        <v>688</v>
      </c>
      <c r="B690" s="92" t="s">
        <v>2466</v>
      </c>
      <c r="C690" s="92" t="s">
        <v>1681</v>
      </c>
      <c r="D690" s="92" t="s">
        <v>1427</v>
      </c>
      <c r="E690" s="92"/>
      <c r="F690" s="93"/>
      <c r="G690" s="93"/>
      <c r="H690" s="93"/>
      <c r="I690" s="93"/>
      <c r="J690" s="93">
        <v>1</v>
      </c>
      <c r="K690" s="94" t="s">
        <v>2517</v>
      </c>
      <c r="L690" s="92" t="s">
        <v>2466</v>
      </c>
    </row>
    <row r="691" spans="1:12" x14ac:dyDescent="0.25">
      <c r="A691" s="40">
        <v>689</v>
      </c>
      <c r="B691" s="92" t="s">
        <v>2468</v>
      </c>
      <c r="C691" s="92" t="s">
        <v>1681</v>
      </c>
      <c r="D691" s="92" t="s">
        <v>1427</v>
      </c>
      <c r="E691" s="92"/>
      <c r="F691" s="93"/>
      <c r="G691" s="93"/>
      <c r="H691" s="93"/>
      <c r="I691" s="93"/>
      <c r="J691" s="93">
        <v>1</v>
      </c>
      <c r="K691" s="94" t="s">
        <v>2518</v>
      </c>
      <c r="L691" s="92" t="s">
        <v>2468</v>
      </c>
    </row>
    <row r="692" spans="1:12" x14ac:dyDescent="0.25">
      <c r="A692" s="40">
        <v>690</v>
      </c>
      <c r="B692" s="92" t="s">
        <v>2470</v>
      </c>
      <c r="C692" s="92" t="s">
        <v>1681</v>
      </c>
      <c r="D692" s="92" t="s">
        <v>1427</v>
      </c>
      <c r="E692" s="92"/>
      <c r="F692" s="93"/>
      <c r="G692" s="93"/>
      <c r="H692" s="93"/>
      <c r="I692" s="93"/>
      <c r="J692" s="93">
        <v>1</v>
      </c>
      <c r="K692" s="94" t="s">
        <v>2432</v>
      </c>
      <c r="L692" s="92" t="s">
        <v>2470</v>
      </c>
    </row>
    <row r="693" spans="1:12" x14ac:dyDescent="0.25">
      <c r="A693" s="40">
        <v>691</v>
      </c>
      <c r="B693" s="92" t="s">
        <v>2484</v>
      </c>
      <c r="C693" s="92" t="s">
        <v>1681</v>
      </c>
      <c r="D693" s="92" t="s">
        <v>1427</v>
      </c>
      <c r="E693" s="92"/>
      <c r="F693" s="93"/>
      <c r="G693" s="93"/>
      <c r="H693" s="93"/>
      <c r="I693" s="93"/>
      <c r="J693" s="93">
        <v>1</v>
      </c>
      <c r="K693" s="94" t="s">
        <v>800</v>
      </c>
      <c r="L693" s="92" t="s">
        <v>2484</v>
      </c>
    </row>
    <row r="694" spans="1:12" x14ac:dyDescent="0.25">
      <c r="A694" s="40">
        <v>692</v>
      </c>
      <c r="B694" s="92" t="s">
        <v>2486</v>
      </c>
      <c r="C694" s="92" t="s">
        <v>1681</v>
      </c>
      <c r="D694" s="92" t="s">
        <v>1427</v>
      </c>
      <c r="E694" s="92"/>
      <c r="F694" s="93"/>
      <c r="G694" s="93"/>
      <c r="H694" s="93"/>
      <c r="I694" s="93"/>
      <c r="J694" s="93">
        <v>1</v>
      </c>
      <c r="K694" s="94" t="s">
        <v>1548</v>
      </c>
      <c r="L694" s="92" t="s">
        <v>2486</v>
      </c>
    </row>
    <row r="695" spans="1:12" x14ac:dyDescent="0.25">
      <c r="A695" s="40">
        <v>693</v>
      </c>
      <c r="B695" s="92" t="s">
        <v>2525</v>
      </c>
      <c r="C695" s="92" t="s">
        <v>1681</v>
      </c>
      <c r="D695" s="92" t="s">
        <v>1427</v>
      </c>
      <c r="E695" s="92"/>
      <c r="F695" s="93"/>
      <c r="G695" s="93"/>
      <c r="H695" s="93"/>
      <c r="I695" s="93"/>
      <c r="J695" s="93">
        <v>1</v>
      </c>
      <c r="K695" s="94" t="s">
        <v>1513</v>
      </c>
      <c r="L695" s="92" t="s">
        <v>2525</v>
      </c>
    </row>
    <row r="696" spans="1:12" x14ac:dyDescent="0.25">
      <c r="A696" s="40">
        <v>694</v>
      </c>
      <c r="B696" s="92" t="s">
        <v>2488</v>
      </c>
      <c r="C696" s="92" t="s">
        <v>1681</v>
      </c>
      <c r="D696" s="92" t="s">
        <v>1427</v>
      </c>
      <c r="E696" s="92"/>
      <c r="F696" s="93"/>
      <c r="G696" s="93"/>
      <c r="H696" s="93"/>
      <c r="I696" s="93"/>
      <c r="J696" s="93">
        <v>1</v>
      </c>
      <c r="K696" s="94" t="s">
        <v>1521</v>
      </c>
      <c r="L696" s="92" t="s">
        <v>2488</v>
      </c>
    </row>
    <row r="697" spans="1:12" x14ac:dyDescent="0.25">
      <c r="A697" s="40">
        <v>695</v>
      </c>
      <c r="B697" s="92" t="s">
        <v>2490</v>
      </c>
      <c r="C697" s="92" t="s">
        <v>1681</v>
      </c>
      <c r="D697" s="92" t="s">
        <v>1427</v>
      </c>
      <c r="E697" s="92"/>
      <c r="F697" s="93"/>
      <c r="G697" s="93"/>
      <c r="H697" s="93"/>
      <c r="I697" s="93"/>
      <c r="J697" s="93">
        <v>1</v>
      </c>
      <c r="K697" s="94" t="s">
        <v>1491</v>
      </c>
      <c r="L697" s="92" t="s">
        <v>2490</v>
      </c>
    </row>
  </sheetData>
  <autoFilter ref="A2:R637" xr:uid="{85753DC9-8EFF-44C6-9735-0E3EE2B7A41E}"/>
  <mergeCells count="11">
    <mergeCell ref="A1:A2"/>
    <mergeCell ref="B1:B2"/>
    <mergeCell ref="C1:C2"/>
    <mergeCell ref="D1:D2"/>
    <mergeCell ref="E1:E2"/>
    <mergeCell ref="Q1:Q2"/>
    <mergeCell ref="F1:F2"/>
    <mergeCell ref="G1:I1"/>
    <mergeCell ref="J1:L1"/>
    <mergeCell ref="M1:O1"/>
    <mergeCell ref="P1:P2"/>
  </mergeCells>
  <conditionalFormatting sqref="C590:C596">
    <cfRule type="duplicateValues" dxfId="106" priority="1"/>
    <cfRule type="duplicateValues" dxfId="105" priority="2"/>
    <cfRule type="duplicateValues" dxfId="104" priority="3"/>
    <cfRule type="duplicateValues" dxfId="103" priority="4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42D0-B4A3-4034-8330-5FB4134DE5B9}">
  <dimension ref="A1:Q34"/>
  <sheetViews>
    <sheetView topLeftCell="A14" zoomScale="90" zoomScaleNormal="90" workbookViewId="0">
      <selection activeCell="O9" sqref="O9"/>
    </sheetView>
  </sheetViews>
  <sheetFormatPr defaultColWidth="16.5703125" defaultRowHeight="15" x14ac:dyDescent="0.25"/>
  <cols>
    <col min="1" max="1" width="7.5703125" style="96" customWidth="1"/>
    <col min="2" max="2" width="16.5703125" style="95" bestFit="1" customWidth="1"/>
    <col min="3" max="3" width="18" style="95" hidden="1" customWidth="1"/>
    <col min="4" max="4" width="19.5703125" style="121" bestFit="1" customWidth="1"/>
    <col min="5" max="5" width="13.42578125" style="95" hidden="1" customWidth="1"/>
    <col min="6" max="6" width="19.7109375" style="95" hidden="1" customWidth="1"/>
    <col min="7" max="7" width="17" style="95" hidden="1" customWidth="1"/>
    <col min="8" max="8" width="18.5703125" style="95" hidden="1" customWidth="1"/>
    <col min="9" max="11" width="16.5703125" style="95" hidden="1" customWidth="1"/>
    <col min="12" max="12" width="16.5703125" style="96" hidden="1" customWidth="1"/>
    <col min="13" max="13" width="12.7109375" style="96" hidden="1" customWidth="1"/>
    <col min="14" max="14" width="32.28515625" style="96" bestFit="1" customWidth="1"/>
    <col min="15" max="15" width="25.7109375" style="96" customWidth="1"/>
    <col min="16" max="17" width="16.5703125" style="95"/>
    <col min="18" max="16384" width="16.5703125" style="96"/>
  </cols>
  <sheetData>
    <row r="1" spans="1:17" ht="20.25" x14ac:dyDescent="0.3">
      <c r="A1" s="150" t="s">
        <v>2530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</row>
    <row r="2" spans="1:17" ht="30.95" customHeight="1" x14ac:dyDescent="0.3">
      <c r="A2" s="122" t="s">
        <v>0</v>
      </c>
      <c r="B2" s="122" t="s">
        <v>2381</v>
      </c>
      <c r="C2" s="122" t="s">
        <v>1727</v>
      </c>
      <c r="D2" s="123" t="s">
        <v>1708</v>
      </c>
      <c r="E2" s="122" t="s">
        <v>1644</v>
      </c>
      <c r="F2" s="122" t="s">
        <v>1623</v>
      </c>
      <c r="G2" s="122" t="s">
        <v>1642</v>
      </c>
      <c r="H2" s="122" t="s">
        <v>1423</v>
      </c>
      <c r="I2" s="122" t="s">
        <v>1424</v>
      </c>
      <c r="J2" s="122" t="s">
        <v>2523</v>
      </c>
      <c r="K2" s="122" t="s">
        <v>1728</v>
      </c>
      <c r="L2" s="122" t="s">
        <v>1729</v>
      </c>
      <c r="M2" s="122" t="s">
        <v>1730</v>
      </c>
      <c r="N2" s="122" t="s">
        <v>2524</v>
      </c>
      <c r="O2" s="122" t="s">
        <v>2522</v>
      </c>
      <c r="P2" s="95" t="s">
        <v>2539</v>
      </c>
      <c r="Q2" s="95" t="s">
        <v>2543</v>
      </c>
    </row>
    <row r="3" spans="1:17" ht="18" customHeight="1" x14ac:dyDescent="0.25">
      <c r="A3" s="107">
        <v>1</v>
      </c>
      <c r="B3" s="108" t="s">
        <v>221</v>
      </c>
      <c r="C3" s="99" t="str">
        <f>VLOOKUP(B3,Site!$B$2:$AA$1003,4,0)</f>
        <v>Nguyễn Hữu Út Mười</v>
      </c>
      <c r="D3" s="114" t="s">
        <v>2534</v>
      </c>
      <c r="E3" s="99" t="str">
        <f>VLOOKUP(B3,Site!$B$2:$AA$1003,6,0)</f>
        <v>1</v>
      </c>
      <c r="F3" s="99" t="str">
        <f>VLOOKUP(B3,Site!$B$2:$AA$1003,2,0)</f>
        <v>CTOTPU01</v>
      </c>
      <c r="G3" s="99">
        <f>VLOOKUP(B3,Site!B:K,7,0)</f>
        <v>0</v>
      </c>
      <c r="H3" s="99" t="str">
        <f>VLOOKUP(B:B,Site!B:M,9,0)</f>
        <v>Mobi chạy LD</v>
      </c>
      <c r="I3" s="99" t="str">
        <f>VLOOKUP(B3,Site!$B$2:$AA$1003,10,0)</f>
        <v>CTCD02</v>
      </c>
      <c r="J3" s="99">
        <f>VLOOKUP(B3,Site!$B$2:$AA$1003,11,0)</f>
        <v>0</v>
      </c>
      <c r="K3" s="99" t="str">
        <f>VLOOKUP(B3,Site!$B$2:$AA$1003,13,0)</f>
        <v>Mobi chạy LD</v>
      </c>
      <c r="L3" s="99">
        <f>VLOOKUP(B3,Site!$B$2:$AA$1003,16,0)</f>
        <v>0</v>
      </c>
      <c r="M3" s="99" t="str">
        <f>VLOOKUP(B3,Site!$B$2:$AA$1003,21,0)</f>
        <v>CTCD07</v>
      </c>
      <c r="N3" s="107" t="s">
        <v>2535</v>
      </c>
      <c r="O3" s="107" t="s">
        <v>813</v>
      </c>
      <c r="P3" s="95">
        <v>2</v>
      </c>
      <c r="Q3" s="95" t="s">
        <v>296</v>
      </c>
    </row>
    <row r="4" spans="1:17" ht="18" customHeight="1" x14ac:dyDescent="0.25">
      <c r="A4" s="107">
        <v>2</v>
      </c>
      <c r="B4" s="108" t="s">
        <v>235</v>
      </c>
      <c r="C4" s="99" t="str">
        <f>VLOOKUP(B4,Site!$B$2:$AA$1003,4,0)</f>
        <v>Nguyễn Hữu Út Mười</v>
      </c>
      <c r="D4" s="114" t="s">
        <v>2534</v>
      </c>
      <c r="E4" s="99" t="str">
        <f>VLOOKUP(B4,Site!$B$2:$AA$1003,6,0)</f>
        <v>2</v>
      </c>
      <c r="F4" s="99" t="str">
        <f>VLOOKUP(B4,Site!$B$2:$AA$1003,2,0)</f>
        <v>CTOTPU03</v>
      </c>
      <c r="G4" s="99">
        <f>VLOOKUP(B4,Site!B:K,7,0)</f>
        <v>0</v>
      </c>
      <c r="H4" s="99" t="str">
        <f>VLOOKUP(B:B,Site!B:M,9,0)</f>
        <v>Mobi chạy LD</v>
      </c>
      <c r="I4" s="99">
        <f>VLOOKUP(B4,Site!$B$2:$AA$1003,10,0)</f>
        <v>0</v>
      </c>
      <c r="J4" s="99">
        <f>VLOOKUP(B4,Site!$B$2:$AA$1003,11,0)</f>
        <v>0</v>
      </c>
      <c r="K4" s="99" t="str">
        <f>VLOOKUP(B4,Site!$B$2:$AA$1003,13,0)</f>
        <v>Mobi chạy LD</v>
      </c>
      <c r="L4" s="99">
        <f>VLOOKUP(B4,Site!$B$2:$AA$1003,16,0)</f>
        <v>0</v>
      </c>
      <c r="M4" s="99" t="str">
        <f>VLOOKUP(B4,Site!$B$2:$AA$1003,21,0)</f>
        <v>CTCD22</v>
      </c>
      <c r="N4" s="107" t="s">
        <v>2535</v>
      </c>
      <c r="O4" s="107" t="s">
        <v>813</v>
      </c>
      <c r="P4" s="113">
        <v>10</v>
      </c>
      <c r="Q4" s="95" t="s">
        <v>236</v>
      </c>
    </row>
    <row r="5" spans="1:17" x14ac:dyDescent="0.25">
      <c r="A5" s="101">
        <v>3</v>
      </c>
      <c r="B5" s="102" t="s">
        <v>231</v>
      </c>
      <c r="C5" s="99" t="str">
        <f>VLOOKUP(B5,Site!$B$2:$AA$1003,4,0)</f>
        <v>Nguyễn Hữu Út Mười</v>
      </c>
      <c r="D5" s="115" t="s">
        <v>2534</v>
      </c>
      <c r="E5" s="99" t="str">
        <f>VLOOKUP(B5,Site!$B$2:$AA$1003,6,0)</f>
        <v>2</v>
      </c>
      <c r="F5" s="99" t="str">
        <f>VLOOKUP(B5,Site!$B$2:$AA$1003,2,0)</f>
        <v>CTODHP02</v>
      </c>
      <c r="G5" s="99">
        <f>VLOOKUP(B5,Site!B:K,7,0)</f>
        <v>0</v>
      </c>
      <c r="H5" s="99" t="str">
        <f>VLOOKUP(B:B,Site!B:M,9,0)</f>
        <v>Mobi chạy LD</v>
      </c>
      <c r="I5" s="99">
        <f>VLOOKUP(B5,Site!$B$2:$AA$1003,10,0)</f>
        <v>0</v>
      </c>
      <c r="J5" s="99">
        <f>VLOOKUP(B5,Site!$B$2:$AA$1003,11,0)</f>
        <v>0</v>
      </c>
      <c r="K5" s="99" t="str">
        <f>VLOOKUP(B5,Site!$B$2:$AA$1003,13,0)</f>
        <v>Mobi chạy LD</v>
      </c>
      <c r="L5" s="99">
        <f>VLOOKUP(B5,Site!$B$2:$AA$1003,16,0)</f>
        <v>0</v>
      </c>
      <c r="M5" s="99" t="str">
        <f>VLOOKUP(B5,Site!$B$2:$AA$1003,21,0)</f>
        <v>CTCD18</v>
      </c>
      <c r="N5" s="101" t="s">
        <v>2535</v>
      </c>
      <c r="O5" s="101" t="s">
        <v>8</v>
      </c>
      <c r="P5" s="95" t="s">
        <v>2536</v>
      </c>
    </row>
    <row r="6" spans="1:17" x14ac:dyDescent="0.25">
      <c r="A6" s="101">
        <v>4</v>
      </c>
      <c r="B6" s="102" t="s">
        <v>219</v>
      </c>
      <c r="C6" s="99"/>
      <c r="D6" s="115" t="s">
        <v>2534</v>
      </c>
      <c r="E6" s="99" t="str">
        <f>VLOOKUP(B6,Site!$B$2:$AA$1003,6,0)</f>
        <v>2</v>
      </c>
      <c r="F6" s="99" t="str">
        <f>VLOOKUP(B6,Site!$B$2:$AA$1003,2,0)</f>
        <v>CTOTHU01</v>
      </c>
      <c r="G6" s="99">
        <f>VLOOKUP(B6,Site!B:K,7,0)</f>
        <v>0</v>
      </c>
      <c r="H6" s="99" t="str">
        <f>VLOOKUP(B:B,Site!B:M,9,0)</f>
        <v>Mobi chạy LD</v>
      </c>
      <c r="I6" s="99" t="str">
        <f>VLOOKUP(B6,Site!$B$2:$AA$1003,10,0)</f>
        <v>CTCD20</v>
      </c>
      <c r="J6" s="99">
        <f>VLOOKUP(B6,Site!$B$2:$AA$1003,11,0)</f>
        <v>0</v>
      </c>
      <c r="K6" s="99" t="str">
        <f>VLOOKUP(B6,Site!$B$2:$AA$1003,13,0)</f>
        <v>Mobi chạy LD</v>
      </c>
      <c r="L6" s="99">
        <f>VLOOKUP(B6,Site!$B$2:$AA$1003,16,0)</f>
        <v>0</v>
      </c>
      <c r="M6" s="99" t="str">
        <f>VLOOKUP(B6,Site!$B$2:$AA$1003,21,0)</f>
        <v>CTCD05</v>
      </c>
      <c r="N6" s="101" t="s">
        <v>2531</v>
      </c>
      <c r="O6" s="101" t="s">
        <v>339</v>
      </c>
    </row>
    <row r="7" spans="1:17" ht="18" customHeight="1" x14ac:dyDescent="0.25">
      <c r="A7" s="103">
        <v>5</v>
      </c>
      <c r="B7" s="104" t="s">
        <v>242</v>
      </c>
      <c r="C7" s="99" t="str">
        <f>VLOOKUP(B7,Site!$B$2:$AA$1003,4,0)</f>
        <v>Nguyễn Minh Sơn</v>
      </c>
      <c r="D7" s="116" t="s">
        <v>2534</v>
      </c>
      <c r="E7" s="99" t="str">
        <f>VLOOKUP(B7,Site!$B$2:$AA$1003,6,0)</f>
        <v>2</v>
      </c>
      <c r="F7" s="99" t="str">
        <f>VLOOKUP(B7,Site!$B$2:$AA$1003,2,0)</f>
        <v>CTOTTH01</v>
      </c>
      <c r="G7" s="99">
        <f>VLOOKUP(B7,Site!B:K,7,0)</f>
        <v>0</v>
      </c>
      <c r="H7" s="99" t="str">
        <f>VLOOKUP(B:B,Site!B:M,9,0)</f>
        <v>Mobi chạy LD</v>
      </c>
      <c r="I7" s="99">
        <f>VLOOKUP(B7,Site!$B$2:$AA$1003,10,0)</f>
        <v>0</v>
      </c>
      <c r="J7" s="99">
        <f>VLOOKUP(B7,Site!$B$2:$AA$1003,11,0)</f>
        <v>0</v>
      </c>
      <c r="K7" s="99" t="str">
        <f>VLOOKUP(B7,Site!$B$2:$AA$1003,13,0)</f>
        <v>Mobi chạy LD</v>
      </c>
      <c r="L7" s="99">
        <f>VLOOKUP(B7,Site!$B$2:$AA$1003,16,0)</f>
        <v>0</v>
      </c>
      <c r="M7" s="99" t="str">
        <f>VLOOKUP(B7,Site!$B$2:$AA$1003,21,0)</f>
        <v>CTTL04</v>
      </c>
      <c r="N7" s="103" t="s">
        <v>2531</v>
      </c>
      <c r="O7" s="103" t="s">
        <v>2512</v>
      </c>
    </row>
    <row r="8" spans="1:17" ht="18" customHeight="1" x14ac:dyDescent="0.25">
      <c r="A8" s="101">
        <v>6</v>
      </c>
      <c r="B8" s="102" t="s">
        <v>243</v>
      </c>
      <c r="C8" s="99" t="str">
        <f>VLOOKUP(B8,Site!$B$2:$AA$1003,4,0)</f>
        <v>Nguyễn Hữu Út Mười</v>
      </c>
      <c r="D8" s="115" t="s">
        <v>2534</v>
      </c>
      <c r="E8" s="99" t="str">
        <f>VLOOKUP(B8,Site!$B$2:$AA$1003,6,0)</f>
        <v>2</v>
      </c>
      <c r="F8" s="99" t="str">
        <f>VLOOKUP(B8,Site!$B$2:$AA$1003,2,0)</f>
        <v>CTOTLI02</v>
      </c>
      <c r="G8" s="99">
        <f>VLOOKUP(B8,Site!B:K,7,0)</f>
        <v>0</v>
      </c>
      <c r="H8" s="99" t="str">
        <f>VLOOKUP(B:B,Site!B:M,9,0)</f>
        <v>Mobi chạy LD</v>
      </c>
      <c r="I8" s="99">
        <f>VLOOKUP(B8,Site!$B$2:$AA$1003,10,0)</f>
        <v>0</v>
      </c>
      <c r="J8" s="99">
        <f>VLOOKUP(B8,Site!$B$2:$AA$1003,11,0)</f>
        <v>0</v>
      </c>
      <c r="K8" s="99" t="str">
        <f>VLOOKUP(B8,Site!$B$2:$AA$1003,13,0)</f>
        <v>Mobi chạy LD</v>
      </c>
      <c r="L8" s="99">
        <f>VLOOKUP(B8,Site!$B$2:$AA$1003,16,0)</f>
        <v>0</v>
      </c>
      <c r="M8" s="99" t="str">
        <f>VLOOKUP(B8,Site!$B$2:$AA$1003,21,0)</f>
        <v>CTTL05</v>
      </c>
      <c r="N8" s="101" t="s">
        <v>2531</v>
      </c>
      <c r="O8" s="101" t="s">
        <v>8</v>
      </c>
    </row>
    <row r="9" spans="1:17" ht="18" customHeight="1" x14ac:dyDescent="0.25">
      <c r="A9" s="101">
        <v>7</v>
      </c>
      <c r="B9" s="102" t="s">
        <v>244</v>
      </c>
      <c r="C9" s="99" t="str">
        <f>VLOOKUP(B9,Site!$B$2:$AA$1003,4,0)</f>
        <v>Nguyễn Minh Sơn</v>
      </c>
      <c r="D9" s="115" t="s">
        <v>2534</v>
      </c>
      <c r="E9" s="99" t="str">
        <f>VLOOKUP(B9,Site!$B$2:$AA$1003,6,0)</f>
        <v>2</v>
      </c>
      <c r="F9" s="99" t="str">
        <f>VLOOKUP(B9,Site!$B$2:$AA$1003,2,0)</f>
        <v>CTODHP05</v>
      </c>
      <c r="G9" s="99">
        <f>VLOOKUP(B9,Site!B:K,7,0)</f>
        <v>0</v>
      </c>
      <c r="H9" s="99" t="str">
        <f>VLOOKUP(B:B,Site!B:M,9,0)</f>
        <v>Mobi chạy LD</v>
      </c>
      <c r="I9" s="99">
        <f>VLOOKUP(B9,Site!$B$2:$AA$1003,10,0)</f>
        <v>0</v>
      </c>
      <c r="J9" s="99">
        <f>VLOOKUP(B9,Site!$B$2:$AA$1003,11,0)</f>
        <v>0</v>
      </c>
      <c r="K9" s="99" t="str">
        <f>VLOOKUP(B9,Site!$B$2:$AA$1003,13,0)</f>
        <v>Mobi chạy LD</v>
      </c>
      <c r="L9" s="99">
        <f>VLOOKUP(B9,Site!$B$2:$AA$1003,16,0)</f>
        <v>2</v>
      </c>
      <c r="M9" s="99">
        <f>VLOOKUP(B9,Site!$B$2:$AA$1003,21,0)</f>
        <v>0</v>
      </c>
      <c r="N9" s="101" t="s">
        <v>2535</v>
      </c>
      <c r="O9" s="101" t="s">
        <v>339</v>
      </c>
      <c r="P9" s="95">
        <v>6</v>
      </c>
      <c r="Q9" s="95" t="s">
        <v>2542</v>
      </c>
    </row>
    <row r="10" spans="1:17" ht="18" customHeight="1" x14ac:dyDescent="0.25">
      <c r="A10" s="103">
        <v>8</v>
      </c>
      <c r="B10" s="104" t="s">
        <v>248</v>
      </c>
      <c r="C10" s="99" t="str">
        <f>VLOOKUP(B10,Site!$B$2:$AA$1003,4,0)</f>
        <v>Nguyễn Minh Sơn</v>
      </c>
      <c r="D10" s="116" t="s">
        <v>2534</v>
      </c>
      <c r="E10" s="99" t="str">
        <f>VLOOKUP(B10,Site!$B$2:$AA$1003,6,0)</f>
        <v>2</v>
      </c>
      <c r="F10" s="99" t="str">
        <f>VLOOKUP(B10,Site!$B$2:$AA$1003,2,0)</f>
        <v>CTOTTH04</v>
      </c>
      <c r="G10" s="99">
        <f>VLOOKUP(B10,Site!B:K,7,0)</f>
        <v>0</v>
      </c>
      <c r="H10" s="99" t="str">
        <f>VLOOKUP(B:B,Site!B:M,9,0)</f>
        <v>Mobi chạy LD</v>
      </c>
      <c r="I10" s="99">
        <f>VLOOKUP(B10,Site!$B$2:$AA$1003,10,0)</f>
        <v>0</v>
      </c>
      <c r="J10" s="99">
        <f>VLOOKUP(B10,Site!$B$2:$AA$1003,11,0)</f>
        <v>0</v>
      </c>
      <c r="K10" s="99" t="str">
        <f>VLOOKUP(B10,Site!$B$2:$AA$1003,13,0)</f>
        <v>Mobi chạy LD</v>
      </c>
      <c r="L10" s="99">
        <f>VLOOKUP(B10,Site!$B$2:$AA$1003,16,0)</f>
        <v>0</v>
      </c>
      <c r="M10" s="99" t="str">
        <f>VLOOKUP(B10,Site!$B$2:$AA$1003,21,0)</f>
        <v>CTTL10</v>
      </c>
      <c r="N10" s="103" t="s">
        <v>2535</v>
      </c>
      <c r="O10" s="103" t="s">
        <v>2512</v>
      </c>
      <c r="P10" s="95">
        <v>5</v>
      </c>
      <c r="Q10" s="95" t="s">
        <v>287</v>
      </c>
    </row>
    <row r="11" spans="1:17" ht="18" customHeight="1" x14ac:dyDescent="0.25">
      <c r="A11" s="109">
        <v>9</v>
      </c>
      <c r="B11" s="110" t="s">
        <v>250</v>
      </c>
      <c r="C11" s="99" t="str">
        <f>VLOOKUP(B11,Site!$B$2:$AA$1003,4,0)</f>
        <v>Nguyễn Minh Sơn</v>
      </c>
      <c r="D11" s="117" t="s">
        <v>2534</v>
      </c>
      <c r="E11" s="99" t="str">
        <f>VLOOKUP(B11,Site!$B$2:$AA$1003,6,0)</f>
        <v>2</v>
      </c>
      <c r="F11" s="99" t="str">
        <f>VLOOKUP(B11,Site!$B$2:$AA$1003,2,0)</f>
        <v>CTOTXN02</v>
      </c>
      <c r="G11" s="99">
        <f>VLOOKUP(B11,Site!B:K,7,0)</f>
        <v>0</v>
      </c>
      <c r="H11" s="99" t="str">
        <f>VLOOKUP(B:B,Site!B:M,9,0)</f>
        <v>Mobi chạy LD</v>
      </c>
      <c r="I11" s="99">
        <f>VLOOKUP(B11,Site!$B$2:$AA$1003,10,0)</f>
        <v>0</v>
      </c>
      <c r="J11" s="99">
        <f>VLOOKUP(B11,Site!$B$2:$AA$1003,11,0)</f>
        <v>0</v>
      </c>
      <c r="K11" s="99" t="str">
        <f>VLOOKUP(B11,Site!$B$2:$AA$1003,13,0)</f>
        <v>Mobi chạy LD</v>
      </c>
      <c r="L11" s="99">
        <f>VLOOKUP(B11,Site!$B$2:$AA$1003,16,0)</f>
        <v>0</v>
      </c>
      <c r="M11" s="99" t="str">
        <f>VLOOKUP(B11,Site!$B$2:$AA$1003,21,0)</f>
        <v>CTTL12</v>
      </c>
      <c r="N11" s="109" t="s">
        <v>2531</v>
      </c>
      <c r="O11" s="109" t="s">
        <v>340</v>
      </c>
    </row>
    <row r="12" spans="1:17" ht="18" customHeight="1" x14ac:dyDescent="0.25">
      <c r="A12" s="111">
        <v>10</v>
      </c>
      <c r="B12" s="112" t="s">
        <v>252</v>
      </c>
      <c r="C12" s="99" t="str">
        <f>VLOOKUP(B12,Site!$B$2:$AA$1003,4,0)</f>
        <v>Nguyễn Hữu Út Mười</v>
      </c>
      <c r="D12" s="118" t="s">
        <v>2534</v>
      </c>
      <c r="E12" s="99" t="str">
        <f>VLOOKUP(B12,Site!$B$2:$AA$1003,6,0)</f>
        <v>1</v>
      </c>
      <c r="F12" s="99" t="str">
        <f>VLOOKUP(B12,Site!$B$2:$AA$1003,2,0)</f>
        <v>CTODTN03</v>
      </c>
      <c r="G12" s="99">
        <f>VLOOKUP(B12,Site!B:K,7,0)</f>
        <v>0</v>
      </c>
      <c r="H12" s="99" t="str">
        <f>VLOOKUP(B:B,Site!B:M,9,0)</f>
        <v>Mobi chạy LD</v>
      </c>
      <c r="I12" s="99">
        <f>VLOOKUP(B12,Site!$B$2:$AA$1003,10,0)</f>
        <v>0</v>
      </c>
      <c r="J12" s="99">
        <f>VLOOKUP(B12,Site!$B$2:$AA$1003,11,0)</f>
        <v>0</v>
      </c>
      <c r="K12" s="99" t="str">
        <f>VLOOKUP(B12,Site!$B$2:$AA$1003,13,0)</f>
        <v>Mobi chạy LD</v>
      </c>
      <c r="L12" s="99">
        <f>VLOOKUP(B12,Site!$B$2:$AA$1003,16,0)</f>
        <v>2</v>
      </c>
      <c r="M12" s="99">
        <f>VLOOKUP(B12,Site!$B$2:$AA$1003,21,0)</f>
        <v>0</v>
      </c>
      <c r="N12" s="111" t="s">
        <v>2535</v>
      </c>
      <c r="O12" s="111" t="s">
        <v>407</v>
      </c>
      <c r="P12" s="95" t="s">
        <v>2536</v>
      </c>
    </row>
    <row r="13" spans="1:17" ht="18" customHeight="1" x14ac:dyDescent="0.25">
      <c r="A13" s="101">
        <v>11</v>
      </c>
      <c r="B13" s="102" t="s">
        <v>255</v>
      </c>
      <c r="C13" s="99" t="str">
        <f>VLOOKUP(B13,Site!$B$2:$AA$1003,4,0)</f>
        <v>Nguyễn Minh Sơn</v>
      </c>
      <c r="D13" s="115" t="s">
        <v>2534</v>
      </c>
      <c r="E13" s="99" t="str">
        <f>VLOOKUP(B13,Site!$B$2:$AA$1003,6,0)</f>
        <v>2</v>
      </c>
      <c r="F13" s="99" t="str">
        <f>VLOOKUP(B13,Site!$B$2:$AA$1003,2,0)</f>
        <v>CTODHP06</v>
      </c>
      <c r="G13" s="99">
        <f>VLOOKUP(B13,Site!B:K,7,0)</f>
        <v>0</v>
      </c>
      <c r="H13" s="99" t="str">
        <f>VLOOKUP(B:B,Site!B:M,9,0)</f>
        <v>Mobi chạy LD</v>
      </c>
      <c r="I13" s="99">
        <f>VLOOKUP(B13,Site!$B$2:$AA$1003,10,0)</f>
        <v>0</v>
      </c>
      <c r="J13" s="99">
        <f>VLOOKUP(B13,Site!$B$2:$AA$1003,11,0)</f>
        <v>0</v>
      </c>
      <c r="K13" s="99" t="str">
        <f>VLOOKUP(B13,Site!$B$2:$AA$1003,13,0)</f>
        <v>Mobi chạy LD</v>
      </c>
      <c r="L13" s="99">
        <f>VLOOKUP(B13,Site!$B$2:$AA$1003,16,0)</f>
        <v>2</v>
      </c>
      <c r="M13" s="99">
        <f>VLOOKUP(B13,Site!$B$2:$AA$1003,21,0)</f>
        <v>0</v>
      </c>
      <c r="N13" s="101" t="s">
        <v>2535</v>
      </c>
      <c r="O13" s="101" t="s">
        <v>339</v>
      </c>
      <c r="P13" s="95" t="s">
        <v>2536</v>
      </c>
    </row>
    <row r="14" spans="1:17" x14ac:dyDescent="0.25">
      <c r="A14" s="109">
        <v>12</v>
      </c>
      <c r="B14" s="110" t="s">
        <v>256</v>
      </c>
      <c r="C14" s="99" t="str">
        <f>VLOOKUP(B14,Site!$B$2:$AA$1003,4,0)</f>
        <v>Nguyễn Minh Sơn</v>
      </c>
      <c r="D14" s="117" t="s">
        <v>2534</v>
      </c>
      <c r="E14" s="99" t="str">
        <f>VLOOKUP(B14,Site!$B$2:$AA$1003,6,0)</f>
        <v>2</v>
      </c>
      <c r="F14" s="99" t="str">
        <f>VLOOKUP(B14,Site!$B$2:$AA$1003,2,0)</f>
        <v>CTOTXN05</v>
      </c>
      <c r="G14" s="99">
        <f>VLOOKUP(B14,Site!B:K,7,0)</f>
        <v>0</v>
      </c>
      <c r="H14" s="99" t="str">
        <f>VLOOKUP(B:B,Site!B:M,9,0)</f>
        <v>Mobi chạy LD</v>
      </c>
      <c r="I14" s="99">
        <f>VLOOKUP(B14,Site!$B$2:$AA$1003,10,0)</f>
        <v>0</v>
      </c>
      <c r="J14" s="99">
        <f>VLOOKUP(B14,Site!$B$2:$AA$1003,11,0)</f>
        <v>0</v>
      </c>
      <c r="K14" s="99" t="str">
        <f>VLOOKUP(B14,Site!$B$2:$AA$1003,13,0)</f>
        <v>Mobi chạy LD</v>
      </c>
      <c r="L14" s="99">
        <f>VLOOKUP(B14,Site!$B$2:$AA$1003,16,0)</f>
        <v>2</v>
      </c>
      <c r="M14" s="99">
        <f>VLOOKUP(B14,Site!$B$2:$AA$1003,21,0)</f>
        <v>0</v>
      </c>
      <c r="N14" s="109" t="s">
        <v>2535</v>
      </c>
      <c r="O14" s="109" t="s">
        <v>340</v>
      </c>
      <c r="P14" s="95" t="s">
        <v>2540</v>
      </c>
    </row>
    <row r="15" spans="1:17" ht="18" customHeight="1" x14ac:dyDescent="0.25">
      <c r="A15" s="107">
        <v>13</v>
      </c>
      <c r="B15" s="108" t="s">
        <v>257</v>
      </c>
      <c r="C15" s="99" t="str">
        <f>VLOOKUP(B15,Site!$B$2:$AA$1003,4,0)</f>
        <v>Nguyễn Hữu Út Mười</v>
      </c>
      <c r="D15" s="114" t="s">
        <v>2534</v>
      </c>
      <c r="E15" s="99" t="str">
        <f>VLOOKUP(B15,Site!$B$2:$AA$1003,6,0)</f>
        <v>2</v>
      </c>
      <c r="F15" s="99" t="str">
        <f>VLOOKUP(B15,Site!$B$2:$AA$1003,2,0)</f>
        <v>CTOTXN06</v>
      </c>
      <c r="G15" s="99">
        <f>VLOOKUP(B15,Site!B:K,7,0)</f>
        <v>0</v>
      </c>
      <c r="H15" s="99" t="str">
        <f>VLOOKUP(B:B,Site!B:M,9,0)</f>
        <v>Mobi chạy LD</v>
      </c>
      <c r="I15" s="99">
        <f>VLOOKUP(B15,Site!$B$2:$AA$1003,10,0)</f>
        <v>0</v>
      </c>
      <c r="J15" s="99">
        <f>VLOOKUP(B15,Site!$B$2:$AA$1003,11,0)</f>
        <v>0</v>
      </c>
      <c r="K15" s="99" t="str">
        <f>VLOOKUP(B15,Site!$B$2:$AA$1003,13,0)</f>
        <v>Mobi chạy LD</v>
      </c>
      <c r="L15" s="99">
        <f>VLOOKUP(B15,Site!$B$2:$AA$1003,16,0)</f>
        <v>0</v>
      </c>
      <c r="M15" s="99" t="str">
        <f>VLOOKUP(B15,Site!$B$2:$AA$1003,21,0)</f>
        <v>CTTL19</v>
      </c>
      <c r="N15" s="107" t="s">
        <v>2535</v>
      </c>
      <c r="O15" s="107" t="s">
        <v>813</v>
      </c>
      <c r="P15" s="95">
        <v>12</v>
      </c>
      <c r="Q15" s="95" t="s">
        <v>302</v>
      </c>
    </row>
    <row r="16" spans="1:17" ht="18" customHeight="1" x14ac:dyDescent="0.25">
      <c r="A16" s="97">
        <v>14</v>
      </c>
      <c r="B16" s="98" t="s">
        <v>258</v>
      </c>
      <c r="C16" s="99" t="str">
        <f>VLOOKUP(B16,Site!$B$2:$AA$1003,4,0)</f>
        <v>Nguyễn Minh Sơn</v>
      </c>
      <c r="D16" s="119" t="s">
        <v>2534</v>
      </c>
      <c r="E16" s="99" t="str">
        <f>VLOOKUP(B16,Site!$B$2:$AA$1003,6,0)</f>
        <v>2</v>
      </c>
      <c r="F16" s="99" t="str">
        <f>VLOOKUP(B16,Site!$B$2:$AA$1003,2,0)</f>
        <v>CTOTLI03</v>
      </c>
      <c r="G16" s="99">
        <f>VLOOKUP(B16,Site!B:K,7,0)</f>
        <v>0</v>
      </c>
      <c r="H16" s="99" t="str">
        <f>VLOOKUP(B:B,Site!B:M,9,0)</f>
        <v>Mobi chạy LD</v>
      </c>
      <c r="I16" s="99">
        <f>VLOOKUP(B16,Site!$B$2:$AA$1003,10,0)</f>
        <v>0</v>
      </c>
      <c r="J16" s="99">
        <f>VLOOKUP(B16,Site!$B$2:$AA$1003,11,0)</f>
        <v>0</v>
      </c>
      <c r="K16" s="99" t="str">
        <f>VLOOKUP(B16,Site!$B$2:$AA$1003,13,0)</f>
        <v>Mobi chạy LD</v>
      </c>
      <c r="L16" s="99">
        <f>VLOOKUP(B16,Site!$B$2:$AA$1003,16,0)</f>
        <v>0</v>
      </c>
      <c r="M16" s="99" t="str">
        <f>VLOOKUP(B16,Site!$B$2:$AA$1003,21,0)</f>
        <v>CTTL20</v>
      </c>
      <c r="N16" s="97" t="s">
        <v>2535</v>
      </c>
      <c r="O16" s="97" t="s">
        <v>3</v>
      </c>
      <c r="P16" s="95">
        <v>31</v>
      </c>
    </row>
    <row r="17" spans="1:17" ht="18" customHeight="1" x14ac:dyDescent="0.25">
      <c r="A17" s="103">
        <v>15</v>
      </c>
      <c r="B17" s="104" t="s">
        <v>259</v>
      </c>
      <c r="C17" s="99" t="str">
        <f>VLOOKUP(B17,Site!$B$2:$AA$1003,4,0)</f>
        <v>Nguyễn Minh Sơn</v>
      </c>
      <c r="D17" s="116" t="s">
        <v>2534</v>
      </c>
      <c r="E17" s="99" t="str">
        <f>VLOOKUP(B17,Site!$B$2:$AA$1003,6,0)</f>
        <v>2</v>
      </c>
      <c r="F17" s="99" t="str">
        <f>VLOOKUP(B17,Site!$B$2:$AA$1003,2,0)</f>
        <v>CTOTLI04</v>
      </c>
      <c r="G17" s="99">
        <f>VLOOKUP(B17,Site!B:K,7,0)</f>
        <v>0</v>
      </c>
      <c r="H17" s="99" t="str">
        <f>VLOOKUP(B:B,Site!B:M,9,0)</f>
        <v>Mobi chạy LD</v>
      </c>
      <c r="I17" s="99">
        <f>VLOOKUP(B17,Site!$B$2:$AA$1003,10,0)</f>
        <v>0</v>
      </c>
      <c r="J17" s="99">
        <f>VLOOKUP(B17,Site!$B$2:$AA$1003,11,0)</f>
        <v>0</v>
      </c>
      <c r="K17" s="99" t="str">
        <f>VLOOKUP(B17,Site!$B$2:$AA$1003,13,0)</f>
        <v>Mobi chạy LD</v>
      </c>
      <c r="L17" s="99">
        <f>VLOOKUP(B17,Site!$B$2:$AA$1003,16,0)</f>
        <v>0</v>
      </c>
      <c r="M17" s="99" t="str">
        <f>VLOOKUP(B17,Site!$B$2:$AA$1003,21,0)</f>
        <v>CTTL21</v>
      </c>
      <c r="N17" s="103" t="s">
        <v>2535</v>
      </c>
      <c r="O17" s="103" t="s">
        <v>841</v>
      </c>
      <c r="P17" s="95" t="s">
        <v>2537</v>
      </c>
    </row>
    <row r="18" spans="1:17" x14ac:dyDescent="0.25">
      <c r="A18" s="103">
        <v>16</v>
      </c>
      <c r="B18" s="104" t="s">
        <v>262</v>
      </c>
      <c r="C18" s="99" t="str">
        <f>VLOOKUP(B18,Site!$B$2:$AA$1003,4,0)</f>
        <v>Nguyễn Minh Sơn</v>
      </c>
      <c r="D18" s="116" t="s">
        <v>2534</v>
      </c>
      <c r="E18" s="99" t="str">
        <f>VLOOKUP(B18,Site!$B$2:$AA$1003,6,0)</f>
        <v>2</v>
      </c>
      <c r="F18" s="99" t="str">
        <f>VLOOKUP(B18,Site!$B$2:$AA$1003,2,0)</f>
        <v>CTOTLI05</v>
      </c>
      <c r="G18" s="99">
        <f>VLOOKUP(B18,Site!B:K,7,0)</f>
        <v>0</v>
      </c>
      <c r="H18" s="99" t="str">
        <f>VLOOKUP(B:B,Site!B:M,9,0)</f>
        <v>Mobi chạy LD</v>
      </c>
      <c r="I18" s="99">
        <f>VLOOKUP(B18,Site!$B$2:$AA$1003,10,0)</f>
        <v>0</v>
      </c>
      <c r="J18" s="99">
        <f>VLOOKUP(B18,Site!$B$2:$AA$1003,11,0)</f>
        <v>0</v>
      </c>
      <c r="K18" s="99" t="str">
        <f>VLOOKUP(B18,Site!$B$2:$AA$1003,13,0)</f>
        <v>Mobi chạy LD</v>
      </c>
      <c r="L18" s="99">
        <f>VLOOKUP(B18,Site!$B$2:$AA$1003,16,0)</f>
        <v>0</v>
      </c>
      <c r="M18" s="99" t="str">
        <f>VLOOKUP(B18,Site!$B$2:$AA$1003,21,0)</f>
        <v>CTTL24</v>
      </c>
      <c r="N18" s="103" t="s">
        <v>2535</v>
      </c>
      <c r="O18" s="103" t="s">
        <v>841</v>
      </c>
      <c r="P18" s="95" t="s">
        <v>2536</v>
      </c>
    </row>
    <row r="19" spans="1:17" ht="18" customHeight="1" x14ac:dyDescent="0.25">
      <c r="A19" s="103">
        <v>17</v>
      </c>
      <c r="B19" s="104" t="s">
        <v>382</v>
      </c>
      <c r="C19" s="99" t="str">
        <f>VLOOKUP(B19,Site!$B$2:$AA$1003,4,0)</f>
        <v>Nguyễn Minh Sơn</v>
      </c>
      <c r="D19" s="116" t="s">
        <v>2534</v>
      </c>
      <c r="E19" s="99" t="str">
        <f>VLOOKUP(B19,Site!$B$2:$AA$1003,6,0)</f>
        <v>2</v>
      </c>
      <c r="F19" s="99" t="str">
        <f>VLOOKUP(B19,Site!$B$2:$AA$1003,2,0)</f>
        <v>CTOTTH08</v>
      </c>
      <c r="G19" s="99">
        <f>VLOOKUP(B19,Site!B:K,7,0)</f>
        <v>0</v>
      </c>
      <c r="H19" s="99" t="str">
        <f>VLOOKUP(B:B,Site!B:M,9,0)</f>
        <v>Mobi chạy LD</v>
      </c>
      <c r="I19" s="99">
        <f>VLOOKUP(B19,Site!$B$2:$AA$1003,10,0)</f>
        <v>0</v>
      </c>
      <c r="J19" s="99">
        <f>VLOOKUP(B19,Site!$B$2:$AA$1003,11,0)</f>
        <v>0</v>
      </c>
      <c r="K19" s="99" t="str">
        <f>VLOOKUP(B19,Site!$B$2:$AA$1003,13,0)</f>
        <v>Mobi chạy LD</v>
      </c>
      <c r="L19" s="99">
        <f>VLOOKUP(B19,Site!$B$2:$AA$1003,16,0)</f>
        <v>0</v>
      </c>
      <c r="M19" s="99" t="str">
        <f>VLOOKUP(B19,Site!$B$2:$AA$1003,21,0)</f>
        <v>CTTL31</v>
      </c>
      <c r="N19" s="103" t="s">
        <v>2535</v>
      </c>
      <c r="O19" s="103" t="s">
        <v>2512</v>
      </c>
      <c r="P19" s="95">
        <v>28</v>
      </c>
      <c r="Q19" s="95" t="s">
        <v>1628</v>
      </c>
    </row>
    <row r="20" spans="1:17" x14ac:dyDescent="0.25">
      <c r="A20" s="97">
        <v>18</v>
      </c>
      <c r="B20" s="98" t="s">
        <v>548</v>
      </c>
      <c r="C20" s="99" t="str">
        <f>VLOOKUP(B20,Site!$B$2:$AA$1003,4,0)</f>
        <v>Nguyễn Minh Sơn</v>
      </c>
      <c r="D20" s="119" t="s">
        <v>2534</v>
      </c>
      <c r="E20" s="99" t="str">
        <f>VLOOKUP(B20,Site!$B$2:$AA$1003,6,0)</f>
        <v>3</v>
      </c>
      <c r="F20" s="99" t="str">
        <f>VLOOKUP(B20,Site!$B$2:$AA$1003,2,0)</f>
        <v>CTOTTH11</v>
      </c>
      <c r="G20" s="99">
        <f>VLOOKUP(B20,Site!B:K,7,0)</f>
        <v>0</v>
      </c>
      <c r="H20" s="99" t="str">
        <f>VLOOKUP(B:B,Site!B:M,9,0)</f>
        <v>Chạy máy LD</v>
      </c>
      <c r="I20" s="99" t="str">
        <f>VLOOKUP(B20,Site!$B$2:$AA$1003,10,0)</f>
        <v>CTTL16</v>
      </c>
      <c r="J20" s="99">
        <f>VLOOKUP(B20,Site!$B$2:$AA$1003,11,0)</f>
        <v>0</v>
      </c>
      <c r="K20" s="99" t="str">
        <f>VLOOKUP(B20,Site!$B$2:$AA$1003,13,0)</f>
        <v>Chạy máy LD</v>
      </c>
      <c r="L20" s="99">
        <f>VLOOKUP(B20,Site!$B$2:$AA$1003,16,0)</f>
        <v>0</v>
      </c>
      <c r="M20" s="99" t="str">
        <f>VLOOKUP(B20,Site!$B$2:$AA$1003,21,0)</f>
        <v>CTTL43</v>
      </c>
      <c r="N20" s="97" t="s">
        <v>2535</v>
      </c>
      <c r="O20" s="97" t="s">
        <v>3</v>
      </c>
      <c r="P20" s="95" t="s">
        <v>2544</v>
      </c>
      <c r="Q20" s="95" t="s">
        <v>545</v>
      </c>
    </row>
    <row r="21" spans="1:17" x14ac:dyDescent="0.25">
      <c r="A21" s="97">
        <v>19</v>
      </c>
      <c r="B21" s="98" t="s">
        <v>555</v>
      </c>
      <c r="C21" s="99" t="str">
        <f>VLOOKUP(B21,Site!$B$2:$AA$1003,4,0)</f>
        <v>Nguyễn Minh Sơn</v>
      </c>
      <c r="D21" s="119" t="s">
        <v>2534</v>
      </c>
      <c r="E21" s="99" t="str">
        <f>VLOOKUP(B21,Site!$B$2:$AA$1003,6,0)</f>
        <v>2</v>
      </c>
      <c r="F21" s="99" t="str">
        <f>VLOOKUP(B21,Site!$B$2:$AA$1003,2,0)</f>
        <v>CTODHP07</v>
      </c>
      <c r="G21" s="99">
        <f>VLOOKUP(B21,Site!B:K,7,0)</f>
        <v>0</v>
      </c>
      <c r="H21" s="99" t="str">
        <f>VLOOKUP(B:B,Site!B:M,9,0)</f>
        <v>Chạy máy LD</v>
      </c>
      <c r="I21" s="99" t="str">
        <f>VLOOKUP(B21,Site!$B$2:$AA$1003,10,0)</f>
        <v>CTTL01</v>
      </c>
      <c r="J21" s="99">
        <f>VLOOKUP(B21,Site!$B$2:$AA$1003,11,0)</f>
        <v>0</v>
      </c>
      <c r="K21" s="99" t="str">
        <f>VLOOKUP(B21,Site!$B$2:$AA$1003,13,0)</f>
        <v>Chạy máy LD</v>
      </c>
      <c r="L21" s="99">
        <f>VLOOKUP(B21,Site!$B$2:$AA$1003,16,0)</f>
        <v>0</v>
      </c>
      <c r="M21" s="99" t="str">
        <f>VLOOKUP(B21,Site!$B$2:$AA$1003,21,0)</f>
        <v>CTTL44</v>
      </c>
      <c r="N21" s="97" t="s">
        <v>2535</v>
      </c>
      <c r="O21" s="97" t="s">
        <v>8</v>
      </c>
      <c r="P21" s="95" t="s">
        <v>2544</v>
      </c>
      <c r="Q21" s="95" t="s">
        <v>289</v>
      </c>
    </row>
    <row r="22" spans="1:17" x14ac:dyDescent="0.25">
      <c r="A22" s="111">
        <v>20</v>
      </c>
      <c r="B22" s="112" t="s">
        <v>560</v>
      </c>
      <c r="C22" s="99" t="str">
        <f>VLOOKUP(B22,Site!$B$2:$AA$1003,4,0)</f>
        <v>Nguyễn Hữu Út Mười</v>
      </c>
      <c r="D22" s="118" t="s">
        <v>2534</v>
      </c>
      <c r="E22" s="99" t="str">
        <f>VLOOKUP(B22,Site!$B$2:$AA$1003,6,0)</f>
        <v>2</v>
      </c>
      <c r="F22" s="99" t="str">
        <f>VLOOKUP(B22,Site!$B$2:$AA$1003,2,0)</f>
        <v>CTOTXN10</v>
      </c>
      <c r="G22" s="99">
        <f>VLOOKUP(B22,Site!B:K,7,0)</f>
        <v>0</v>
      </c>
      <c r="H22" s="99" t="str">
        <f>VLOOKUP(B:B,Site!B:M,9,0)</f>
        <v>Chạy máy LD</v>
      </c>
      <c r="I22" s="99">
        <f>VLOOKUP(B22,Site!$B$2:$AA$1003,10,0)</f>
        <v>0</v>
      </c>
      <c r="J22" s="99">
        <f>VLOOKUP(B22,Site!$B$2:$AA$1003,11,0)</f>
        <v>0</v>
      </c>
      <c r="K22" s="99" t="str">
        <f>VLOOKUP(B22,Site!$B$2:$AA$1003,13,0)</f>
        <v>Chạy máy LD</v>
      </c>
      <c r="L22" s="99">
        <f>VLOOKUP(B22,Site!$B$2:$AA$1003,16,0)</f>
        <v>0</v>
      </c>
      <c r="M22" s="99" t="str">
        <f>VLOOKUP(B22,Site!$B$2:$AA$1003,21,0)</f>
        <v>CTTL46</v>
      </c>
      <c r="N22" s="111" t="s">
        <v>2532</v>
      </c>
      <c r="O22" s="111" t="s">
        <v>407</v>
      </c>
    </row>
    <row r="23" spans="1:17" x14ac:dyDescent="0.25">
      <c r="A23" s="103">
        <v>21</v>
      </c>
      <c r="B23" s="104" t="s">
        <v>556</v>
      </c>
      <c r="C23" s="99" t="str">
        <f>VLOOKUP(B23,Site!$B$2:$AA$1003,4,0)</f>
        <v>Nguyễn Minh Sơn</v>
      </c>
      <c r="D23" s="116" t="s">
        <v>2534</v>
      </c>
      <c r="E23" s="99" t="str">
        <f>VLOOKUP(B23,Site!$B$2:$AA$1003,6,0)</f>
        <v>2</v>
      </c>
      <c r="F23" s="99" t="str">
        <f>VLOOKUP(B23,Site!$B$2:$AA$1003,2,0)</f>
        <v>CTOTLI10</v>
      </c>
      <c r="G23" s="99">
        <f>VLOOKUP(B23,Site!B:K,7,0)</f>
        <v>0</v>
      </c>
      <c r="H23" s="99" t="str">
        <f>VLOOKUP(B:B,Site!B:M,9,0)</f>
        <v>Chạy máy LD</v>
      </c>
      <c r="I23" s="99">
        <f>VLOOKUP(B23,Site!$B$2:$AA$1003,10,0)</f>
        <v>0</v>
      </c>
      <c r="J23" s="99">
        <f>VLOOKUP(B23,Site!$B$2:$AA$1003,11,0)</f>
        <v>0</v>
      </c>
      <c r="K23" s="99" t="str">
        <f>VLOOKUP(B23,Site!$B$2:$AA$1003,13,0)</f>
        <v>Chạy máy LD</v>
      </c>
      <c r="L23" s="99">
        <f>VLOOKUP(B23,Site!$B$2:$AA$1003,16,0)</f>
        <v>0</v>
      </c>
      <c r="M23" s="99">
        <f>VLOOKUP(B23,Site!$B$2:$AA$1003,21,0)</f>
        <v>0</v>
      </c>
      <c r="N23" s="103" t="s">
        <v>2535</v>
      </c>
      <c r="O23" s="103" t="s">
        <v>841</v>
      </c>
      <c r="P23" s="95" t="s">
        <v>2541</v>
      </c>
    </row>
    <row r="24" spans="1:17" x14ac:dyDescent="0.25">
      <c r="A24" s="111">
        <v>22</v>
      </c>
      <c r="B24" s="112" t="s">
        <v>557</v>
      </c>
      <c r="C24" s="99" t="str">
        <f>VLOOKUP(B24,Site!$B$2:$AA$1003,4,0)</f>
        <v>Nguyễn Hữu Út Mười</v>
      </c>
      <c r="D24" s="118" t="s">
        <v>2534</v>
      </c>
      <c r="E24" s="99" t="str">
        <f>VLOOKUP(B24,Site!$B$2:$AA$1003,6,0)</f>
        <v>3</v>
      </c>
      <c r="F24" s="99" t="str">
        <f>VLOOKUP(B24,Site!$B$2:$AA$1003,2,0)</f>
        <v>CTODTN07</v>
      </c>
      <c r="G24" s="99">
        <f>VLOOKUP(B24,Site!B:K,7,0)</f>
        <v>0</v>
      </c>
      <c r="H24" s="99" t="str">
        <f>VLOOKUP(B:B,Site!B:M,9,0)</f>
        <v>Chạy máy LD</v>
      </c>
      <c r="I24" s="99" t="str">
        <f>VLOOKUP(B24,Site!$B$2:$AA$1003,10,0)</f>
        <v>CTTL14</v>
      </c>
      <c r="J24" s="99">
        <f>VLOOKUP(B24,Site!$B$2:$AA$1003,11,0)</f>
        <v>0</v>
      </c>
      <c r="K24" s="99" t="str">
        <f>VLOOKUP(B24,Site!$B$2:$AA$1003,13,0)</f>
        <v>Chạy máy LD</v>
      </c>
      <c r="L24" s="99">
        <f>VLOOKUP(B24,Site!$B$2:$AA$1003,16,0)</f>
        <v>0</v>
      </c>
      <c r="M24" s="99" t="str">
        <f>VLOOKUP(B24,Site!$B$2:$AA$1003,21,0)</f>
        <v>CTTL48</v>
      </c>
      <c r="N24" s="111" t="s">
        <v>2535</v>
      </c>
      <c r="O24" s="111" t="s">
        <v>407</v>
      </c>
      <c r="P24" s="95" t="s">
        <v>2538</v>
      </c>
    </row>
    <row r="25" spans="1:17" x14ac:dyDescent="0.25">
      <c r="A25" s="109">
        <v>23</v>
      </c>
      <c r="B25" s="110" t="s">
        <v>851</v>
      </c>
      <c r="C25" s="99" t="str">
        <f>VLOOKUP(B25,Site!$B$2:$AA$1003,4,0)</f>
        <v>Nguyễn Minh Sơn</v>
      </c>
      <c r="D25" s="117" t="s">
        <v>2534</v>
      </c>
      <c r="E25" s="99" t="str">
        <f>VLOOKUP(B25,Site!$B$2:$AA$1003,6,0)</f>
        <v>3</v>
      </c>
      <c r="F25" s="99" t="str">
        <f>VLOOKUP(B25,Site!$B$2:$AA$1003,2,0)</f>
        <v>CTOTXN13</v>
      </c>
      <c r="G25" s="99">
        <f>VLOOKUP(B25,Site!B:K,7,0)</f>
        <v>0</v>
      </c>
      <c r="H25" s="99" t="str">
        <f>VLOOKUP(B:B,Site!B:M,9,0)</f>
        <v>Chạy máy LD</v>
      </c>
      <c r="I25" s="99" t="str">
        <f>VLOOKUP(B25,Site!$B$2:$AA$1003,10,0)</f>
        <v>CTTL13</v>
      </c>
      <c r="J25" s="99">
        <f>VLOOKUP(B25,Site!$B$2:$AA$1003,11,0)</f>
        <v>0</v>
      </c>
      <c r="K25" s="99"/>
      <c r="L25" s="97"/>
      <c r="M25" s="97"/>
      <c r="N25" s="109" t="s">
        <v>2532</v>
      </c>
      <c r="O25" s="109" t="s">
        <v>340</v>
      </c>
    </row>
    <row r="26" spans="1:17" x14ac:dyDescent="0.25">
      <c r="A26" s="103">
        <v>24</v>
      </c>
      <c r="B26" s="104" t="s">
        <v>852</v>
      </c>
      <c r="C26" s="99" t="str">
        <f>VLOOKUP(B26,Site!$B$2:$AA$1003,4,0)</f>
        <v>Nguyễn Minh Sơn</v>
      </c>
      <c r="D26" s="116" t="s">
        <v>2534</v>
      </c>
      <c r="E26" s="99" t="str">
        <f>VLOOKUP(B26,Site!$B$2:$AA$1003,6,0)</f>
        <v>3</v>
      </c>
      <c r="F26" s="99" t="str">
        <f>VLOOKUP(B26,Site!$B$2:$AA$1003,2,0)</f>
        <v>CTOTLI11</v>
      </c>
      <c r="G26" s="99">
        <f>VLOOKUP(B26,Site!B:K,7,0)</f>
        <v>0</v>
      </c>
      <c r="H26" s="99" t="str">
        <f>VLOOKUP(B:B,Site!B:M,9,0)</f>
        <v>Chạy máy LD</v>
      </c>
      <c r="I26" s="99" t="str">
        <f>VLOOKUP(B26,Site!$B$2:$AA$1003,10,0)</f>
        <v>CTTL32</v>
      </c>
      <c r="J26" s="99">
        <f>VLOOKUP(B26,Site!$B$2:$AA$1003,11,0)</f>
        <v>0</v>
      </c>
      <c r="K26" s="99"/>
      <c r="L26" s="97"/>
      <c r="M26" s="97"/>
      <c r="N26" s="103" t="s">
        <v>2532</v>
      </c>
      <c r="O26" s="103" t="s">
        <v>841</v>
      </c>
    </row>
    <row r="27" spans="1:17" x14ac:dyDescent="0.25">
      <c r="A27" s="97">
        <v>25</v>
      </c>
      <c r="B27" s="98" t="s">
        <v>2327</v>
      </c>
      <c r="C27" s="99" t="str">
        <f>VLOOKUP(B27,Site!$B$2:$AA$1003,4,0)</f>
        <v>Nguyễn Hữu Út Mười</v>
      </c>
      <c r="D27" s="119" t="s">
        <v>2533</v>
      </c>
      <c r="E27" s="99" t="str">
        <f>VLOOKUP(B27,Site!$B$2:$AA$1003,6,0)</f>
        <v>3</v>
      </c>
      <c r="F27" s="99" t="str">
        <f>VLOOKUP(B27,Site!$B$2:$AA$1003,2,0)</f>
        <v>CTODTN09</v>
      </c>
      <c r="G27" s="99">
        <f>VLOOKUP(B27,Site!B:K,7,0)</f>
        <v>0</v>
      </c>
      <c r="H27" s="99" t="str">
        <f>VLOOKUP(B:B,Site!B:M,9,0)</f>
        <v>Chạy máy LD</v>
      </c>
      <c r="I27" s="99" t="str">
        <f>VLOOKUP(B27,Site!$B$2:$AA$1003,10,0)</f>
        <v>CTTL30</v>
      </c>
      <c r="J27" s="99">
        <f>VLOOKUP(B27,Site!$B$2:$AA$1003,11,0)</f>
        <v>0</v>
      </c>
      <c r="K27" s="99"/>
      <c r="L27" s="97"/>
      <c r="M27" s="97"/>
      <c r="N27" s="97" t="s">
        <v>2545</v>
      </c>
      <c r="O27" s="97" t="s">
        <v>2546</v>
      </c>
      <c r="P27" s="100"/>
    </row>
    <row r="28" spans="1:17" x14ac:dyDescent="0.25">
      <c r="A28" s="97">
        <v>26</v>
      </c>
      <c r="B28" s="98" t="s">
        <v>2328</v>
      </c>
      <c r="C28" s="99" t="str">
        <f>VLOOKUP(B28,Site!$B$2:$AA$1003,4,0)</f>
        <v>Nguyễn Hữu Út Mười</v>
      </c>
      <c r="D28" s="119" t="s">
        <v>2533</v>
      </c>
      <c r="E28" s="99" t="str">
        <f>VLOOKUP(B28,Site!$B$2:$AA$1003,6,0)</f>
        <v>3</v>
      </c>
      <c r="F28" s="99" t="str">
        <f>VLOOKUP(B28,Site!$B$2:$AA$1003,2,0)</f>
        <v>CTOTXN14</v>
      </c>
      <c r="G28" s="99">
        <f>VLOOKUP(B28,Site!B:K,7,0)</f>
        <v>0</v>
      </c>
      <c r="H28" s="99" t="str">
        <f>VLOOKUP(B:B,Site!B:M,9,0)</f>
        <v>Chạy máy LD</v>
      </c>
      <c r="I28" s="99" t="str">
        <f>VLOOKUP(B28,Site!$B$2:$AA$1003,10,0)</f>
        <v>CTTL27</v>
      </c>
      <c r="J28" s="99">
        <f>VLOOKUP(B28,Site!$B$2:$AA$1003,11,0)</f>
        <v>0</v>
      </c>
      <c r="K28" s="99"/>
      <c r="L28" s="97"/>
      <c r="M28" s="97"/>
      <c r="N28" s="97" t="s">
        <v>2545</v>
      </c>
      <c r="O28" s="97" t="s">
        <v>2546</v>
      </c>
    </row>
    <row r="29" spans="1:17" x14ac:dyDescent="0.25">
      <c r="A29" s="105">
        <v>27</v>
      </c>
      <c r="B29" s="105" t="s">
        <v>2332</v>
      </c>
      <c r="C29" s="105" t="str">
        <f>VLOOKUP(B29,Site!$B$2:$AA$1003,4,0)</f>
        <v>Nguyễn Minh Sơn</v>
      </c>
      <c r="D29" s="120" t="s">
        <v>2533</v>
      </c>
      <c r="E29" s="106" t="str">
        <f>VLOOKUP(B29,Site!$B$2:$AA$1003,6,0)</f>
        <v>3</v>
      </c>
      <c r="F29" s="106" t="str">
        <f>VLOOKUP(B29,Site!$B$2:$AA$1003,2,0)</f>
        <v>CTOTXN15</v>
      </c>
      <c r="G29" s="106">
        <f>VLOOKUP(B29,Site!B:K,7,0)</f>
        <v>0</v>
      </c>
      <c r="H29" s="106" t="str">
        <f>VLOOKUP(B:B,Site!B:M,9,0)</f>
        <v>Chạy máy LD</v>
      </c>
      <c r="I29" s="106" t="str">
        <f>VLOOKUP(B29,Site!$B$2:$AA$1003,10,0)</f>
        <v>CTTL13</v>
      </c>
      <c r="J29" s="106">
        <f>VLOOKUP(B29,Site!$B$2:$AA$1003,11,0)</f>
        <v>0</v>
      </c>
      <c r="K29" s="106"/>
      <c r="L29" s="105"/>
      <c r="M29" s="105"/>
      <c r="N29" s="105" t="s">
        <v>2532</v>
      </c>
      <c r="O29" s="105" t="s">
        <v>340</v>
      </c>
    </row>
    <row r="30" spans="1:17" x14ac:dyDescent="0.25">
      <c r="A30" s="97">
        <v>28</v>
      </c>
      <c r="B30" s="98" t="s">
        <v>2504</v>
      </c>
      <c r="C30" s="99" t="str">
        <f>VLOOKUP(B30,Site!$B$2:$AA$1003,4,0)</f>
        <v>Nguyễn Minh Sơn</v>
      </c>
      <c r="D30" s="119" t="s">
        <v>2533</v>
      </c>
      <c r="E30" s="99" t="str">
        <f>VLOOKUP(B30,Site!$B$2:$AA$1003,6,0)</f>
        <v>3</v>
      </c>
      <c r="F30" s="99" t="str">
        <f>VLOOKUP(B30,Site!$B$2:$AA$1003,2,0)</f>
        <v>CTODHP08</v>
      </c>
      <c r="G30" s="99">
        <f>VLOOKUP(B30,Site!B:K,7,0)</f>
        <v>0</v>
      </c>
      <c r="H30" s="99" t="str">
        <f>VLOOKUP(B:B,Site!B:M,9,0)</f>
        <v>Chạy máy LD</v>
      </c>
      <c r="I30" s="99">
        <f>VLOOKUP(B30,Site!$B$2:$AA$1003,10,0)</f>
        <v>0</v>
      </c>
      <c r="J30" s="99">
        <f>VLOOKUP(B30,Site!$B$2:$AA$1003,11,0)</f>
        <v>0</v>
      </c>
      <c r="K30" s="99"/>
      <c r="L30" s="97"/>
      <c r="M30" s="97"/>
      <c r="N30" s="97" t="s">
        <v>2545</v>
      </c>
      <c r="O30" s="97" t="s">
        <v>2546</v>
      </c>
    </row>
    <row r="31" spans="1:17" x14ac:dyDescent="0.25">
      <c r="A31" s="97">
        <v>29</v>
      </c>
      <c r="B31" s="124" t="s">
        <v>1625</v>
      </c>
      <c r="C31" s="99" t="str">
        <f>VLOOKUP(B31,Site!$B$2:$AA$1003,4,0)</f>
        <v>Nguyễn Minh Sơn</v>
      </c>
      <c r="D31" s="119" t="s">
        <v>2533</v>
      </c>
      <c r="E31" s="99" t="str">
        <f>VLOOKUP(B31,Site!$B$2:$AA$1003,6,0)</f>
        <v>3</v>
      </c>
      <c r="F31" s="99" t="str">
        <f>VLOOKUP(B31,Site!$B$2:$AA$1003,2,0)</f>
        <v>CTOTLI12</v>
      </c>
      <c r="G31" s="99">
        <f>VLOOKUP(B31,Site!B:K,7,0)</f>
        <v>0</v>
      </c>
      <c r="H31" s="99" t="str">
        <f>VLOOKUP(B:B,Site!B:M,9,0)</f>
        <v>Chạy máy LD</v>
      </c>
      <c r="I31" s="99" t="str">
        <f>VLOOKUP(B31,Site!$B$2:$AA$1003,10,0)</f>
        <v>CTTL01</v>
      </c>
      <c r="J31" s="99">
        <f>VLOOKUP(B31,Site!$B$2:$AA$1003,11,0)</f>
        <v>0</v>
      </c>
      <c r="K31" s="99"/>
      <c r="L31" s="97"/>
      <c r="M31" s="97"/>
      <c r="N31" s="97" t="s">
        <v>2545</v>
      </c>
      <c r="O31" s="97" t="s">
        <v>2546</v>
      </c>
    </row>
    <row r="32" spans="1:17" x14ac:dyDescent="0.25">
      <c r="A32" s="97">
        <v>30</v>
      </c>
      <c r="B32" s="124" t="s">
        <v>1713</v>
      </c>
      <c r="C32" s="99" t="str">
        <f>VLOOKUP(B32,Site!$B$2:$AA$1003,4,0)</f>
        <v>Nguyễn Hữu Út Mười</v>
      </c>
      <c r="D32" s="119" t="s">
        <v>2533</v>
      </c>
      <c r="E32" s="99" t="str">
        <f>VLOOKUP(B32,Site!$B$2:$AA$1003,6,0)</f>
        <v>3</v>
      </c>
      <c r="F32" s="99" t="str">
        <f>VLOOKUP(B32,Site!$B$2:$AA$1003,2,0)</f>
        <v>CTOTLI13</v>
      </c>
      <c r="G32" s="99">
        <f>VLOOKUP(B32,Site!B:K,7,0)</f>
        <v>0</v>
      </c>
      <c r="H32" s="99" t="str">
        <f>VLOOKUP(B:B,Site!B:M,9,0)</f>
        <v>Chạy máy LD</v>
      </c>
      <c r="I32" s="99" t="str">
        <f>VLOOKUP(B32,Site!$B$2:$AA$1003,10,0)</f>
        <v>CTTL42</v>
      </c>
      <c r="J32" s="99">
        <f>VLOOKUP(B32,Site!$B$2:$AA$1003,11,0)</f>
        <v>0</v>
      </c>
      <c r="K32" s="99"/>
      <c r="L32" s="97"/>
      <c r="M32" s="97"/>
      <c r="N32" s="97" t="s">
        <v>2547</v>
      </c>
      <c r="O32" s="97" t="s">
        <v>2546</v>
      </c>
    </row>
    <row r="33" spans="1:15" x14ac:dyDescent="0.25">
      <c r="A33" s="97">
        <v>31</v>
      </c>
      <c r="B33" s="124" t="s">
        <v>2333</v>
      </c>
      <c r="C33" s="99" t="str">
        <f>VLOOKUP(B33,Site!$B$2:$AA$1003,4,0)</f>
        <v>Nguyễn Minh Sơn</v>
      </c>
      <c r="D33" s="119" t="s">
        <v>2533</v>
      </c>
      <c r="E33" s="99" t="str">
        <f>VLOOKUP(B33,Site!$B$2:$AA$1003,6,0)</f>
        <v>3</v>
      </c>
      <c r="F33" s="99" t="str">
        <f>VLOOKUP(B33,Site!$B$2:$AA$1003,2,0)</f>
        <v>CTOTTH14</v>
      </c>
      <c r="G33" s="99">
        <f>VLOOKUP(B33,Site!B:K,7,0)</f>
        <v>0</v>
      </c>
      <c r="H33" s="99" t="str">
        <f>VLOOKUP(B:B,Site!B:M,9,0)</f>
        <v>Chạy máy LD</v>
      </c>
      <c r="I33" s="99" t="str">
        <f>VLOOKUP(B33,Site!$B$2:$AA$1003,10,0)</f>
        <v>CTOM29</v>
      </c>
      <c r="J33" s="99">
        <f>VLOOKUP(B33,Site!$B$2:$AA$1003,11,0)</f>
        <v>0</v>
      </c>
      <c r="K33" s="99"/>
      <c r="L33" s="97"/>
      <c r="M33" s="97"/>
      <c r="N33" s="97" t="s">
        <v>2545</v>
      </c>
      <c r="O33" s="97" t="s">
        <v>2546</v>
      </c>
    </row>
    <row r="34" spans="1:15" x14ac:dyDescent="0.25">
      <c r="A34" s="97">
        <v>32</v>
      </c>
      <c r="B34" s="124" t="s">
        <v>2355</v>
      </c>
      <c r="C34" s="99" t="str">
        <f>VLOOKUP(B34,Site!$B$2:$AA$1003,4,0)</f>
        <v>Nguyễn Minh Sơn</v>
      </c>
      <c r="D34" s="119" t="s">
        <v>2533</v>
      </c>
      <c r="E34" s="99" t="str">
        <f>VLOOKUP(B34,Site!$B$2:$AA$1003,6,0)</f>
        <v>3</v>
      </c>
      <c r="F34" s="99" t="str">
        <f>VLOOKUP(B34,Site!$B$2:$AA$1003,2,0)</f>
        <v>CTOTTH15</v>
      </c>
      <c r="G34" s="99">
        <f>VLOOKUP(B34,Site!B:K,7,0)</f>
        <v>0</v>
      </c>
      <c r="H34" s="99" t="str">
        <f>VLOOKUP(B:B,Site!B:M,9,0)</f>
        <v>Chạy máy LD</v>
      </c>
      <c r="I34" s="99" t="str">
        <f>VLOOKUP(B34,Site!$B$2:$AA$1003,10,0)</f>
        <v>CTTL16</v>
      </c>
      <c r="J34" s="99">
        <f>VLOOKUP(B34,Site!$B$2:$AA$1003,11,0)</f>
        <v>0</v>
      </c>
      <c r="N34" s="97" t="s">
        <v>2545</v>
      </c>
      <c r="O34" s="97" t="s">
        <v>2546</v>
      </c>
    </row>
  </sheetData>
  <autoFilter ref="A2:P34" xr:uid="{960029BB-7F0F-4ECE-AFDD-44DE84CEB2B5}"/>
  <mergeCells count="1">
    <mergeCell ref="A1:O1"/>
  </mergeCells>
  <phoneticPr fontId="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4757-0BCC-42C5-A1C2-762DA85C4BC9}">
  <dimension ref="A1:R53"/>
  <sheetViews>
    <sheetView topLeftCell="A2" workbookViewId="0">
      <selection sqref="A1:IV65536"/>
    </sheetView>
  </sheetViews>
  <sheetFormatPr defaultRowHeight="15" x14ac:dyDescent="0.25"/>
  <cols>
    <col min="2" max="2" width="20.28515625" customWidth="1"/>
    <col min="3" max="3" width="10.140625" bestFit="1" customWidth="1"/>
    <col min="6" max="9" width="0" hidden="1" customWidth="1"/>
    <col min="10" max="10" width="13.85546875" hidden="1" customWidth="1"/>
    <col min="11" max="12" width="0" hidden="1" customWidth="1"/>
    <col min="13" max="13" width="9.42578125" hidden="1" customWidth="1"/>
    <col min="14" max="15" width="0" hidden="1" customWidth="1"/>
    <col min="16" max="16" width="27.5703125" bestFit="1" customWidth="1"/>
  </cols>
  <sheetData>
    <row r="1" spans="1:18" ht="99" x14ac:dyDescent="0.25">
      <c r="A1" s="74" t="s">
        <v>0</v>
      </c>
      <c r="B1" s="74" t="s">
        <v>602</v>
      </c>
      <c r="C1" s="74" t="s">
        <v>2321</v>
      </c>
      <c r="D1" s="74" t="s">
        <v>2383</v>
      </c>
      <c r="E1" s="74" t="s">
        <v>2435</v>
      </c>
      <c r="F1" s="74" t="s">
        <v>2436</v>
      </c>
      <c r="G1" s="74" t="s">
        <v>2437</v>
      </c>
      <c r="H1" s="75" t="s">
        <v>2438</v>
      </c>
      <c r="I1" s="74" t="s">
        <v>2439</v>
      </c>
      <c r="J1" s="74" t="s">
        <v>2440</v>
      </c>
      <c r="K1" s="74" t="s">
        <v>2441</v>
      </c>
      <c r="L1" s="74" t="s">
        <v>1430</v>
      </c>
      <c r="M1" s="74" t="s">
        <v>2442</v>
      </c>
      <c r="N1" s="74" t="s">
        <v>2443</v>
      </c>
      <c r="O1" s="74" t="s">
        <v>2444</v>
      </c>
      <c r="P1" s="76" t="s">
        <v>1430</v>
      </c>
    </row>
    <row r="2" spans="1:18" ht="16.5" x14ac:dyDescent="0.25">
      <c r="A2" s="77">
        <v>50</v>
      </c>
      <c r="B2" s="77" t="s">
        <v>1028</v>
      </c>
      <c r="C2" s="77" t="s">
        <v>234</v>
      </c>
      <c r="D2" s="77">
        <v>12</v>
      </c>
      <c r="E2" s="77" t="s">
        <v>934</v>
      </c>
      <c r="F2" s="77"/>
      <c r="G2" s="77" t="s">
        <v>2445</v>
      </c>
      <c r="H2" s="77"/>
      <c r="I2" s="77" t="s">
        <v>1007</v>
      </c>
      <c r="J2" s="77" t="s">
        <v>2446</v>
      </c>
      <c r="K2" s="78">
        <v>3.2970000000000002</v>
      </c>
      <c r="L2" s="77" t="s">
        <v>2447</v>
      </c>
      <c r="M2" s="77" t="s">
        <v>2386</v>
      </c>
      <c r="N2" s="77" t="s">
        <v>2387</v>
      </c>
      <c r="O2" s="77">
        <v>20</v>
      </c>
      <c r="P2" s="79"/>
      <c r="R2" t="str">
        <f>VLOOKUP(C2,'[2]Tong hop Co dinh'!$C$8:$E$61,3,0)</f>
        <v>Vikyno</v>
      </c>
    </row>
    <row r="3" spans="1:18" ht="16.5" x14ac:dyDescent="0.25">
      <c r="A3" s="77">
        <v>51</v>
      </c>
      <c r="B3" s="77" t="s">
        <v>1341</v>
      </c>
      <c r="C3" s="77" t="s">
        <v>268</v>
      </c>
      <c r="D3" s="77">
        <v>12</v>
      </c>
      <c r="E3" s="77"/>
      <c r="F3" s="77"/>
      <c r="G3" s="77" t="s">
        <v>2445</v>
      </c>
      <c r="H3" s="77"/>
      <c r="I3" s="77" t="s">
        <v>1007</v>
      </c>
      <c r="J3" s="77" t="s">
        <v>2446</v>
      </c>
      <c r="K3" s="78">
        <v>3.2970000000000002</v>
      </c>
      <c r="L3" s="77" t="s">
        <v>2447</v>
      </c>
      <c r="M3" s="77" t="s">
        <v>2386</v>
      </c>
      <c r="N3" s="77" t="s">
        <v>2387</v>
      </c>
      <c r="O3" s="77">
        <v>20</v>
      </c>
      <c r="P3" s="79" t="s">
        <v>2448</v>
      </c>
      <c r="R3" t="str">
        <f>VLOOKUP(C3,'[2]Tong hop Co dinh'!$C$8:$E$61,3,0)</f>
        <v>Vikyno</v>
      </c>
    </row>
    <row r="4" spans="1:18" ht="16.5" x14ac:dyDescent="0.25">
      <c r="A4" s="77">
        <v>52</v>
      </c>
      <c r="B4" s="77" t="s">
        <v>1328</v>
      </c>
      <c r="C4" s="77" t="s">
        <v>329</v>
      </c>
      <c r="D4" s="77">
        <v>12</v>
      </c>
      <c r="E4" s="77" t="s">
        <v>934</v>
      </c>
      <c r="F4" s="77"/>
      <c r="G4" s="77" t="s">
        <v>2445</v>
      </c>
      <c r="H4" s="77"/>
      <c r="I4" s="77" t="s">
        <v>1007</v>
      </c>
      <c r="J4" s="77" t="s">
        <v>2446</v>
      </c>
      <c r="K4" s="78">
        <v>3.2970000000000002</v>
      </c>
      <c r="L4" s="77" t="s">
        <v>2447</v>
      </c>
      <c r="M4" s="77" t="s">
        <v>2386</v>
      </c>
      <c r="N4" s="77" t="s">
        <v>2387</v>
      </c>
      <c r="O4" s="77">
        <v>20</v>
      </c>
      <c r="P4" s="79"/>
      <c r="R4" t="str">
        <f>VLOOKUP(C4,'[2]Tong hop Co dinh'!$C$8:$E$61,3,0)</f>
        <v>Vikyno</v>
      </c>
    </row>
    <row r="5" spans="1:18" ht="16.5" x14ac:dyDescent="0.25">
      <c r="A5" s="77">
        <v>53</v>
      </c>
      <c r="B5" s="77" t="s">
        <v>1033</v>
      </c>
      <c r="C5" s="77" t="s">
        <v>334</v>
      </c>
      <c r="D5" s="77">
        <v>12</v>
      </c>
      <c r="E5" s="77" t="s">
        <v>934</v>
      </c>
      <c r="F5" s="77"/>
      <c r="G5" s="77" t="s">
        <v>2445</v>
      </c>
      <c r="H5" s="77"/>
      <c r="I5" s="77" t="s">
        <v>1007</v>
      </c>
      <c r="J5" s="77" t="s">
        <v>2446</v>
      </c>
      <c r="K5" s="78">
        <v>3.2970000000000002</v>
      </c>
      <c r="L5" s="77" t="s">
        <v>2447</v>
      </c>
      <c r="M5" s="77" t="s">
        <v>2386</v>
      </c>
      <c r="N5" s="77" t="s">
        <v>2387</v>
      </c>
      <c r="O5" s="77">
        <v>20</v>
      </c>
      <c r="P5" s="79"/>
      <c r="R5" t="str">
        <f>VLOOKUP(C5,'[2]Tong hop Co dinh'!$C$8:$E$61,3,0)</f>
        <v>Vikyno</v>
      </c>
    </row>
    <row r="6" spans="1:18" ht="16.5" x14ac:dyDescent="0.25">
      <c r="A6" s="77">
        <v>54</v>
      </c>
      <c r="B6" s="77" t="s">
        <v>950</v>
      </c>
      <c r="C6" s="77" t="s">
        <v>30</v>
      </c>
      <c r="D6" s="77">
        <v>12</v>
      </c>
      <c r="E6" s="77" t="s">
        <v>934</v>
      </c>
      <c r="F6" s="77"/>
      <c r="G6" s="77" t="s">
        <v>2445</v>
      </c>
      <c r="H6" s="77"/>
      <c r="I6" s="77" t="s">
        <v>1007</v>
      </c>
      <c r="J6" s="77" t="s">
        <v>2446</v>
      </c>
      <c r="K6" s="78">
        <v>3.2970000000000002</v>
      </c>
      <c r="L6" s="77" t="s">
        <v>2447</v>
      </c>
      <c r="M6" s="77" t="s">
        <v>2386</v>
      </c>
      <c r="N6" s="77" t="s">
        <v>2387</v>
      </c>
      <c r="O6" s="77">
        <v>20</v>
      </c>
      <c r="P6" s="79"/>
      <c r="R6" t="str">
        <f>VLOOKUP(C6,'[2]Tong hop Co dinh'!$C$8:$E$61,3,0)</f>
        <v>Vikyno</v>
      </c>
    </row>
    <row r="7" spans="1:18" ht="16.5" x14ac:dyDescent="0.25">
      <c r="A7" s="77">
        <v>55</v>
      </c>
      <c r="B7" s="77" t="s">
        <v>976</v>
      </c>
      <c r="C7" s="77" t="s">
        <v>33</v>
      </c>
      <c r="D7" s="77">
        <v>12</v>
      </c>
      <c r="E7" s="77"/>
      <c r="F7" s="77"/>
      <c r="G7" s="77" t="s">
        <v>2445</v>
      </c>
      <c r="H7" s="77"/>
      <c r="I7" s="77" t="s">
        <v>1007</v>
      </c>
      <c r="J7" s="77" t="s">
        <v>2446</v>
      </c>
      <c r="K7" s="78">
        <v>3.2970000000000002</v>
      </c>
      <c r="L7" s="77" t="s">
        <v>2447</v>
      </c>
      <c r="M7" s="77" t="s">
        <v>2386</v>
      </c>
      <c r="N7" s="77" t="s">
        <v>2387</v>
      </c>
      <c r="O7" s="77">
        <v>20</v>
      </c>
      <c r="P7" s="79" t="s">
        <v>2448</v>
      </c>
      <c r="R7" t="str">
        <f>VLOOKUP(C7,'[2]Tong hop Co dinh'!$C$8:$E$61,3,0)</f>
        <v>Vikyno</v>
      </c>
    </row>
    <row r="8" spans="1:18" ht="16.5" x14ac:dyDescent="0.25">
      <c r="A8" s="77">
        <v>56</v>
      </c>
      <c r="B8" s="77" t="s">
        <v>978</v>
      </c>
      <c r="C8" s="77" t="s">
        <v>34</v>
      </c>
      <c r="D8" s="77">
        <v>12</v>
      </c>
      <c r="E8" s="77" t="s">
        <v>934</v>
      </c>
      <c r="F8" s="77"/>
      <c r="G8" s="77" t="s">
        <v>2445</v>
      </c>
      <c r="H8" s="77"/>
      <c r="I8" s="77" t="s">
        <v>1007</v>
      </c>
      <c r="J8" s="77" t="s">
        <v>2446</v>
      </c>
      <c r="K8" s="78">
        <v>3.2970000000000002</v>
      </c>
      <c r="L8" s="77" t="s">
        <v>2447</v>
      </c>
      <c r="M8" s="77" t="s">
        <v>2386</v>
      </c>
      <c r="N8" s="77" t="s">
        <v>2387</v>
      </c>
      <c r="O8" s="77">
        <v>20</v>
      </c>
      <c r="P8" s="79"/>
      <c r="R8" t="str">
        <f>VLOOKUP(C8,'[2]Tong hop Co dinh'!$C$8:$E$61,3,0)</f>
        <v>Vikyno</v>
      </c>
    </row>
    <row r="9" spans="1:18" ht="16.5" x14ac:dyDescent="0.25">
      <c r="A9" s="77">
        <v>57</v>
      </c>
      <c r="B9" s="77" t="s">
        <v>983</v>
      </c>
      <c r="C9" s="77" t="s">
        <v>60</v>
      </c>
      <c r="D9" s="77">
        <v>12</v>
      </c>
      <c r="E9" s="77" t="s">
        <v>934</v>
      </c>
      <c r="F9" s="77"/>
      <c r="G9" s="77" t="s">
        <v>2445</v>
      </c>
      <c r="H9" s="77"/>
      <c r="I9" s="77" t="s">
        <v>1007</v>
      </c>
      <c r="J9" s="77" t="s">
        <v>2446</v>
      </c>
      <c r="K9" s="78">
        <v>3.2970000000000002</v>
      </c>
      <c r="L9" s="77" t="s">
        <v>2447</v>
      </c>
      <c r="M9" s="77" t="s">
        <v>2386</v>
      </c>
      <c r="N9" s="77" t="s">
        <v>2387</v>
      </c>
      <c r="O9" s="77">
        <v>20</v>
      </c>
      <c r="P9" s="79"/>
      <c r="R9" t="str">
        <f>VLOOKUP(C9,'[2]Tong hop Co dinh'!$C$8:$E$61,3,0)</f>
        <v>Vikyno</v>
      </c>
    </row>
    <row r="10" spans="1:18" ht="16.5" x14ac:dyDescent="0.25">
      <c r="A10" s="77">
        <v>58</v>
      </c>
      <c r="B10" s="77" t="s">
        <v>935</v>
      </c>
      <c r="C10" s="77" t="s">
        <v>141</v>
      </c>
      <c r="D10" s="77">
        <v>12</v>
      </c>
      <c r="E10" s="77" t="s">
        <v>934</v>
      </c>
      <c r="F10" s="77"/>
      <c r="G10" s="77" t="s">
        <v>2445</v>
      </c>
      <c r="H10" s="77"/>
      <c r="I10" s="77" t="s">
        <v>1007</v>
      </c>
      <c r="J10" s="77" t="s">
        <v>2446</v>
      </c>
      <c r="K10" s="78">
        <v>3.2970000000000002</v>
      </c>
      <c r="L10" s="77" t="s">
        <v>2447</v>
      </c>
      <c r="M10" s="77" t="s">
        <v>2386</v>
      </c>
      <c r="N10" s="77" t="s">
        <v>2387</v>
      </c>
      <c r="O10" s="77">
        <v>20</v>
      </c>
      <c r="P10" s="79"/>
      <c r="R10" t="str">
        <f>VLOOKUP(C10,'[2]Tong hop Co dinh'!$C$8:$E$61,3,0)</f>
        <v>Vikyno</v>
      </c>
    </row>
    <row r="11" spans="1:18" ht="16.5" x14ac:dyDescent="0.25">
      <c r="A11" s="77">
        <v>59</v>
      </c>
      <c r="B11" s="77" t="s">
        <v>957</v>
      </c>
      <c r="C11" s="77" t="s">
        <v>146</v>
      </c>
      <c r="D11" s="77">
        <v>12</v>
      </c>
      <c r="E11" s="77"/>
      <c r="F11" s="77"/>
      <c r="G11" s="77" t="s">
        <v>2445</v>
      </c>
      <c r="H11" s="77"/>
      <c r="I11" s="77" t="s">
        <v>1007</v>
      </c>
      <c r="J11" s="77" t="s">
        <v>2446</v>
      </c>
      <c r="K11" s="78">
        <v>3.2970000000000002</v>
      </c>
      <c r="L11" s="77" t="s">
        <v>2447</v>
      </c>
      <c r="M11" s="77" t="s">
        <v>2386</v>
      </c>
      <c r="N11" s="77" t="s">
        <v>2387</v>
      </c>
      <c r="O11" s="77">
        <v>20</v>
      </c>
      <c r="P11" s="79" t="s">
        <v>2449</v>
      </c>
      <c r="R11" t="e">
        <f>VLOOKUP(C11,'[2]Tong hop Co dinh'!$C$8:$E$61,3,0)</f>
        <v>#N/A</v>
      </c>
    </row>
    <row r="12" spans="1:18" ht="16.5" x14ac:dyDescent="0.25">
      <c r="A12" s="77">
        <v>60</v>
      </c>
      <c r="B12" s="77" t="s">
        <v>982</v>
      </c>
      <c r="C12" s="77" t="s">
        <v>151</v>
      </c>
      <c r="D12" s="77">
        <v>12</v>
      </c>
      <c r="E12" s="77" t="s">
        <v>934</v>
      </c>
      <c r="F12" s="77"/>
      <c r="G12" s="77" t="s">
        <v>2445</v>
      </c>
      <c r="H12" s="77"/>
      <c r="I12" s="77" t="s">
        <v>1007</v>
      </c>
      <c r="J12" s="77" t="s">
        <v>2446</v>
      </c>
      <c r="K12" s="78">
        <v>3.2970000000000002</v>
      </c>
      <c r="L12" s="77" t="s">
        <v>2447</v>
      </c>
      <c r="M12" s="77" t="s">
        <v>2386</v>
      </c>
      <c r="N12" s="77" t="s">
        <v>2387</v>
      </c>
      <c r="O12" s="77">
        <v>20</v>
      </c>
      <c r="P12" s="79"/>
      <c r="R12" t="str">
        <f>VLOOKUP(C12,'[2]Tong hop Co dinh'!$C$8:$E$61,3,0)</f>
        <v>Vikyno</v>
      </c>
    </row>
    <row r="13" spans="1:18" ht="16.5" x14ac:dyDescent="0.25">
      <c r="A13" s="77">
        <v>61</v>
      </c>
      <c r="B13" s="77" t="s">
        <v>1127</v>
      </c>
      <c r="C13" s="77" t="s">
        <v>99</v>
      </c>
      <c r="D13" s="77">
        <v>12</v>
      </c>
      <c r="E13" s="77" t="s">
        <v>934</v>
      </c>
      <c r="F13" s="77"/>
      <c r="G13" s="77" t="s">
        <v>2445</v>
      </c>
      <c r="H13" s="77"/>
      <c r="I13" s="77" t="s">
        <v>1007</v>
      </c>
      <c r="J13" s="77" t="s">
        <v>2446</v>
      </c>
      <c r="K13" s="78">
        <v>3.2970000000000002</v>
      </c>
      <c r="L13" s="77" t="s">
        <v>2447</v>
      </c>
      <c r="M13" s="77" t="s">
        <v>2386</v>
      </c>
      <c r="N13" s="77" t="s">
        <v>2387</v>
      </c>
      <c r="O13" s="77">
        <v>20</v>
      </c>
      <c r="P13" s="79"/>
      <c r="R13" t="str">
        <f>VLOOKUP(C13,'[2]Tong hop Co dinh'!$C$8:$E$61,3,0)</f>
        <v>Vikyno</v>
      </c>
    </row>
    <row r="14" spans="1:18" ht="16.5" x14ac:dyDescent="0.25">
      <c r="A14" s="77">
        <v>62</v>
      </c>
      <c r="B14" s="77" t="s">
        <v>1131</v>
      </c>
      <c r="C14" s="77" t="s">
        <v>102</v>
      </c>
      <c r="D14" s="77">
        <v>12</v>
      </c>
      <c r="E14" s="77" t="s">
        <v>934</v>
      </c>
      <c r="F14" s="77"/>
      <c r="G14" s="77" t="s">
        <v>2445</v>
      </c>
      <c r="H14" s="77"/>
      <c r="I14" s="77" t="s">
        <v>1007</v>
      </c>
      <c r="J14" s="77" t="s">
        <v>2446</v>
      </c>
      <c r="K14" s="78">
        <v>3.2970000000000002</v>
      </c>
      <c r="L14" s="77" t="s">
        <v>2447</v>
      </c>
      <c r="M14" s="77" t="s">
        <v>2386</v>
      </c>
      <c r="N14" s="77" t="s">
        <v>2387</v>
      </c>
      <c r="O14" s="77">
        <v>20</v>
      </c>
      <c r="P14" s="79"/>
      <c r="R14" t="str">
        <f>VLOOKUP(C14,'[2]Tong hop Co dinh'!$C$8:$E$61,3,0)</f>
        <v>Vikyno</v>
      </c>
    </row>
    <row r="15" spans="1:18" ht="16.5" x14ac:dyDescent="0.25">
      <c r="A15" s="77">
        <v>63</v>
      </c>
      <c r="B15" s="77" t="s">
        <v>1188</v>
      </c>
      <c r="C15" s="77" t="s">
        <v>116</v>
      </c>
      <c r="D15" s="77">
        <v>12</v>
      </c>
      <c r="E15" s="77" t="s">
        <v>934</v>
      </c>
      <c r="F15" s="77"/>
      <c r="G15" s="77" t="s">
        <v>2445</v>
      </c>
      <c r="H15" s="77"/>
      <c r="I15" s="77" t="s">
        <v>1007</v>
      </c>
      <c r="J15" s="77" t="s">
        <v>2446</v>
      </c>
      <c r="K15" s="78">
        <v>3.2970000000000002</v>
      </c>
      <c r="L15" s="77" t="s">
        <v>2447</v>
      </c>
      <c r="M15" s="77" t="s">
        <v>2386</v>
      </c>
      <c r="N15" s="77" t="s">
        <v>2387</v>
      </c>
      <c r="O15" s="77">
        <v>20</v>
      </c>
      <c r="P15" s="79"/>
      <c r="R15" t="str">
        <f>VLOOKUP(C15,'[2]Tong hop Co dinh'!$C$8:$E$61,3,0)</f>
        <v>Vikyno</v>
      </c>
    </row>
    <row r="16" spans="1:18" ht="16.5" x14ac:dyDescent="0.25">
      <c r="A16" s="77">
        <v>64</v>
      </c>
      <c r="B16" s="77" t="s">
        <v>1187</v>
      </c>
      <c r="C16" s="77" t="s">
        <v>136</v>
      </c>
      <c r="D16" s="77">
        <v>12</v>
      </c>
      <c r="E16" s="77" t="s">
        <v>934</v>
      </c>
      <c r="F16" s="77"/>
      <c r="G16" s="77" t="s">
        <v>2445</v>
      </c>
      <c r="H16" s="77"/>
      <c r="I16" s="77" t="s">
        <v>1007</v>
      </c>
      <c r="J16" s="77" t="s">
        <v>2446</v>
      </c>
      <c r="K16" s="78">
        <v>3.2970000000000002</v>
      </c>
      <c r="L16" s="77" t="s">
        <v>2447</v>
      </c>
      <c r="M16" s="77" t="s">
        <v>2386</v>
      </c>
      <c r="N16" s="77" t="s">
        <v>2387</v>
      </c>
      <c r="O16" s="77">
        <v>20</v>
      </c>
      <c r="P16" s="79"/>
      <c r="R16" t="str">
        <f>VLOOKUP(C16,'[2]Tong hop Co dinh'!$C$8:$E$61,3,0)</f>
        <v>Vikyno</v>
      </c>
    </row>
    <row r="17" spans="1:18" ht="16.5" x14ac:dyDescent="0.25">
      <c r="A17" s="77">
        <v>65</v>
      </c>
      <c r="B17" s="77" t="s">
        <v>1193</v>
      </c>
      <c r="C17" s="77" t="s">
        <v>138</v>
      </c>
      <c r="D17" s="77">
        <v>12</v>
      </c>
      <c r="E17" s="77" t="s">
        <v>934</v>
      </c>
      <c r="F17" s="77"/>
      <c r="G17" s="77" t="s">
        <v>2445</v>
      </c>
      <c r="H17" s="77"/>
      <c r="I17" s="77" t="s">
        <v>1007</v>
      </c>
      <c r="J17" s="77" t="s">
        <v>2446</v>
      </c>
      <c r="K17" s="78">
        <v>3.2970000000000002</v>
      </c>
      <c r="L17" s="77" t="s">
        <v>2447</v>
      </c>
      <c r="M17" s="77" t="s">
        <v>2386</v>
      </c>
      <c r="N17" s="77" t="s">
        <v>2387</v>
      </c>
      <c r="O17" s="77">
        <v>20</v>
      </c>
      <c r="P17" s="79"/>
      <c r="R17" t="str">
        <f>VLOOKUP(C17,'[2]Tong hop Co dinh'!$C$8:$E$61,3,0)</f>
        <v>Vikyno</v>
      </c>
    </row>
    <row r="18" spans="1:18" ht="16.5" x14ac:dyDescent="0.25">
      <c r="A18" s="77">
        <v>66</v>
      </c>
      <c r="B18" s="77" t="s">
        <v>1189</v>
      </c>
      <c r="C18" s="77" t="s">
        <v>162</v>
      </c>
      <c r="D18" s="77">
        <v>12</v>
      </c>
      <c r="E18" s="77" t="s">
        <v>934</v>
      </c>
      <c r="F18" s="77"/>
      <c r="G18" s="77" t="s">
        <v>2445</v>
      </c>
      <c r="H18" s="77"/>
      <c r="I18" s="77" t="s">
        <v>1007</v>
      </c>
      <c r="J18" s="77" t="s">
        <v>2446</v>
      </c>
      <c r="K18" s="78">
        <v>3.2970000000000002</v>
      </c>
      <c r="L18" s="77" t="s">
        <v>2447</v>
      </c>
      <c r="M18" s="77" t="s">
        <v>2386</v>
      </c>
      <c r="N18" s="77" t="s">
        <v>2387</v>
      </c>
      <c r="O18" s="77">
        <v>20</v>
      </c>
      <c r="P18" s="79"/>
      <c r="R18" t="str">
        <f>VLOOKUP(C18,'[2]Tong hop Co dinh'!$C$8:$E$61,3,0)</f>
        <v>Vikyno</v>
      </c>
    </row>
    <row r="19" spans="1:18" ht="16.5" x14ac:dyDescent="0.25">
      <c r="A19" s="77">
        <v>67</v>
      </c>
      <c r="B19" s="77" t="s">
        <v>1107</v>
      </c>
      <c r="C19" s="77" t="s">
        <v>94</v>
      </c>
      <c r="D19" s="77">
        <v>12</v>
      </c>
      <c r="E19" s="77" t="s">
        <v>934</v>
      </c>
      <c r="F19" s="77"/>
      <c r="G19" s="77" t="s">
        <v>2445</v>
      </c>
      <c r="H19" s="77"/>
      <c r="I19" s="77" t="s">
        <v>1007</v>
      </c>
      <c r="J19" s="77" t="s">
        <v>2446</v>
      </c>
      <c r="K19" s="78">
        <v>3.2970000000000002</v>
      </c>
      <c r="L19" s="77" t="s">
        <v>2447</v>
      </c>
      <c r="M19" s="77" t="s">
        <v>2386</v>
      </c>
      <c r="N19" s="77" t="s">
        <v>2387</v>
      </c>
      <c r="O19" s="77">
        <v>20</v>
      </c>
      <c r="P19" s="79"/>
      <c r="R19" t="str">
        <f>VLOOKUP(C19,'[2]Tong hop Co dinh'!$C$8:$E$61,3,0)</f>
        <v>Vikyno</v>
      </c>
    </row>
    <row r="20" spans="1:18" ht="16.5" x14ac:dyDescent="0.25">
      <c r="A20" s="77">
        <v>68</v>
      </c>
      <c r="B20" s="77" t="s">
        <v>1130</v>
      </c>
      <c r="C20" s="77" t="s">
        <v>101</v>
      </c>
      <c r="D20" s="77">
        <v>12</v>
      </c>
      <c r="E20" s="77" t="s">
        <v>934</v>
      </c>
      <c r="F20" s="77"/>
      <c r="G20" s="77" t="s">
        <v>2445</v>
      </c>
      <c r="H20" s="77"/>
      <c r="I20" s="77" t="s">
        <v>1007</v>
      </c>
      <c r="J20" s="77" t="s">
        <v>2446</v>
      </c>
      <c r="K20" s="78">
        <v>3.2970000000000002</v>
      </c>
      <c r="L20" s="77" t="s">
        <v>2447</v>
      </c>
      <c r="M20" s="77" t="s">
        <v>2386</v>
      </c>
      <c r="N20" s="77" t="s">
        <v>2387</v>
      </c>
      <c r="O20" s="77">
        <v>20</v>
      </c>
      <c r="P20" s="79"/>
      <c r="R20" t="str">
        <f>VLOOKUP(C20,'[2]Tong hop Co dinh'!$C$8:$E$61,3,0)</f>
        <v>Vikyno</v>
      </c>
    </row>
    <row r="21" spans="1:18" ht="16.5" x14ac:dyDescent="0.25">
      <c r="A21" s="77">
        <v>69</v>
      </c>
      <c r="B21" s="77" t="s">
        <v>1177</v>
      </c>
      <c r="C21" s="77" t="s">
        <v>110</v>
      </c>
      <c r="D21" s="77">
        <v>12</v>
      </c>
      <c r="E21" s="77"/>
      <c r="F21" s="77"/>
      <c r="G21" s="77" t="s">
        <v>2445</v>
      </c>
      <c r="H21" s="77"/>
      <c r="I21" s="77" t="s">
        <v>1007</v>
      </c>
      <c r="J21" s="77" t="s">
        <v>2446</v>
      </c>
      <c r="K21" s="78">
        <v>3.2970000000000002</v>
      </c>
      <c r="L21" s="77" t="s">
        <v>2447</v>
      </c>
      <c r="M21" s="77" t="s">
        <v>2386</v>
      </c>
      <c r="N21" s="77" t="s">
        <v>2387</v>
      </c>
      <c r="O21" s="77">
        <v>20</v>
      </c>
      <c r="P21" s="79" t="s">
        <v>2450</v>
      </c>
      <c r="R21" t="e">
        <f>VLOOKUP(C21,'[2]Tong hop Co dinh'!$C$8:$E$61,3,0)</f>
        <v>#N/A</v>
      </c>
    </row>
    <row r="22" spans="1:18" ht="16.5" x14ac:dyDescent="0.25">
      <c r="A22" s="77">
        <v>70</v>
      </c>
      <c r="B22" s="77" t="s">
        <v>1150</v>
      </c>
      <c r="C22" s="77" t="s">
        <v>119</v>
      </c>
      <c r="D22" s="77">
        <v>12</v>
      </c>
      <c r="E22" s="77" t="s">
        <v>934</v>
      </c>
      <c r="F22" s="77"/>
      <c r="G22" s="77" t="s">
        <v>2445</v>
      </c>
      <c r="H22" s="77"/>
      <c r="I22" s="77" t="s">
        <v>1007</v>
      </c>
      <c r="J22" s="77" t="s">
        <v>2446</v>
      </c>
      <c r="K22" s="78">
        <v>3.2970000000000002</v>
      </c>
      <c r="L22" s="77" t="s">
        <v>2447</v>
      </c>
      <c r="M22" s="77" t="s">
        <v>2386</v>
      </c>
      <c r="N22" s="77" t="s">
        <v>2387</v>
      </c>
      <c r="O22" s="77">
        <v>20</v>
      </c>
      <c r="P22" s="79"/>
      <c r="R22" t="str">
        <f>VLOOKUP(C22,'[2]Tong hop Co dinh'!$C$8:$E$61,3,0)</f>
        <v>Vikyno</v>
      </c>
    </row>
    <row r="23" spans="1:18" ht="16.5" x14ac:dyDescent="0.25">
      <c r="A23" s="77">
        <v>71</v>
      </c>
      <c r="B23" s="77" t="s">
        <v>1185</v>
      </c>
      <c r="C23" s="77" t="s">
        <v>120</v>
      </c>
      <c r="D23" s="77">
        <v>12</v>
      </c>
      <c r="E23" s="77" t="s">
        <v>934</v>
      </c>
      <c r="F23" s="77"/>
      <c r="G23" s="77" t="s">
        <v>2445</v>
      </c>
      <c r="H23" s="77"/>
      <c r="I23" s="77" t="s">
        <v>1007</v>
      </c>
      <c r="J23" s="77" t="s">
        <v>2446</v>
      </c>
      <c r="K23" s="78">
        <v>3.2970000000000002</v>
      </c>
      <c r="L23" s="77" t="s">
        <v>2447</v>
      </c>
      <c r="M23" s="77" t="s">
        <v>2386</v>
      </c>
      <c r="N23" s="77" t="s">
        <v>2387</v>
      </c>
      <c r="O23" s="77">
        <v>20</v>
      </c>
      <c r="P23" s="79"/>
      <c r="R23" t="str">
        <f>VLOOKUP(C23,'[2]Tong hop Co dinh'!$C$8:$E$61,3,0)</f>
        <v>Vikyno</v>
      </c>
    </row>
    <row r="24" spans="1:18" ht="16.5" x14ac:dyDescent="0.25">
      <c r="A24" s="77">
        <v>72</v>
      </c>
      <c r="B24" s="77" t="s">
        <v>1196</v>
      </c>
      <c r="C24" s="77" t="s">
        <v>140</v>
      </c>
      <c r="D24" s="77">
        <v>12</v>
      </c>
      <c r="E24" s="77" t="s">
        <v>934</v>
      </c>
      <c r="F24" s="77"/>
      <c r="G24" s="77" t="s">
        <v>2445</v>
      </c>
      <c r="H24" s="77"/>
      <c r="I24" s="77" t="s">
        <v>1007</v>
      </c>
      <c r="J24" s="77" t="s">
        <v>2446</v>
      </c>
      <c r="K24" s="78">
        <v>3.2970000000000002</v>
      </c>
      <c r="L24" s="77" t="s">
        <v>2447</v>
      </c>
      <c r="M24" s="77" t="s">
        <v>2386</v>
      </c>
      <c r="N24" s="77" t="s">
        <v>2387</v>
      </c>
      <c r="O24" s="77">
        <v>20</v>
      </c>
      <c r="P24" s="79"/>
      <c r="R24" t="str">
        <f>VLOOKUP(C24,'[2]Tong hop Co dinh'!$C$8:$E$61,3,0)</f>
        <v>Vikyno</v>
      </c>
    </row>
    <row r="25" spans="1:18" ht="16.5" x14ac:dyDescent="0.25">
      <c r="A25" s="77">
        <v>73</v>
      </c>
      <c r="B25" s="77" t="s">
        <v>1148</v>
      </c>
      <c r="C25" s="77" t="s">
        <v>160</v>
      </c>
      <c r="D25" s="77">
        <v>8</v>
      </c>
      <c r="E25" s="77" t="s">
        <v>934</v>
      </c>
      <c r="F25" s="77"/>
      <c r="G25" s="77" t="s">
        <v>2445</v>
      </c>
      <c r="H25" s="77"/>
      <c r="I25" s="77" t="s">
        <v>1007</v>
      </c>
      <c r="J25" s="77" t="s">
        <v>2451</v>
      </c>
      <c r="K25" s="78">
        <v>2.8236000000000003</v>
      </c>
      <c r="L25" s="77" t="s">
        <v>2447</v>
      </c>
      <c r="M25" s="77" t="s">
        <v>2386</v>
      </c>
      <c r="N25" s="77" t="s">
        <v>2387</v>
      </c>
      <c r="O25" s="77">
        <v>20</v>
      </c>
      <c r="P25" s="79"/>
      <c r="R25" t="str">
        <f>VLOOKUP(C25,'[2]Tong hop Co dinh'!$C$8:$E$61,3,0)</f>
        <v>Vikyno</v>
      </c>
    </row>
    <row r="26" spans="1:18" ht="16.5" x14ac:dyDescent="0.25">
      <c r="A26" s="77">
        <v>74</v>
      </c>
      <c r="B26" s="77" t="s">
        <v>1272</v>
      </c>
      <c r="C26" s="77" t="s">
        <v>153</v>
      </c>
      <c r="D26" s="77">
        <v>12</v>
      </c>
      <c r="E26" s="77" t="s">
        <v>934</v>
      </c>
      <c r="F26" s="77"/>
      <c r="G26" s="77" t="s">
        <v>2445</v>
      </c>
      <c r="H26" s="77"/>
      <c r="I26" s="77" t="s">
        <v>1007</v>
      </c>
      <c r="J26" s="77" t="s">
        <v>2446</v>
      </c>
      <c r="K26" s="78">
        <v>3.2970000000000002</v>
      </c>
      <c r="L26" s="77" t="s">
        <v>2447</v>
      </c>
      <c r="M26" s="77" t="s">
        <v>2386</v>
      </c>
      <c r="N26" s="77" t="s">
        <v>2387</v>
      </c>
      <c r="O26" s="77">
        <v>20</v>
      </c>
      <c r="P26" s="79"/>
      <c r="R26" t="str">
        <f>VLOOKUP(C26,'[2]Tong hop Co dinh'!$C$8:$E$61,3,0)</f>
        <v>Vikyno</v>
      </c>
    </row>
    <row r="27" spans="1:18" ht="16.5" x14ac:dyDescent="0.25">
      <c r="A27" s="77">
        <v>75</v>
      </c>
      <c r="B27" s="77" t="s">
        <v>1056</v>
      </c>
      <c r="C27" s="77" t="s">
        <v>198</v>
      </c>
      <c r="D27" s="77">
        <v>12</v>
      </c>
      <c r="E27" s="77" t="s">
        <v>934</v>
      </c>
      <c r="F27" s="77"/>
      <c r="G27" s="77" t="s">
        <v>2445</v>
      </c>
      <c r="H27" s="77"/>
      <c r="I27" s="77" t="s">
        <v>1007</v>
      </c>
      <c r="J27" s="77" t="s">
        <v>2446</v>
      </c>
      <c r="K27" s="78">
        <v>3.2970000000000002</v>
      </c>
      <c r="L27" s="77" t="s">
        <v>2447</v>
      </c>
      <c r="M27" s="77" t="s">
        <v>2386</v>
      </c>
      <c r="N27" s="77" t="s">
        <v>2387</v>
      </c>
      <c r="O27" s="77">
        <v>20</v>
      </c>
      <c r="P27" s="79"/>
      <c r="R27" t="str">
        <f>VLOOKUP(C27,'[2]Tong hop Co dinh'!$C$8:$E$61,3,0)</f>
        <v>Vikyno</v>
      </c>
    </row>
    <row r="28" spans="1:18" ht="16.5" x14ac:dyDescent="0.25">
      <c r="A28" s="77">
        <v>76</v>
      </c>
      <c r="B28" s="77" t="s">
        <v>1075</v>
      </c>
      <c r="C28" s="77" t="s">
        <v>208</v>
      </c>
      <c r="D28" s="77">
        <v>12</v>
      </c>
      <c r="E28" s="77"/>
      <c r="F28" s="77"/>
      <c r="G28" s="77" t="s">
        <v>2445</v>
      </c>
      <c r="H28" s="77"/>
      <c r="I28" s="77" t="s">
        <v>1007</v>
      </c>
      <c r="J28" s="77" t="s">
        <v>2446</v>
      </c>
      <c r="K28" s="78">
        <v>3.2970000000000002</v>
      </c>
      <c r="L28" s="77" t="s">
        <v>2447</v>
      </c>
      <c r="M28" s="77" t="s">
        <v>2386</v>
      </c>
      <c r="N28" s="77" t="s">
        <v>2387</v>
      </c>
      <c r="O28" s="77">
        <v>20</v>
      </c>
      <c r="P28" s="79" t="s">
        <v>2448</v>
      </c>
      <c r="R28" t="str">
        <f>VLOOKUP(C28,'[2]Tong hop Co dinh'!$C$8:$E$61,3,0)</f>
        <v>Vikyno</v>
      </c>
    </row>
    <row r="29" spans="1:18" ht="16.5" x14ac:dyDescent="0.25">
      <c r="A29" s="77">
        <v>77</v>
      </c>
      <c r="B29" s="77" t="s">
        <v>1077</v>
      </c>
      <c r="C29" s="77" t="s">
        <v>209</v>
      </c>
      <c r="D29" s="77">
        <v>12</v>
      </c>
      <c r="E29" s="77" t="s">
        <v>934</v>
      </c>
      <c r="F29" s="77"/>
      <c r="G29" s="77" t="s">
        <v>2445</v>
      </c>
      <c r="H29" s="77"/>
      <c r="I29" s="77" t="s">
        <v>1007</v>
      </c>
      <c r="J29" s="77" t="s">
        <v>2446</v>
      </c>
      <c r="K29" s="78">
        <v>3.2970000000000002</v>
      </c>
      <c r="L29" s="77" t="s">
        <v>2447</v>
      </c>
      <c r="M29" s="77" t="s">
        <v>2386</v>
      </c>
      <c r="N29" s="77" t="s">
        <v>2387</v>
      </c>
      <c r="O29" s="77">
        <v>20</v>
      </c>
      <c r="P29" s="79"/>
      <c r="R29" t="str">
        <f>VLOOKUP(C29,'[2]Tong hop Co dinh'!$C$8:$E$61,3,0)</f>
        <v>Vikyno</v>
      </c>
    </row>
    <row r="30" spans="1:18" ht="16.5" x14ac:dyDescent="0.25">
      <c r="A30" s="77">
        <v>78</v>
      </c>
      <c r="B30" s="77" t="s">
        <v>1079</v>
      </c>
      <c r="C30" s="77" t="s">
        <v>130</v>
      </c>
      <c r="D30" s="77">
        <v>12</v>
      </c>
      <c r="E30" s="77" t="s">
        <v>934</v>
      </c>
      <c r="F30" s="77"/>
      <c r="G30" s="77" t="s">
        <v>2445</v>
      </c>
      <c r="H30" s="77"/>
      <c r="I30" s="77" t="s">
        <v>1007</v>
      </c>
      <c r="J30" s="77" t="s">
        <v>2446</v>
      </c>
      <c r="K30" s="78">
        <v>3.2970000000000002</v>
      </c>
      <c r="L30" s="77" t="s">
        <v>2447</v>
      </c>
      <c r="M30" s="77" t="s">
        <v>2386</v>
      </c>
      <c r="N30" s="77" t="s">
        <v>2387</v>
      </c>
      <c r="O30" s="77">
        <v>20</v>
      </c>
      <c r="P30" s="79"/>
      <c r="R30" t="str">
        <f>VLOOKUP(C30,'[2]Tong hop Co dinh'!$C$8:$E$61,3,0)</f>
        <v>Vikyno</v>
      </c>
    </row>
    <row r="31" spans="1:18" ht="16.5" x14ac:dyDescent="0.25">
      <c r="A31" s="77">
        <v>79</v>
      </c>
      <c r="B31" s="77" t="s">
        <v>1041</v>
      </c>
      <c r="C31" s="77" t="s">
        <v>187</v>
      </c>
      <c r="D31" s="77">
        <v>12</v>
      </c>
      <c r="E31" s="77" t="s">
        <v>934</v>
      </c>
      <c r="F31" s="77"/>
      <c r="G31" s="77" t="s">
        <v>2445</v>
      </c>
      <c r="H31" s="77"/>
      <c r="I31" s="77" t="s">
        <v>1007</v>
      </c>
      <c r="J31" s="77" t="s">
        <v>2446</v>
      </c>
      <c r="K31" s="78">
        <v>3.2970000000000002</v>
      </c>
      <c r="L31" s="77" t="s">
        <v>2447</v>
      </c>
      <c r="M31" s="77" t="s">
        <v>2386</v>
      </c>
      <c r="N31" s="77" t="s">
        <v>2387</v>
      </c>
      <c r="O31" s="77">
        <v>20</v>
      </c>
      <c r="P31" s="79"/>
      <c r="R31" t="str">
        <f>VLOOKUP(C31,'[2]Tong hop Co dinh'!$C$8:$E$61,3,0)</f>
        <v>Vikyno</v>
      </c>
    </row>
    <row r="32" spans="1:18" ht="16.5" x14ac:dyDescent="0.25">
      <c r="A32" s="77">
        <v>80</v>
      </c>
      <c r="B32" s="77" t="s">
        <v>1158</v>
      </c>
      <c r="C32" s="77" t="s">
        <v>377</v>
      </c>
      <c r="D32" s="77">
        <v>12</v>
      </c>
      <c r="E32" s="77"/>
      <c r="F32" s="77"/>
      <c r="G32" s="77" t="s">
        <v>2445</v>
      </c>
      <c r="H32" s="77"/>
      <c r="I32" s="77" t="s">
        <v>1007</v>
      </c>
      <c r="J32" s="77" t="s">
        <v>2446</v>
      </c>
      <c r="K32" s="78">
        <v>3.2970000000000002</v>
      </c>
      <c r="L32" s="77" t="s">
        <v>2447</v>
      </c>
      <c r="M32" s="77" t="s">
        <v>2386</v>
      </c>
      <c r="N32" s="77" t="s">
        <v>2387</v>
      </c>
      <c r="O32" s="77">
        <v>20</v>
      </c>
      <c r="P32" s="79" t="s">
        <v>2450</v>
      </c>
      <c r="R32" t="str">
        <f>VLOOKUP(C32,'[2]Tong hop Co dinh'!$C$8:$E$61,3,0)</f>
        <v>Vikyno</v>
      </c>
    </row>
    <row r="33" spans="1:18" ht="16.5" x14ac:dyDescent="0.25">
      <c r="A33" s="77">
        <v>81</v>
      </c>
      <c r="B33" s="77" t="s">
        <v>1202</v>
      </c>
      <c r="C33" s="77" t="s">
        <v>391</v>
      </c>
      <c r="D33" s="77">
        <v>12</v>
      </c>
      <c r="E33" s="77" t="s">
        <v>934</v>
      </c>
      <c r="F33" s="77"/>
      <c r="G33" s="77" t="s">
        <v>2445</v>
      </c>
      <c r="H33" s="77"/>
      <c r="I33" s="77" t="s">
        <v>1007</v>
      </c>
      <c r="J33" s="77" t="s">
        <v>2446</v>
      </c>
      <c r="K33" s="78">
        <v>3.2970000000000002</v>
      </c>
      <c r="L33" s="77" t="s">
        <v>2447</v>
      </c>
      <c r="M33" s="77" t="s">
        <v>2386</v>
      </c>
      <c r="N33" s="77" t="s">
        <v>2387</v>
      </c>
      <c r="O33" s="77">
        <v>20</v>
      </c>
      <c r="P33" s="79"/>
      <c r="R33" t="str">
        <f>VLOOKUP(C33,'[2]Tong hop Co dinh'!$C$8:$E$61,3,0)</f>
        <v>Vikyno</v>
      </c>
    </row>
    <row r="34" spans="1:18" ht="16.5" x14ac:dyDescent="0.25">
      <c r="A34" s="77">
        <v>82</v>
      </c>
      <c r="B34" s="77" t="s">
        <v>1201</v>
      </c>
      <c r="C34" s="77" t="s">
        <v>390</v>
      </c>
      <c r="D34" s="77">
        <v>12</v>
      </c>
      <c r="E34" s="77"/>
      <c r="F34" s="77"/>
      <c r="G34" s="77" t="s">
        <v>2445</v>
      </c>
      <c r="H34" s="77"/>
      <c r="I34" s="77" t="s">
        <v>1007</v>
      </c>
      <c r="J34" s="77" t="s">
        <v>2446</v>
      </c>
      <c r="K34" s="78">
        <v>3.2970000000000002</v>
      </c>
      <c r="L34" s="77" t="s">
        <v>2447</v>
      </c>
      <c r="M34" s="77" t="s">
        <v>2386</v>
      </c>
      <c r="N34" s="77" t="s">
        <v>2387</v>
      </c>
      <c r="O34" s="77">
        <v>20</v>
      </c>
      <c r="P34" s="79" t="s">
        <v>2450</v>
      </c>
      <c r="R34" t="e">
        <f>VLOOKUP(C34,'[2]Tong hop Co dinh'!$C$8:$E$61,3,0)</f>
        <v>#N/A</v>
      </c>
    </row>
    <row r="35" spans="1:18" ht="16.5" x14ac:dyDescent="0.25">
      <c r="A35" s="77">
        <v>83</v>
      </c>
      <c r="B35" s="77" t="s">
        <v>1370</v>
      </c>
      <c r="C35" s="77" t="s">
        <v>395</v>
      </c>
      <c r="D35" s="77">
        <v>12</v>
      </c>
      <c r="E35" s="77" t="s">
        <v>934</v>
      </c>
      <c r="F35" s="77"/>
      <c r="G35" s="77" t="s">
        <v>2445</v>
      </c>
      <c r="H35" s="77"/>
      <c r="I35" s="77" t="s">
        <v>1007</v>
      </c>
      <c r="J35" s="77" t="s">
        <v>2446</v>
      </c>
      <c r="K35" s="78">
        <v>3.2970000000000002</v>
      </c>
      <c r="L35" s="77" t="s">
        <v>2447</v>
      </c>
      <c r="M35" s="77" t="s">
        <v>2386</v>
      </c>
      <c r="N35" s="77" t="s">
        <v>2387</v>
      </c>
      <c r="O35" s="77">
        <v>20</v>
      </c>
      <c r="P35" s="79"/>
      <c r="R35" t="str">
        <f>VLOOKUP(C35,'[2]Tong hop Co dinh'!$C$8:$E$61,3,0)</f>
        <v>Vikyno</v>
      </c>
    </row>
    <row r="36" spans="1:18" ht="16.5" x14ac:dyDescent="0.25">
      <c r="A36" s="77">
        <v>84</v>
      </c>
      <c r="B36" s="77" t="s">
        <v>1408</v>
      </c>
      <c r="C36" s="77" t="s">
        <v>387</v>
      </c>
      <c r="D36" s="77">
        <v>12</v>
      </c>
      <c r="E36" s="77" t="s">
        <v>934</v>
      </c>
      <c r="F36" s="77"/>
      <c r="G36" s="77" t="s">
        <v>2445</v>
      </c>
      <c r="H36" s="77"/>
      <c r="I36" s="77" t="s">
        <v>1007</v>
      </c>
      <c r="J36" s="77" t="s">
        <v>2446</v>
      </c>
      <c r="K36" s="78">
        <v>3.2970000000000002</v>
      </c>
      <c r="L36" s="77" t="s">
        <v>2447</v>
      </c>
      <c r="M36" s="77" t="s">
        <v>2386</v>
      </c>
      <c r="N36" s="77" t="s">
        <v>2387</v>
      </c>
      <c r="O36" s="77">
        <v>20</v>
      </c>
      <c r="P36" s="79"/>
      <c r="R36" t="str">
        <f>VLOOKUP(C36,'[2]Tong hop Co dinh'!$C$8:$E$61,3,0)</f>
        <v>Vikyno</v>
      </c>
    </row>
    <row r="37" spans="1:18" ht="16.5" x14ac:dyDescent="0.25">
      <c r="A37" s="77">
        <v>85</v>
      </c>
      <c r="B37" s="77" t="s">
        <v>1409</v>
      </c>
      <c r="C37" s="77" t="s">
        <v>417</v>
      </c>
      <c r="D37" s="77">
        <v>12</v>
      </c>
      <c r="E37" s="77" t="s">
        <v>934</v>
      </c>
      <c r="F37" s="77"/>
      <c r="G37" s="77" t="s">
        <v>2445</v>
      </c>
      <c r="H37" s="77"/>
      <c r="I37" s="77" t="s">
        <v>1007</v>
      </c>
      <c r="J37" s="77" t="s">
        <v>2446</v>
      </c>
      <c r="K37" s="78">
        <v>3.2970000000000002</v>
      </c>
      <c r="L37" s="77" t="s">
        <v>2447</v>
      </c>
      <c r="M37" s="77" t="s">
        <v>2386</v>
      </c>
      <c r="N37" s="77" t="s">
        <v>2387</v>
      </c>
      <c r="O37" s="77">
        <v>20</v>
      </c>
      <c r="P37" s="79"/>
      <c r="R37" t="str">
        <f>VLOOKUP(C37,'[2]Tong hop Co dinh'!$C$8:$E$61,3,0)</f>
        <v>Vikyno</v>
      </c>
    </row>
    <row r="38" spans="1:18" ht="16.5" x14ac:dyDescent="0.25">
      <c r="A38" s="77">
        <v>86</v>
      </c>
      <c r="B38" s="77" t="s">
        <v>1300</v>
      </c>
      <c r="C38" s="77" t="s">
        <v>418</v>
      </c>
      <c r="D38" s="77">
        <v>12</v>
      </c>
      <c r="E38" s="77" t="s">
        <v>934</v>
      </c>
      <c r="F38" s="77"/>
      <c r="G38" s="77" t="s">
        <v>2445</v>
      </c>
      <c r="H38" s="77"/>
      <c r="I38" s="77" t="s">
        <v>1007</v>
      </c>
      <c r="J38" s="77" t="s">
        <v>2446</v>
      </c>
      <c r="K38" s="78">
        <v>3.2970000000000002</v>
      </c>
      <c r="L38" s="77" t="s">
        <v>2447</v>
      </c>
      <c r="M38" s="77" t="s">
        <v>2386</v>
      </c>
      <c r="N38" s="77" t="s">
        <v>2387</v>
      </c>
      <c r="O38" s="77">
        <v>20</v>
      </c>
      <c r="P38" s="79"/>
      <c r="R38" t="str">
        <f>VLOOKUP(C38,'[2]Tong hop Co dinh'!$C$8:$E$61,3,0)</f>
        <v>Vikyno</v>
      </c>
    </row>
    <row r="39" spans="1:18" ht="16.5" x14ac:dyDescent="0.25">
      <c r="A39" s="77">
        <v>87</v>
      </c>
      <c r="B39" s="77" t="s">
        <v>990</v>
      </c>
      <c r="C39" s="77" t="s">
        <v>422</v>
      </c>
      <c r="D39" s="77">
        <v>12</v>
      </c>
      <c r="E39" s="77"/>
      <c r="F39" s="77"/>
      <c r="G39" s="77" t="s">
        <v>2445</v>
      </c>
      <c r="H39" s="77"/>
      <c r="I39" s="77" t="s">
        <v>1007</v>
      </c>
      <c r="J39" s="77" t="s">
        <v>2446</v>
      </c>
      <c r="K39" s="78">
        <v>3.2970000000000002</v>
      </c>
      <c r="L39" s="77" t="s">
        <v>2447</v>
      </c>
      <c r="M39" s="77" t="s">
        <v>2386</v>
      </c>
      <c r="N39" s="77" t="s">
        <v>2387</v>
      </c>
      <c r="O39" s="77">
        <v>20</v>
      </c>
      <c r="P39" s="79" t="s">
        <v>2448</v>
      </c>
      <c r="R39" t="str">
        <f>VLOOKUP(C39,'[2]Tong hop Co dinh'!$C$8:$E$61,3,0)</f>
        <v>Vikyno</v>
      </c>
    </row>
    <row r="40" spans="1:18" ht="16.5" x14ac:dyDescent="0.25">
      <c r="A40" s="77">
        <v>88</v>
      </c>
      <c r="B40" s="77" t="s">
        <v>1087</v>
      </c>
      <c r="C40" s="77" t="s">
        <v>423</v>
      </c>
      <c r="D40" s="77">
        <v>12</v>
      </c>
      <c r="E40" s="77" t="s">
        <v>934</v>
      </c>
      <c r="F40" s="77"/>
      <c r="G40" s="77" t="s">
        <v>2445</v>
      </c>
      <c r="H40" s="77"/>
      <c r="I40" s="77" t="s">
        <v>1007</v>
      </c>
      <c r="J40" s="77" t="s">
        <v>2446</v>
      </c>
      <c r="K40" s="78">
        <v>3.2970000000000002</v>
      </c>
      <c r="L40" s="77" t="s">
        <v>2447</v>
      </c>
      <c r="M40" s="77" t="s">
        <v>2386</v>
      </c>
      <c r="N40" s="77" t="s">
        <v>2387</v>
      </c>
      <c r="O40" s="77">
        <v>20</v>
      </c>
      <c r="P40" s="79"/>
      <c r="R40" t="str">
        <f>VLOOKUP(C40,'[2]Tong hop Co dinh'!$C$8:$E$61,3,0)</f>
        <v>Vikyno</v>
      </c>
    </row>
    <row r="41" spans="1:18" ht="16.5" x14ac:dyDescent="0.25">
      <c r="A41" s="77">
        <v>89</v>
      </c>
      <c r="B41" s="77" t="s">
        <v>1218</v>
      </c>
      <c r="C41" s="77" t="s">
        <v>347</v>
      </c>
      <c r="D41" s="77">
        <v>12</v>
      </c>
      <c r="E41" s="77" t="s">
        <v>934</v>
      </c>
      <c r="F41" s="77"/>
      <c r="G41" s="77" t="s">
        <v>2445</v>
      </c>
      <c r="H41" s="77"/>
      <c r="I41" s="77" t="s">
        <v>1007</v>
      </c>
      <c r="J41" s="77" t="s">
        <v>2446</v>
      </c>
      <c r="K41" s="78">
        <v>3.2970000000000002</v>
      </c>
      <c r="L41" s="77" t="s">
        <v>2447</v>
      </c>
      <c r="M41" s="77" t="s">
        <v>2386</v>
      </c>
      <c r="N41" s="77" t="s">
        <v>2387</v>
      </c>
      <c r="O41" s="77">
        <v>20</v>
      </c>
      <c r="P41" s="79"/>
      <c r="R41" t="str">
        <f>VLOOKUP(C41,'[2]Tong hop Co dinh'!$C$8:$E$61,3,0)</f>
        <v>Vikyno</v>
      </c>
    </row>
    <row r="42" spans="1:18" ht="16.5" x14ac:dyDescent="0.25">
      <c r="A42" s="77">
        <v>90</v>
      </c>
      <c r="B42" s="77" t="s">
        <v>1371</v>
      </c>
      <c r="C42" s="77" t="s">
        <v>413</v>
      </c>
      <c r="D42" s="77">
        <v>12</v>
      </c>
      <c r="E42" s="77"/>
      <c r="F42" s="77"/>
      <c r="G42" s="77" t="s">
        <v>2445</v>
      </c>
      <c r="H42" s="77"/>
      <c r="I42" s="77" t="s">
        <v>1007</v>
      </c>
      <c r="J42" s="77" t="s">
        <v>2446</v>
      </c>
      <c r="K42" s="78">
        <v>3.2970000000000002</v>
      </c>
      <c r="L42" s="77" t="s">
        <v>2447</v>
      </c>
      <c r="M42" s="77" t="s">
        <v>2386</v>
      </c>
      <c r="N42" s="77" t="s">
        <v>2387</v>
      </c>
      <c r="O42" s="77">
        <v>20</v>
      </c>
      <c r="P42" s="79" t="s">
        <v>2448</v>
      </c>
      <c r="R42" t="str">
        <f>VLOOKUP(C42,'[2]Tong hop Co dinh'!$C$8:$E$61,3,0)</f>
        <v>Vikyno</v>
      </c>
    </row>
    <row r="43" spans="1:18" ht="16.5" x14ac:dyDescent="0.25">
      <c r="A43" s="77">
        <v>91</v>
      </c>
      <c r="B43" s="77" t="s">
        <v>625</v>
      </c>
      <c r="C43" s="77" t="s">
        <v>217</v>
      </c>
      <c r="D43" s="77">
        <v>12</v>
      </c>
      <c r="E43" s="77" t="s">
        <v>2452</v>
      </c>
      <c r="F43" s="77">
        <v>2018</v>
      </c>
      <c r="G43" s="77" t="s">
        <v>2445</v>
      </c>
      <c r="H43" s="77"/>
      <c r="I43" s="77" t="s">
        <v>1007</v>
      </c>
      <c r="J43" s="77" t="s">
        <v>2446</v>
      </c>
      <c r="K43" s="78">
        <v>3.2970000000000002</v>
      </c>
      <c r="L43" s="77" t="s">
        <v>2447</v>
      </c>
      <c r="M43" s="77" t="s">
        <v>2386</v>
      </c>
      <c r="N43" s="77" t="s">
        <v>2387</v>
      </c>
      <c r="O43" s="77">
        <v>20</v>
      </c>
      <c r="P43" s="79"/>
      <c r="R43" t="str">
        <f>VLOOKUP(C43,'[2]Tong hop Co dinh'!$C$8:$E$61,3,0)</f>
        <v>DenYo</v>
      </c>
    </row>
    <row r="44" spans="1:18" ht="16.5" x14ac:dyDescent="0.25">
      <c r="A44" s="77">
        <v>92</v>
      </c>
      <c r="B44" s="77" t="s">
        <v>1310</v>
      </c>
      <c r="C44" s="77" t="s">
        <v>247</v>
      </c>
      <c r="D44" s="77">
        <v>12</v>
      </c>
      <c r="E44" s="77" t="s">
        <v>934</v>
      </c>
      <c r="F44" s="77">
        <v>2018</v>
      </c>
      <c r="G44" s="77" t="s">
        <v>2445</v>
      </c>
      <c r="H44" s="77"/>
      <c r="I44" s="77" t="s">
        <v>1007</v>
      </c>
      <c r="J44" s="77" t="s">
        <v>2446</v>
      </c>
      <c r="K44" s="78">
        <v>3.2970000000000002</v>
      </c>
      <c r="L44" s="77" t="s">
        <v>2447</v>
      </c>
      <c r="M44" s="77" t="s">
        <v>2386</v>
      </c>
      <c r="N44" s="77" t="s">
        <v>2387</v>
      </c>
      <c r="O44" s="77">
        <v>20</v>
      </c>
      <c r="P44" s="79"/>
      <c r="R44" t="str">
        <f>VLOOKUP(C44,'[2]Tong hop Co dinh'!$C$8:$E$61,3,0)</f>
        <v>Vikyno</v>
      </c>
    </row>
    <row r="45" spans="1:18" ht="16.5" x14ac:dyDescent="0.25">
      <c r="A45" s="77">
        <v>93</v>
      </c>
      <c r="B45" s="77" t="s">
        <v>1312</v>
      </c>
      <c r="C45" s="77" t="s">
        <v>249</v>
      </c>
      <c r="D45" s="77">
        <v>12</v>
      </c>
      <c r="E45" s="77" t="s">
        <v>934</v>
      </c>
      <c r="F45" s="77">
        <v>2018</v>
      </c>
      <c r="G45" s="77" t="s">
        <v>2445</v>
      </c>
      <c r="H45" s="77"/>
      <c r="I45" s="77" t="s">
        <v>1007</v>
      </c>
      <c r="J45" s="77" t="s">
        <v>2446</v>
      </c>
      <c r="K45" s="78">
        <v>3.2970000000000002</v>
      </c>
      <c r="L45" s="77" t="s">
        <v>2447</v>
      </c>
      <c r="M45" s="77" t="s">
        <v>2386</v>
      </c>
      <c r="N45" s="77" t="s">
        <v>2387</v>
      </c>
      <c r="O45" s="77">
        <v>20</v>
      </c>
      <c r="P45" s="79"/>
      <c r="R45" t="str">
        <f>VLOOKUP(C45,'[2]Tong hop Co dinh'!$C$8:$E$61,3,0)</f>
        <v>Vikyno</v>
      </c>
    </row>
    <row r="46" spans="1:18" ht="16.5" x14ac:dyDescent="0.25">
      <c r="A46" s="77">
        <v>94</v>
      </c>
      <c r="B46" s="77" t="s">
        <v>656</v>
      </c>
      <c r="C46" s="77" t="s">
        <v>161</v>
      </c>
      <c r="D46" s="77">
        <v>12</v>
      </c>
      <c r="E46" s="77" t="s">
        <v>991</v>
      </c>
      <c r="F46" s="77"/>
      <c r="G46" s="77" t="s">
        <v>2445</v>
      </c>
      <c r="H46" s="77"/>
      <c r="I46" s="77" t="s">
        <v>1007</v>
      </c>
      <c r="J46" s="77" t="s">
        <v>2446</v>
      </c>
      <c r="K46" s="78">
        <v>3.2970000000000002</v>
      </c>
      <c r="L46" s="77" t="s">
        <v>2447</v>
      </c>
      <c r="M46" s="77" t="s">
        <v>2386</v>
      </c>
      <c r="N46" s="77" t="s">
        <v>2387</v>
      </c>
      <c r="O46" s="77">
        <v>20</v>
      </c>
      <c r="P46" s="79"/>
      <c r="R46" t="str">
        <f>VLOOKUP(C46,'[2]Tong hop Co dinh'!$C$8:$E$61,3,0)</f>
        <v>TATO</v>
      </c>
    </row>
    <row r="47" spans="1:18" ht="16.5" x14ac:dyDescent="0.25">
      <c r="A47" s="77">
        <v>95</v>
      </c>
      <c r="B47" s="77" t="s">
        <v>1198</v>
      </c>
      <c r="C47" s="77" t="s">
        <v>383</v>
      </c>
      <c r="D47" s="77">
        <v>12</v>
      </c>
      <c r="E47" s="77" t="s">
        <v>1643</v>
      </c>
      <c r="F47" s="77"/>
      <c r="G47" s="77" t="s">
        <v>2445</v>
      </c>
      <c r="H47" s="77"/>
      <c r="I47" s="77" t="s">
        <v>1007</v>
      </c>
      <c r="J47" s="77" t="s">
        <v>2446</v>
      </c>
      <c r="K47" s="78">
        <v>3.2970000000000002</v>
      </c>
      <c r="L47" s="77" t="s">
        <v>2447</v>
      </c>
      <c r="M47" s="77" t="s">
        <v>2386</v>
      </c>
      <c r="N47" s="77" t="s">
        <v>2387</v>
      </c>
      <c r="O47" s="77">
        <v>20</v>
      </c>
      <c r="P47" s="79"/>
      <c r="R47" t="str">
        <f>VLOOKUP(C47,'[2]Tong hop Co dinh'!$C$8:$E$61,3,0)</f>
        <v>DENYO</v>
      </c>
    </row>
    <row r="48" spans="1:18" ht="16.5" x14ac:dyDescent="0.25">
      <c r="A48" s="77">
        <v>96</v>
      </c>
      <c r="B48" s="77" t="s">
        <v>1238</v>
      </c>
      <c r="C48" s="77" t="s">
        <v>353</v>
      </c>
      <c r="D48" s="77">
        <v>10</v>
      </c>
      <c r="E48" s="77" t="s">
        <v>2453</v>
      </c>
      <c r="F48" s="77"/>
      <c r="G48" s="77" t="s">
        <v>2445</v>
      </c>
      <c r="H48" s="77"/>
      <c r="I48" s="77" t="s">
        <v>1007</v>
      </c>
      <c r="J48" s="77" t="s">
        <v>2446</v>
      </c>
      <c r="K48" s="78">
        <v>2.9</v>
      </c>
      <c r="L48" s="77" t="s">
        <v>2447</v>
      </c>
      <c r="M48" s="77" t="s">
        <v>2386</v>
      </c>
      <c r="N48" s="77" t="s">
        <v>2387</v>
      </c>
      <c r="O48" s="77">
        <v>20</v>
      </c>
      <c r="P48" s="79"/>
      <c r="R48" t="str">
        <f>VLOOKUP(C48,'[2]Tong hop Co dinh'!$C$8:$E$61,3,0)</f>
        <v>Vykino</v>
      </c>
    </row>
    <row r="49" spans="1:18" ht="16.5" x14ac:dyDescent="0.25">
      <c r="A49" s="77">
        <v>97</v>
      </c>
      <c r="B49" s="77" t="s">
        <v>1346</v>
      </c>
      <c r="C49" s="77" t="s">
        <v>273</v>
      </c>
      <c r="D49" s="77">
        <v>10</v>
      </c>
      <c r="E49" s="77" t="s">
        <v>2453</v>
      </c>
      <c r="F49" s="77"/>
      <c r="G49" s="77" t="s">
        <v>2445</v>
      </c>
      <c r="H49" s="77"/>
      <c r="I49" s="77" t="s">
        <v>1007</v>
      </c>
      <c r="J49" s="77" t="s">
        <v>2446</v>
      </c>
      <c r="K49" s="78">
        <v>2.9</v>
      </c>
      <c r="L49" s="77" t="s">
        <v>2447</v>
      </c>
      <c r="M49" s="77" t="s">
        <v>2386</v>
      </c>
      <c r="N49" s="77" t="s">
        <v>2387</v>
      </c>
      <c r="O49" s="77">
        <v>20</v>
      </c>
      <c r="P49" s="79"/>
      <c r="R49" t="str">
        <f>VLOOKUP(C49,'[2]Tong hop Co dinh'!$C$8:$E$61,3,0)</f>
        <v>Vykino</v>
      </c>
    </row>
    <row r="50" spans="1:18" ht="16.5" x14ac:dyDescent="0.25">
      <c r="A50" s="77">
        <v>98</v>
      </c>
      <c r="B50" s="77" t="s">
        <v>1045</v>
      </c>
      <c r="C50" s="77" t="s">
        <v>189</v>
      </c>
      <c r="D50" s="77">
        <v>10</v>
      </c>
      <c r="E50" s="77" t="s">
        <v>2453</v>
      </c>
      <c r="F50" s="77"/>
      <c r="G50" s="77" t="s">
        <v>2445</v>
      </c>
      <c r="H50" s="77"/>
      <c r="I50" s="77" t="s">
        <v>1007</v>
      </c>
      <c r="J50" s="77" t="s">
        <v>2446</v>
      </c>
      <c r="K50" s="78">
        <v>2.9</v>
      </c>
      <c r="L50" s="77" t="s">
        <v>2447</v>
      </c>
      <c r="M50" s="77" t="s">
        <v>2386</v>
      </c>
      <c r="N50" s="77" t="s">
        <v>2387</v>
      </c>
      <c r="O50" s="77">
        <v>20</v>
      </c>
      <c r="P50" s="79"/>
      <c r="R50" t="str">
        <f>VLOOKUP(C50,'[2]Tong hop Co dinh'!$C$8:$E$61,3,0)</f>
        <v>Vykino</v>
      </c>
    </row>
    <row r="51" spans="1:18" ht="16.5" x14ac:dyDescent="0.25">
      <c r="A51" s="77">
        <v>99</v>
      </c>
      <c r="B51" s="77" t="s">
        <v>1299</v>
      </c>
      <c r="C51" s="77" t="s">
        <v>164</v>
      </c>
      <c r="D51" s="77">
        <v>10</v>
      </c>
      <c r="E51" s="77" t="s">
        <v>2453</v>
      </c>
      <c r="F51" s="77"/>
      <c r="G51" s="77" t="s">
        <v>2445</v>
      </c>
      <c r="H51" s="77"/>
      <c r="I51" s="77" t="s">
        <v>1007</v>
      </c>
      <c r="J51" s="77" t="s">
        <v>2446</v>
      </c>
      <c r="K51" s="78">
        <v>2.9</v>
      </c>
      <c r="L51" s="77" t="s">
        <v>2447</v>
      </c>
      <c r="M51" s="77" t="s">
        <v>2386</v>
      </c>
      <c r="N51" s="77" t="s">
        <v>2387</v>
      </c>
      <c r="O51" s="77">
        <v>20</v>
      </c>
      <c r="P51" s="79"/>
      <c r="R51" t="str">
        <f>VLOOKUP(C51,'[2]Tong hop Co dinh'!$C$8:$E$61,3,0)</f>
        <v>Vykino</v>
      </c>
    </row>
    <row r="52" spans="1:18" ht="16.5" x14ac:dyDescent="0.25">
      <c r="A52" s="77">
        <v>145</v>
      </c>
      <c r="B52" s="77" t="s">
        <v>1078</v>
      </c>
      <c r="C52" s="77" t="s">
        <v>89</v>
      </c>
      <c r="D52" s="77">
        <v>10</v>
      </c>
      <c r="E52" s="77"/>
      <c r="F52" s="77">
        <v>2019</v>
      </c>
      <c r="G52" s="77" t="s">
        <v>2445</v>
      </c>
      <c r="H52" s="77" t="s">
        <v>2454</v>
      </c>
      <c r="I52" s="77" t="s">
        <v>1007</v>
      </c>
      <c r="J52" s="77" t="s">
        <v>2446</v>
      </c>
      <c r="K52" s="78">
        <v>2.9</v>
      </c>
      <c r="L52" s="77" t="s">
        <v>2447</v>
      </c>
      <c r="M52" s="77" t="s">
        <v>2386</v>
      </c>
      <c r="N52" s="77" t="s">
        <v>2387</v>
      </c>
      <c r="O52" s="77">
        <v>20</v>
      </c>
      <c r="P52" s="79" t="s">
        <v>2455</v>
      </c>
      <c r="R52" t="str">
        <f>VLOOKUP(C52,'[2]Tong hop Co dinh'!$C$8:$E$61,3,0)</f>
        <v>Vikyno</v>
      </c>
    </row>
    <row r="53" spans="1:18" ht="16.5" x14ac:dyDescent="0.25">
      <c r="A53" s="77">
        <v>162</v>
      </c>
      <c r="B53" s="77" t="s">
        <v>1397</v>
      </c>
      <c r="C53" s="77" t="s">
        <v>313</v>
      </c>
      <c r="D53" s="77">
        <v>10</v>
      </c>
      <c r="E53" s="77" t="s">
        <v>934</v>
      </c>
      <c r="F53" s="77">
        <v>2022</v>
      </c>
      <c r="G53" s="77" t="s">
        <v>2445</v>
      </c>
      <c r="H53" s="77" t="s">
        <v>2454</v>
      </c>
      <c r="I53" s="77" t="s">
        <v>1007</v>
      </c>
      <c r="J53" s="77" t="s">
        <v>2451</v>
      </c>
      <c r="K53" s="78">
        <v>2.9</v>
      </c>
      <c r="L53" s="77" t="s">
        <v>2447</v>
      </c>
      <c r="M53" s="77" t="s">
        <v>2386</v>
      </c>
      <c r="N53" s="77" t="s">
        <v>2387</v>
      </c>
      <c r="O53" s="77">
        <v>20</v>
      </c>
      <c r="P53" s="79"/>
      <c r="R53" t="str">
        <f>VLOOKUP(C53,'[2]Tong hop Co dinh'!$C$8:$E$61,3,0)</f>
        <v>Vikyno</v>
      </c>
    </row>
  </sheetData>
  <conditionalFormatting sqref="B1:B53">
    <cfRule type="duplicateValues" dxfId="102" priority="26"/>
    <cfRule type="duplicateValues" dxfId="101" priority="30"/>
    <cfRule type="duplicateValues" dxfId="100" priority="31"/>
    <cfRule type="duplicateValues" dxfId="99" priority="32"/>
    <cfRule type="duplicateValues" dxfId="98" priority="33"/>
  </conditionalFormatting>
  <conditionalFormatting sqref="B44">
    <cfRule type="duplicateValues" dxfId="97" priority="23"/>
  </conditionalFormatting>
  <conditionalFormatting sqref="B45">
    <cfRule type="duplicateValues" dxfId="96" priority="24"/>
  </conditionalFormatting>
  <conditionalFormatting sqref="B52">
    <cfRule type="duplicateValues" dxfId="95" priority="14"/>
    <cfRule type="duplicateValues" dxfId="94" priority="16"/>
    <cfRule type="duplicateValues" dxfId="93" priority="18"/>
    <cfRule type="duplicateValues" dxfId="92" priority="19"/>
    <cfRule type="duplicateValues" dxfId="91" priority="21"/>
    <cfRule type="duplicateValues" dxfId="90" priority="22"/>
  </conditionalFormatting>
  <conditionalFormatting sqref="B53">
    <cfRule type="duplicateValues" dxfId="89" priority="1"/>
    <cfRule type="duplicateValues" dxfId="88" priority="3"/>
    <cfRule type="duplicateValues" dxfId="87" priority="4"/>
    <cfRule type="duplicateValues" dxfId="86" priority="5"/>
    <cfRule type="duplicateValues" dxfId="85" priority="6"/>
    <cfRule type="duplicateValues" dxfId="84" priority="7"/>
    <cfRule type="duplicateValues" dxfId="83" priority="8"/>
    <cfRule type="duplicateValues" dxfId="82" priority="11"/>
    <cfRule type="duplicateValues" dxfId="81" priority="12"/>
  </conditionalFormatting>
  <conditionalFormatting sqref="C1:C53">
    <cfRule type="duplicateValues" dxfId="80" priority="25"/>
    <cfRule type="duplicateValues" dxfId="79" priority="27"/>
    <cfRule type="duplicateValues" dxfId="78" priority="28"/>
    <cfRule type="duplicateValues" dxfId="77" priority="29"/>
    <cfRule type="duplicateValues" dxfId="76" priority="34"/>
  </conditionalFormatting>
  <conditionalFormatting sqref="C52">
    <cfRule type="duplicateValues" dxfId="75" priority="15"/>
    <cfRule type="duplicateValues" dxfId="74" priority="17"/>
    <cfRule type="duplicateValues" dxfId="73" priority="20"/>
  </conditionalFormatting>
  <conditionalFormatting sqref="C53">
    <cfRule type="duplicateValues" dxfId="72" priority="2"/>
    <cfRule type="duplicateValues" dxfId="71" priority="9"/>
    <cfRule type="duplicateValues" dxfId="70" priority="10"/>
    <cfRule type="duplicateValues" dxfId="69" priority="1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C698A-B8B3-4FF7-94D0-3B0B13E21560}">
  <dimension ref="A1:H660"/>
  <sheetViews>
    <sheetView topLeftCell="A173" zoomScale="55" zoomScaleNormal="55" workbookViewId="0">
      <selection activeCell="H650" sqref="H650"/>
    </sheetView>
  </sheetViews>
  <sheetFormatPr defaultColWidth="8.7109375" defaultRowHeight="15.75" x14ac:dyDescent="0.25"/>
  <cols>
    <col min="1" max="1" width="15.7109375" style="53" bestFit="1" customWidth="1"/>
    <col min="2" max="2" width="16.5703125" style="53" bestFit="1" customWidth="1"/>
    <col min="3" max="3" width="23.5703125" style="53" bestFit="1" customWidth="1"/>
    <col min="4" max="4" width="27.5703125" style="53" bestFit="1" customWidth="1"/>
    <col min="5" max="5" width="17.140625" style="53" bestFit="1" customWidth="1"/>
    <col min="6" max="6" width="8.7109375" style="53"/>
    <col min="7" max="7" width="23.5703125" style="53" customWidth="1"/>
    <col min="8" max="8" width="32.28515625" style="53" customWidth="1"/>
    <col min="9" max="16384" width="8.7109375" style="53"/>
  </cols>
  <sheetData>
    <row r="1" spans="1:8" ht="39.75" thickBot="1" x14ac:dyDescent="0.3">
      <c r="A1" s="54" t="s">
        <v>2381</v>
      </c>
      <c r="B1" s="54" t="s">
        <v>2382</v>
      </c>
      <c r="C1" s="54" t="s">
        <v>2383</v>
      </c>
      <c r="D1" s="54" t="s">
        <v>2384</v>
      </c>
      <c r="E1" s="54" t="s">
        <v>2385</v>
      </c>
      <c r="G1" s="66" t="s">
        <v>1</v>
      </c>
      <c r="H1" s="67" t="s">
        <v>2395</v>
      </c>
    </row>
    <row r="2" spans="1:8" ht="20.25" thickBot="1" x14ac:dyDescent="0.3">
      <c r="A2" s="55" t="s">
        <v>64</v>
      </c>
      <c r="B2" s="55" t="s">
        <v>2386</v>
      </c>
      <c r="C2" s="56">
        <v>150</v>
      </c>
      <c r="D2" s="56" t="s">
        <v>2390</v>
      </c>
      <c r="E2" s="56" t="s">
        <v>2387</v>
      </c>
      <c r="G2" s="68" t="s">
        <v>37</v>
      </c>
      <c r="H2" s="69" t="s">
        <v>3</v>
      </c>
    </row>
    <row r="3" spans="1:8" ht="20.25" thickBot="1" x14ac:dyDescent="0.3">
      <c r="A3" s="57" t="s">
        <v>487</v>
      </c>
      <c r="B3" s="56" t="s">
        <v>2386</v>
      </c>
      <c r="C3" s="56">
        <v>10</v>
      </c>
      <c r="D3" s="56" t="s">
        <v>931</v>
      </c>
      <c r="E3" s="56" t="s">
        <v>2387</v>
      </c>
      <c r="G3" s="68" t="s">
        <v>38</v>
      </c>
      <c r="H3" s="69" t="s">
        <v>3</v>
      </c>
    </row>
    <row r="4" spans="1:8" ht="20.25" thickBot="1" x14ac:dyDescent="0.3">
      <c r="A4" s="56" t="s">
        <v>481</v>
      </c>
      <c r="B4" s="56" t="s">
        <v>2386</v>
      </c>
      <c r="C4" s="56">
        <v>5.5</v>
      </c>
      <c r="D4" s="56" t="s">
        <v>998</v>
      </c>
      <c r="E4" s="56" t="s">
        <v>2387</v>
      </c>
      <c r="G4" s="68" t="s">
        <v>39</v>
      </c>
      <c r="H4" s="69" t="s">
        <v>3</v>
      </c>
    </row>
    <row r="5" spans="1:8" ht="20.25" thickBot="1" x14ac:dyDescent="0.3">
      <c r="A5" s="56" t="s">
        <v>468</v>
      </c>
      <c r="B5" s="56" t="s">
        <v>2386</v>
      </c>
      <c r="C5" s="56">
        <v>5.5</v>
      </c>
      <c r="D5" s="56" t="s">
        <v>998</v>
      </c>
      <c r="E5" s="56" t="s">
        <v>2387</v>
      </c>
      <c r="G5" s="68" t="s">
        <v>40</v>
      </c>
      <c r="H5" s="69" t="s">
        <v>3</v>
      </c>
    </row>
    <row r="6" spans="1:8" ht="20.25" thickBot="1" x14ac:dyDescent="0.3">
      <c r="A6" s="56" t="s">
        <v>1611</v>
      </c>
      <c r="B6" s="56" t="s">
        <v>2386</v>
      </c>
      <c r="C6" s="56">
        <v>5.5</v>
      </c>
      <c r="D6" s="56" t="s">
        <v>998</v>
      </c>
      <c r="E6" s="56" t="s">
        <v>2387</v>
      </c>
      <c r="G6" s="68" t="s">
        <v>41</v>
      </c>
      <c r="H6" s="69" t="s">
        <v>3</v>
      </c>
    </row>
    <row r="7" spans="1:8" ht="20.25" thickBot="1" x14ac:dyDescent="0.3">
      <c r="A7" s="56" t="s">
        <v>330</v>
      </c>
      <c r="B7" s="56" t="s">
        <v>2386</v>
      </c>
      <c r="C7" s="56">
        <v>8</v>
      </c>
      <c r="D7" s="56" t="s">
        <v>1139</v>
      </c>
      <c r="E7" s="56" t="s">
        <v>2387</v>
      </c>
      <c r="G7" s="68" t="s">
        <v>141</v>
      </c>
      <c r="H7" s="69" t="s">
        <v>3</v>
      </c>
    </row>
    <row r="8" spans="1:8" ht="26.1" customHeight="1" thickBot="1" x14ac:dyDescent="0.3">
      <c r="A8" s="55" t="s">
        <v>503</v>
      </c>
      <c r="B8" s="55" t="s">
        <v>2386</v>
      </c>
      <c r="C8" s="55">
        <v>5.5</v>
      </c>
      <c r="D8" s="55" t="s">
        <v>931</v>
      </c>
      <c r="E8" s="55" t="s">
        <v>2387</v>
      </c>
      <c r="G8" s="68" t="s">
        <v>142</v>
      </c>
      <c r="H8" s="69" t="s">
        <v>3</v>
      </c>
    </row>
    <row r="9" spans="1:8" ht="20.25" thickBot="1" x14ac:dyDescent="0.3">
      <c r="A9" s="56" t="s">
        <v>40</v>
      </c>
      <c r="B9" s="56" t="s">
        <v>2386</v>
      </c>
      <c r="C9" s="56">
        <v>8.5</v>
      </c>
      <c r="D9" s="56" t="s">
        <v>931</v>
      </c>
      <c r="E9" s="56" t="s">
        <v>2387</v>
      </c>
      <c r="G9" s="68" t="s">
        <v>42</v>
      </c>
      <c r="H9" s="69" t="s">
        <v>3</v>
      </c>
    </row>
    <row r="10" spans="1:8" ht="20.25" thickBot="1" x14ac:dyDescent="0.3">
      <c r="A10" s="56" t="s">
        <v>100</v>
      </c>
      <c r="B10" s="56" t="s">
        <v>2386</v>
      </c>
      <c r="C10" s="56">
        <v>5.5</v>
      </c>
      <c r="D10" s="56" t="s">
        <v>931</v>
      </c>
      <c r="E10" s="56" t="s">
        <v>2387</v>
      </c>
      <c r="G10" s="68" t="s">
        <v>43</v>
      </c>
      <c r="H10" s="69" t="s">
        <v>3</v>
      </c>
    </row>
    <row r="11" spans="1:8" ht="20.25" thickBot="1" x14ac:dyDescent="0.3">
      <c r="A11" s="56" t="s">
        <v>566</v>
      </c>
      <c r="B11" s="56" t="s">
        <v>2386</v>
      </c>
      <c r="C11" s="58">
        <v>12</v>
      </c>
      <c r="D11" s="58" t="s">
        <v>1732</v>
      </c>
      <c r="E11" s="58" t="s">
        <v>2387</v>
      </c>
      <c r="G11" s="68" t="s">
        <v>44</v>
      </c>
      <c r="H11" s="69" t="s">
        <v>3</v>
      </c>
    </row>
    <row r="12" spans="1:8" ht="20.25" thickBot="1" x14ac:dyDescent="0.3">
      <c r="A12" s="56" t="s">
        <v>534</v>
      </c>
      <c r="B12" s="59" t="s">
        <v>2386</v>
      </c>
      <c r="C12" s="56">
        <v>6</v>
      </c>
      <c r="D12" s="56" t="s">
        <v>2394</v>
      </c>
      <c r="E12" s="56" t="s">
        <v>2387</v>
      </c>
      <c r="G12" s="68" t="s">
        <v>28</v>
      </c>
      <c r="H12" s="69" t="s">
        <v>1418</v>
      </c>
    </row>
    <row r="13" spans="1:8" ht="20.25" thickBot="1" x14ac:dyDescent="0.3">
      <c r="A13" s="56" t="s">
        <v>506</v>
      </c>
      <c r="B13" s="59" t="s">
        <v>2386</v>
      </c>
      <c r="C13" s="56">
        <v>6</v>
      </c>
      <c r="D13" s="56" t="s">
        <v>2394</v>
      </c>
      <c r="E13" s="56" t="s">
        <v>2387</v>
      </c>
      <c r="G13" s="68" t="s">
        <v>143</v>
      </c>
      <c r="H13" s="69" t="s">
        <v>3</v>
      </c>
    </row>
    <row r="14" spans="1:8" ht="20.25" thickBot="1" x14ac:dyDescent="0.3">
      <c r="A14" s="56" t="s">
        <v>461</v>
      </c>
      <c r="B14" s="59" t="s">
        <v>2386</v>
      </c>
      <c r="C14" s="56">
        <v>6</v>
      </c>
      <c r="D14" s="56" t="s">
        <v>2394</v>
      </c>
      <c r="E14" s="56" t="s">
        <v>2387</v>
      </c>
      <c r="G14" s="68" t="s">
        <v>144</v>
      </c>
      <c r="H14" s="69" t="s">
        <v>3</v>
      </c>
    </row>
    <row r="15" spans="1:8" ht="20.25" thickBot="1" x14ac:dyDescent="0.3">
      <c r="A15" s="56" t="s">
        <v>463</v>
      </c>
      <c r="B15" s="59" t="s">
        <v>2386</v>
      </c>
      <c r="C15" s="56">
        <v>6</v>
      </c>
      <c r="D15" s="56" t="s">
        <v>2394</v>
      </c>
      <c r="E15" s="56" t="s">
        <v>2387</v>
      </c>
      <c r="G15" s="68" t="s">
        <v>45</v>
      </c>
      <c r="H15" s="69" t="s">
        <v>3</v>
      </c>
    </row>
    <row r="16" spans="1:8" ht="20.25" thickBot="1" x14ac:dyDescent="0.3">
      <c r="A16" s="56" t="s">
        <v>462</v>
      </c>
      <c r="B16" s="59" t="s">
        <v>2386</v>
      </c>
      <c r="C16" s="56">
        <v>6</v>
      </c>
      <c r="D16" s="56" t="s">
        <v>2394</v>
      </c>
      <c r="E16" s="56" t="s">
        <v>2387</v>
      </c>
      <c r="G16" s="68" t="s">
        <v>29</v>
      </c>
      <c r="H16" s="69" t="s">
        <v>1418</v>
      </c>
    </row>
    <row r="17" spans="1:8" ht="20.25" thickBot="1" x14ac:dyDescent="0.3">
      <c r="A17" s="56" t="s">
        <v>533</v>
      </c>
      <c r="B17" s="59" t="s">
        <v>2386</v>
      </c>
      <c r="C17" s="56">
        <v>6</v>
      </c>
      <c r="D17" s="56" t="s">
        <v>2394</v>
      </c>
      <c r="E17" s="56" t="s">
        <v>2387</v>
      </c>
      <c r="G17" s="68" t="s">
        <v>46</v>
      </c>
      <c r="H17" s="69" t="s">
        <v>3</v>
      </c>
    </row>
    <row r="18" spans="1:8" ht="20.25" thickBot="1" x14ac:dyDescent="0.3">
      <c r="A18" s="56" t="s">
        <v>455</v>
      </c>
      <c r="B18" s="59" t="s">
        <v>2386</v>
      </c>
      <c r="C18" s="56">
        <v>6</v>
      </c>
      <c r="D18" s="56" t="s">
        <v>2394</v>
      </c>
      <c r="E18" s="56" t="s">
        <v>2387</v>
      </c>
      <c r="G18" s="68" t="s">
        <v>47</v>
      </c>
      <c r="H18" s="69" t="s">
        <v>3</v>
      </c>
    </row>
    <row r="19" spans="1:8" ht="20.25" thickBot="1" x14ac:dyDescent="0.3">
      <c r="A19" s="56" t="s">
        <v>474</v>
      </c>
      <c r="B19" s="59" t="s">
        <v>2386</v>
      </c>
      <c r="C19" s="56">
        <v>6</v>
      </c>
      <c r="D19" s="56" t="s">
        <v>2394</v>
      </c>
      <c r="E19" s="56" t="s">
        <v>2387</v>
      </c>
      <c r="G19" s="68" t="s">
        <v>30</v>
      </c>
      <c r="H19" s="69" t="s">
        <v>1418</v>
      </c>
    </row>
    <row r="20" spans="1:8" ht="20.25" thickBot="1" x14ac:dyDescent="0.3">
      <c r="A20" s="56" t="s">
        <v>537</v>
      </c>
      <c r="B20" s="59" t="s">
        <v>2386</v>
      </c>
      <c r="C20" s="56">
        <v>6</v>
      </c>
      <c r="D20" s="56" t="s">
        <v>2394</v>
      </c>
      <c r="E20" s="56" t="s">
        <v>2387</v>
      </c>
      <c r="G20" s="68" t="s">
        <v>48</v>
      </c>
      <c r="H20" s="69" t="s">
        <v>3</v>
      </c>
    </row>
    <row r="21" spans="1:8" ht="20.25" thickBot="1" x14ac:dyDescent="0.3">
      <c r="A21" s="56" t="s">
        <v>498</v>
      </c>
      <c r="B21" s="59" t="s">
        <v>2386</v>
      </c>
      <c r="C21" s="56">
        <v>6</v>
      </c>
      <c r="D21" s="56" t="s">
        <v>2394</v>
      </c>
      <c r="E21" s="56" t="s">
        <v>2387</v>
      </c>
      <c r="G21" s="68" t="s">
        <v>31</v>
      </c>
      <c r="H21" s="69" t="s">
        <v>1418</v>
      </c>
    </row>
    <row r="22" spans="1:8" ht="20.25" thickBot="1" x14ac:dyDescent="0.3">
      <c r="A22" s="56" t="s">
        <v>511</v>
      </c>
      <c r="B22" s="59" t="s">
        <v>2386</v>
      </c>
      <c r="C22" s="56">
        <v>6</v>
      </c>
      <c r="D22" s="56" t="s">
        <v>2394</v>
      </c>
      <c r="E22" s="56" t="s">
        <v>2387</v>
      </c>
      <c r="G22" s="68" t="s">
        <v>145</v>
      </c>
      <c r="H22" s="69" t="s">
        <v>3</v>
      </c>
    </row>
    <row r="23" spans="1:8" ht="20.25" thickBot="1" x14ac:dyDescent="0.3">
      <c r="A23" s="56" t="s">
        <v>508</v>
      </c>
      <c r="B23" s="59" t="s">
        <v>2386</v>
      </c>
      <c r="C23" s="56">
        <v>6</v>
      </c>
      <c r="D23" s="56" t="s">
        <v>2394</v>
      </c>
      <c r="E23" s="56" t="s">
        <v>2387</v>
      </c>
      <c r="G23" s="68" t="s">
        <v>149</v>
      </c>
      <c r="H23" s="69" t="s">
        <v>3</v>
      </c>
    </row>
    <row r="24" spans="1:8" ht="20.25" thickBot="1" x14ac:dyDescent="0.3">
      <c r="A24" s="56" t="s">
        <v>491</v>
      </c>
      <c r="B24" s="59" t="s">
        <v>2386</v>
      </c>
      <c r="C24" s="56">
        <v>6</v>
      </c>
      <c r="D24" s="56" t="s">
        <v>2394</v>
      </c>
      <c r="E24" s="56" t="s">
        <v>2387</v>
      </c>
      <c r="G24" s="68" t="s">
        <v>146</v>
      </c>
      <c r="H24" s="69" t="s">
        <v>3</v>
      </c>
    </row>
    <row r="25" spans="1:8" ht="20.25" thickBot="1" x14ac:dyDescent="0.3">
      <c r="A25" s="56" t="s">
        <v>492</v>
      </c>
      <c r="B25" s="59" t="s">
        <v>2386</v>
      </c>
      <c r="C25" s="56">
        <v>6</v>
      </c>
      <c r="D25" s="56" t="s">
        <v>2394</v>
      </c>
      <c r="E25" s="56" t="s">
        <v>2387</v>
      </c>
      <c r="G25" s="68" t="s">
        <v>147</v>
      </c>
      <c r="H25" s="69" t="s">
        <v>3</v>
      </c>
    </row>
    <row r="26" spans="1:8" ht="20.25" thickBot="1" x14ac:dyDescent="0.3">
      <c r="A26" s="56" t="s">
        <v>493</v>
      </c>
      <c r="B26" s="59" t="s">
        <v>2386</v>
      </c>
      <c r="C26" s="56">
        <v>6</v>
      </c>
      <c r="D26" s="56" t="s">
        <v>2394</v>
      </c>
      <c r="E26" s="56" t="s">
        <v>2387</v>
      </c>
      <c r="G26" s="68" t="s">
        <v>150</v>
      </c>
      <c r="H26" s="69" t="s">
        <v>3</v>
      </c>
    </row>
    <row r="27" spans="1:8" ht="20.25" thickBot="1" x14ac:dyDescent="0.3">
      <c r="A27" s="56" t="s">
        <v>375</v>
      </c>
      <c r="B27" s="56" t="s">
        <v>2386</v>
      </c>
      <c r="C27" s="56">
        <v>8</v>
      </c>
      <c r="D27" s="56" t="s">
        <v>1086</v>
      </c>
      <c r="E27" s="56" t="s">
        <v>2387</v>
      </c>
      <c r="G27" s="68" t="s">
        <v>148</v>
      </c>
      <c r="H27" s="69" t="s">
        <v>3</v>
      </c>
    </row>
    <row r="28" spans="1:8" ht="20.25" thickBot="1" x14ac:dyDescent="0.3">
      <c r="A28" s="56" t="s">
        <v>516</v>
      </c>
      <c r="B28" s="56" t="s">
        <v>2386</v>
      </c>
      <c r="C28" s="56">
        <v>8</v>
      </c>
      <c r="D28" s="56" t="s">
        <v>1086</v>
      </c>
      <c r="E28" s="56" t="s">
        <v>2387</v>
      </c>
      <c r="G28" s="68" t="s">
        <v>49</v>
      </c>
      <c r="H28" s="69" t="s">
        <v>841</v>
      </c>
    </row>
    <row r="29" spans="1:8" ht="20.25" thickBot="1" x14ac:dyDescent="0.3">
      <c r="A29" s="56" t="s">
        <v>409</v>
      </c>
      <c r="B29" s="56" t="s">
        <v>2386</v>
      </c>
      <c r="C29" s="56">
        <v>8</v>
      </c>
      <c r="D29" s="56" t="s">
        <v>1086</v>
      </c>
      <c r="E29" s="56" t="s">
        <v>2387</v>
      </c>
      <c r="G29" s="68" t="s">
        <v>50</v>
      </c>
      <c r="H29" s="69" t="s">
        <v>841</v>
      </c>
    </row>
    <row r="30" spans="1:8" ht="20.25" thickBot="1" x14ac:dyDescent="0.3">
      <c r="A30" s="56" t="s">
        <v>93</v>
      </c>
      <c r="B30" s="56" t="s">
        <v>2386</v>
      </c>
      <c r="C30" s="56">
        <v>8</v>
      </c>
      <c r="D30" s="56" t="s">
        <v>952</v>
      </c>
      <c r="E30" s="56" t="s">
        <v>2387</v>
      </c>
      <c r="G30" s="68" t="s">
        <v>122</v>
      </c>
      <c r="H30" s="69" t="s">
        <v>3</v>
      </c>
    </row>
    <row r="31" spans="1:8" ht="20.25" thickBot="1" x14ac:dyDescent="0.3">
      <c r="A31" s="56" t="s">
        <v>421</v>
      </c>
      <c r="B31" s="59" t="s">
        <v>2386</v>
      </c>
      <c r="C31" s="58">
        <v>12</v>
      </c>
      <c r="D31" s="58" t="s">
        <v>1732</v>
      </c>
      <c r="E31" s="58" t="s">
        <v>2387</v>
      </c>
      <c r="G31" s="68" t="s">
        <v>51</v>
      </c>
      <c r="H31" s="69" t="s">
        <v>841</v>
      </c>
    </row>
    <row r="32" spans="1:8" ht="20.25" thickBot="1" x14ac:dyDescent="0.3">
      <c r="A32" s="56" t="s">
        <v>452</v>
      </c>
      <c r="B32" s="56" t="s">
        <v>2386</v>
      </c>
      <c r="C32" s="56">
        <v>5.5</v>
      </c>
      <c r="D32" s="56" t="s">
        <v>998</v>
      </c>
      <c r="E32" s="56" t="s">
        <v>2387</v>
      </c>
      <c r="G32" s="68" t="s">
        <v>52</v>
      </c>
      <c r="H32" s="69" t="s">
        <v>3</v>
      </c>
    </row>
    <row r="33" spans="1:8" ht="20.25" thickBot="1" x14ac:dyDescent="0.3">
      <c r="A33" s="56" t="s">
        <v>449</v>
      </c>
      <c r="B33" s="56" t="s">
        <v>2386</v>
      </c>
      <c r="C33" s="56">
        <v>5.5</v>
      </c>
      <c r="D33" s="56" t="s">
        <v>993</v>
      </c>
      <c r="E33" s="56" t="s">
        <v>2387</v>
      </c>
      <c r="G33" s="68" t="s">
        <v>53</v>
      </c>
      <c r="H33" s="69" t="s">
        <v>3</v>
      </c>
    </row>
    <row r="34" spans="1:8" ht="20.25" thickBot="1" x14ac:dyDescent="0.3">
      <c r="A34" s="56" t="s">
        <v>447</v>
      </c>
      <c r="B34" s="56" t="s">
        <v>2386</v>
      </c>
      <c r="C34" s="56">
        <v>5.5</v>
      </c>
      <c r="D34" s="56" t="s">
        <v>993</v>
      </c>
      <c r="E34" s="56" t="s">
        <v>2387</v>
      </c>
      <c r="G34" s="68" t="s">
        <v>4</v>
      </c>
      <c r="H34" s="69" t="s">
        <v>3</v>
      </c>
    </row>
    <row r="35" spans="1:8" ht="20.25" thickBot="1" x14ac:dyDescent="0.3">
      <c r="A35" s="56" t="s">
        <v>442</v>
      </c>
      <c r="B35" s="56" t="s">
        <v>2386</v>
      </c>
      <c r="C35" s="56">
        <v>5.5</v>
      </c>
      <c r="D35" s="56" t="s">
        <v>993</v>
      </c>
      <c r="E35" s="56" t="s">
        <v>2387</v>
      </c>
      <c r="G35" s="68" t="s">
        <v>32</v>
      </c>
      <c r="H35" s="69" t="s">
        <v>3</v>
      </c>
    </row>
    <row r="36" spans="1:8" ht="20.25" thickBot="1" x14ac:dyDescent="0.3">
      <c r="A36" s="56" t="s">
        <v>441</v>
      </c>
      <c r="B36" s="56" t="s">
        <v>2386</v>
      </c>
      <c r="C36" s="56">
        <v>5.5</v>
      </c>
      <c r="D36" s="56" t="s">
        <v>993</v>
      </c>
      <c r="E36" s="56" t="s">
        <v>2387</v>
      </c>
      <c r="G36" s="68" t="s">
        <v>54</v>
      </c>
      <c r="H36" s="69" t="s">
        <v>841</v>
      </c>
    </row>
    <row r="37" spans="1:8" ht="20.25" thickBot="1" x14ac:dyDescent="0.3">
      <c r="A37" s="56" t="s">
        <v>453</v>
      </c>
      <c r="B37" s="56" t="s">
        <v>2386</v>
      </c>
      <c r="C37" s="56">
        <v>5.5</v>
      </c>
      <c r="D37" s="56" t="s">
        <v>998</v>
      </c>
      <c r="E37" s="56" t="s">
        <v>2387</v>
      </c>
      <c r="G37" s="68" t="s">
        <v>55</v>
      </c>
      <c r="H37" s="69" t="s">
        <v>3</v>
      </c>
    </row>
    <row r="38" spans="1:8" ht="20.25" thickBot="1" x14ac:dyDescent="0.3">
      <c r="A38" s="56" t="s">
        <v>457</v>
      </c>
      <c r="B38" s="56" t="s">
        <v>2386</v>
      </c>
      <c r="C38" s="56">
        <v>5.5</v>
      </c>
      <c r="D38" s="56" t="s">
        <v>998</v>
      </c>
      <c r="E38" s="56" t="s">
        <v>2387</v>
      </c>
      <c r="G38" s="68" t="s">
        <v>56</v>
      </c>
      <c r="H38" s="69" t="s">
        <v>841</v>
      </c>
    </row>
    <row r="39" spans="1:8" ht="20.25" thickBot="1" x14ac:dyDescent="0.3">
      <c r="A39" s="56" t="s">
        <v>454</v>
      </c>
      <c r="B39" s="56" t="s">
        <v>2386</v>
      </c>
      <c r="C39" s="56">
        <v>5.5</v>
      </c>
      <c r="D39" s="56" t="s">
        <v>993</v>
      </c>
      <c r="E39" s="56" t="s">
        <v>2387</v>
      </c>
      <c r="G39" s="68" t="s">
        <v>57</v>
      </c>
      <c r="H39" s="69" t="s">
        <v>841</v>
      </c>
    </row>
    <row r="40" spans="1:8" ht="20.25" thickBot="1" x14ac:dyDescent="0.3">
      <c r="A40" s="56" t="s">
        <v>448</v>
      </c>
      <c r="B40" s="56" t="s">
        <v>2386</v>
      </c>
      <c r="C40" s="56">
        <v>5.5</v>
      </c>
      <c r="D40" s="56" t="s">
        <v>993</v>
      </c>
      <c r="E40" s="56" t="s">
        <v>2387</v>
      </c>
      <c r="G40" s="68" t="s">
        <v>33</v>
      </c>
      <c r="H40" s="69" t="s">
        <v>1418</v>
      </c>
    </row>
    <row r="41" spans="1:8" ht="20.25" thickBot="1" x14ac:dyDescent="0.3">
      <c r="A41" s="56" t="s">
        <v>443</v>
      </c>
      <c r="B41" s="56" t="s">
        <v>2386</v>
      </c>
      <c r="C41" s="56">
        <v>5.5</v>
      </c>
      <c r="D41" s="56" t="s">
        <v>993</v>
      </c>
      <c r="E41" s="56" t="s">
        <v>2387</v>
      </c>
      <c r="G41" s="68" t="s">
        <v>58</v>
      </c>
      <c r="H41" s="69" t="s">
        <v>3</v>
      </c>
    </row>
    <row r="42" spans="1:8" ht="20.25" thickBot="1" x14ac:dyDescent="0.3">
      <c r="A42" s="56" t="s">
        <v>444</v>
      </c>
      <c r="B42" s="56" t="s">
        <v>2386</v>
      </c>
      <c r="C42" s="58">
        <v>12</v>
      </c>
      <c r="D42" s="58" t="s">
        <v>1732</v>
      </c>
      <c r="E42" s="58" t="s">
        <v>2387</v>
      </c>
      <c r="G42" s="68" t="s">
        <v>34</v>
      </c>
      <c r="H42" s="69" t="s">
        <v>1418</v>
      </c>
    </row>
    <row r="43" spans="1:8" ht="20.25" thickBot="1" x14ac:dyDescent="0.3">
      <c r="A43" s="56" t="s">
        <v>445</v>
      </c>
      <c r="B43" s="56" t="s">
        <v>2386</v>
      </c>
      <c r="C43" s="58">
        <v>12</v>
      </c>
      <c r="D43" s="58" t="s">
        <v>1732</v>
      </c>
      <c r="E43" s="58" t="s">
        <v>2387</v>
      </c>
      <c r="G43" s="68" t="s">
        <v>59</v>
      </c>
      <c r="H43" s="69" t="s">
        <v>3</v>
      </c>
    </row>
    <row r="44" spans="1:8" ht="20.25" thickBot="1" x14ac:dyDescent="0.3">
      <c r="A44" s="56" t="s">
        <v>446</v>
      </c>
      <c r="B44" s="56" t="s">
        <v>2386</v>
      </c>
      <c r="C44" s="56">
        <v>5.5</v>
      </c>
      <c r="D44" s="56" t="s">
        <v>998</v>
      </c>
      <c r="E44" s="56" t="s">
        <v>2387</v>
      </c>
      <c r="G44" s="68" t="s">
        <v>151</v>
      </c>
      <c r="H44" s="69" t="s">
        <v>3</v>
      </c>
    </row>
    <row r="45" spans="1:8" ht="20.25" thickBot="1" x14ac:dyDescent="0.3">
      <c r="A45" s="56" t="s">
        <v>456</v>
      </c>
      <c r="B45" s="56" t="s">
        <v>2386</v>
      </c>
      <c r="C45" s="58">
        <v>12</v>
      </c>
      <c r="D45" s="58" t="s">
        <v>1732</v>
      </c>
      <c r="E45" s="58" t="s">
        <v>2387</v>
      </c>
      <c r="G45" s="68" t="s">
        <v>60</v>
      </c>
      <c r="H45" s="69" t="s">
        <v>3</v>
      </c>
    </row>
    <row r="46" spans="1:8" ht="20.25" thickBot="1" x14ac:dyDescent="0.3">
      <c r="A46" s="56" t="s">
        <v>37</v>
      </c>
      <c r="B46" s="59" t="s">
        <v>2386</v>
      </c>
      <c r="C46" s="56">
        <v>8</v>
      </c>
      <c r="D46" s="56" t="s">
        <v>925</v>
      </c>
      <c r="E46" s="56" t="s">
        <v>2387</v>
      </c>
      <c r="G46" s="68" t="s">
        <v>61</v>
      </c>
      <c r="H46" s="69" t="s">
        <v>3</v>
      </c>
    </row>
    <row r="47" spans="1:8" ht="20.25" thickBot="1" x14ac:dyDescent="0.3">
      <c r="A47" s="56" t="s">
        <v>38</v>
      </c>
      <c r="B47" s="59" t="s">
        <v>2386</v>
      </c>
      <c r="C47" s="56">
        <v>8</v>
      </c>
      <c r="D47" s="56" t="s">
        <v>927</v>
      </c>
      <c r="E47" s="56" t="s">
        <v>2387</v>
      </c>
      <c r="G47" s="68" t="s">
        <v>152</v>
      </c>
      <c r="H47" s="69" t="s">
        <v>3</v>
      </c>
    </row>
    <row r="48" spans="1:8" ht="20.25" thickBot="1" x14ac:dyDescent="0.3">
      <c r="A48" s="56" t="s">
        <v>48</v>
      </c>
      <c r="B48" s="59" t="s">
        <v>2386</v>
      </c>
      <c r="C48" s="56">
        <v>5.5</v>
      </c>
      <c r="D48" s="56" t="s">
        <v>952</v>
      </c>
      <c r="E48" s="56" t="s">
        <v>2387</v>
      </c>
      <c r="G48" s="68" t="s">
        <v>62</v>
      </c>
      <c r="H48" s="69" t="s">
        <v>1418</v>
      </c>
    </row>
    <row r="49" spans="1:8" ht="20.25" thickBot="1" x14ac:dyDescent="0.3">
      <c r="A49" s="56" t="s">
        <v>145</v>
      </c>
      <c r="B49" s="59" t="s">
        <v>2386</v>
      </c>
      <c r="C49" s="56">
        <v>12.5</v>
      </c>
      <c r="D49" s="56" t="s">
        <v>952</v>
      </c>
      <c r="E49" s="56" t="s">
        <v>2387</v>
      </c>
      <c r="G49" s="68" t="s">
        <v>421</v>
      </c>
      <c r="H49" s="69" t="s">
        <v>841</v>
      </c>
    </row>
    <row r="50" spans="1:8" ht="20.25" thickBot="1" x14ac:dyDescent="0.3">
      <c r="A50" s="56" t="s">
        <v>149</v>
      </c>
      <c r="B50" s="59" t="s">
        <v>2386</v>
      </c>
      <c r="C50" s="56">
        <v>8</v>
      </c>
      <c r="D50" s="56" t="s">
        <v>925</v>
      </c>
      <c r="E50" s="56" t="s">
        <v>2387</v>
      </c>
      <c r="G50" s="68" t="s">
        <v>422</v>
      </c>
      <c r="H50" s="69" t="s">
        <v>3</v>
      </c>
    </row>
    <row r="51" spans="1:8" ht="20.25" thickBot="1" x14ac:dyDescent="0.3">
      <c r="A51" s="56" t="s">
        <v>51</v>
      </c>
      <c r="B51" s="59" t="s">
        <v>2386</v>
      </c>
      <c r="C51" s="56">
        <v>15</v>
      </c>
      <c r="D51" s="56" t="s">
        <v>965</v>
      </c>
      <c r="E51" s="56" t="s">
        <v>2387</v>
      </c>
      <c r="G51" s="68" t="s">
        <v>448</v>
      </c>
      <c r="H51" s="69" t="s">
        <v>3</v>
      </c>
    </row>
    <row r="52" spans="1:8" ht="20.25" thickBot="1" x14ac:dyDescent="0.3">
      <c r="A52" s="56" t="s">
        <v>4</v>
      </c>
      <c r="B52" s="59" t="s">
        <v>2386</v>
      </c>
      <c r="C52" s="56">
        <v>18</v>
      </c>
      <c r="D52" s="56" t="s">
        <v>2380</v>
      </c>
      <c r="E52" s="56" t="s">
        <v>2387</v>
      </c>
      <c r="G52" s="68" t="s">
        <v>454</v>
      </c>
      <c r="H52" s="69" t="s">
        <v>3</v>
      </c>
    </row>
    <row r="53" spans="1:8" ht="20.25" thickBot="1" x14ac:dyDescent="0.3">
      <c r="A53" s="56" t="s">
        <v>61</v>
      </c>
      <c r="B53" s="59" t="s">
        <v>2386</v>
      </c>
      <c r="C53" s="58">
        <v>12</v>
      </c>
      <c r="D53" s="58" t="s">
        <v>1732</v>
      </c>
      <c r="E53" s="58" t="s">
        <v>2387</v>
      </c>
      <c r="G53" s="68" t="s">
        <v>453</v>
      </c>
      <c r="H53" s="69" t="s">
        <v>3</v>
      </c>
    </row>
    <row r="54" spans="1:8" ht="20.25" thickBot="1" x14ac:dyDescent="0.3">
      <c r="A54" s="56" t="s">
        <v>152</v>
      </c>
      <c r="B54" s="59" t="s">
        <v>2386</v>
      </c>
      <c r="C54" s="58">
        <v>12</v>
      </c>
      <c r="D54" s="58" t="s">
        <v>1732</v>
      </c>
      <c r="E54" s="58" t="s">
        <v>2387</v>
      </c>
      <c r="G54" s="68" t="s">
        <v>442</v>
      </c>
      <c r="H54" s="69" t="s">
        <v>3</v>
      </c>
    </row>
    <row r="55" spans="1:8" ht="20.25" thickBot="1" x14ac:dyDescent="0.3">
      <c r="A55" s="56" t="s">
        <v>62</v>
      </c>
      <c r="B55" s="59" t="s">
        <v>2386</v>
      </c>
      <c r="C55" s="56">
        <v>5.5</v>
      </c>
      <c r="D55" s="56" t="s">
        <v>931</v>
      </c>
      <c r="E55" s="56" t="s">
        <v>2387</v>
      </c>
      <c r="G55" s="68" t="s">
        <v>459</v>
      </c>
      <c r="H55" s="69" t="s">
        <v>1418</v>
      </c>
    </row>
    <row r="56" spans="1:8" ht="20.25" thickBot="1" x14ac:dyDescent="0.3">
      <c r="A56" s="56" t="s">
        <v>9</v>
      </c>
      <c r="B56" s="59" t="s">
        <v>2386</v>
      </c>
      <c r="C56" s="56">
        <v>18</v>
      </c>
      <c r="D56" s="56" t="s">
        <v>2380</v>
      </c>
      <c r="E56" s="56" t="s">
        <v>2387</v>
      </c>
      <c r="G56" s="68" t="s">
        <v>460</v>
      </c>
      <c r="H56" s="69" t="s">
        <v>3</v>
      </c>
    </row>
    <row r="57" spans="1:8" ht="20.25" thickBot="1" x14ac:dyDescent="0.3">
      <c r="A57" s="56" t="s">
        <v>227</v>
      </c>
      <c r="B57" s="59" t="s">
        <v>2386</v>
      </c>
      <c r="C57" s="58">
        <v>12</v>
      </c>
      <c r="D57" s="58" t="s">
        <v>1732</v>
      </c>
      <c r="E57" s="58" t="s">
        <v>2387</v>
      </c>
      <c r="G57" s="68" t="s">
        <v>461</v>
      </c>
      <c r="H57" s="69" t="s">
        <v>3</v>
      </c>
    </row>
    <row r="58" spans="1:8" ht="20.25" thickBot="1" x14ac:dyDescent="0.3">
      <c r="A58" s="56" t="s">
        <v>232</v>
      </c>
      <c r="B58" s="59" t="s">
        <v>2386</v>
      </c>
      <c r="C58" s="56">
        <v>15</v>
      </c>
      <c r="D58" s="56" t="s">
        <v>965</v>
      </c>
      <c r="E58" s="56" t="s">
        <v>2387</v>
      </c>
      <c r="G58" s="68" t="s">
        <v>462</v>
      </c>
      <c r="H58" s="69" t="s">
        <v>3</v>
      </c>
    </row>
    <row r="59" spans="1:8" ht="20.25" thickBot="1" x14ac:dyDescent="0.3">
      <c r="A59" s="60" t="s">
        <v>333</v>
      </c>
      <c r="B59" s="60" t="s">
        <v>2386</v>
      </c>
      <c r="C59" s="60">
        <v>12.5</v>
      </c>
      <c r="D59" s="60" t="s">
        <v>1325</v>
      </c>
      <c r="E59" s="60" t="s">
        <v>2387</v>
      </c>
      <c r="G59" s="68" t="s">
        <v>463</v>
      </c>
      <c r="H59" s="69" t="s">
        <v>1418</v>
      </c>
    </row>
    <row r="60" spans="1:8" ht="20.25" thickBot="1" x14ac:dyDescent="0.3">
      <c r="A60" s="56" t="s">
        <v>337</v>
      </c>
      <c r="B60" s="59" t="s">
        <v>2386</v>
      </c>
      <c r="C60" s="58">
        <v>12</v>
      </c>
      <c r="D60" s="58" t="s">
        <v>1732</v>
      </c>
      <c r="E60" s="58" t="s">
        <v>2387</v>
      </c>
      <c r="G60" s="68" t="s">
        <v>467</v>
      </c>
      <c r="H60" s="69" t="s">
        <v>3</v>
      </c>
    </row>
    <row r="61" spans="1:8" ht="20.25" thickBot="1" x14ac:dyDescent="0.3">
      <c r="A61" s="56" t="s">
        <v>328</v>
      </c>
      <c r="B61" s="59" t="s">
        <v>2386</v>
      </c>
      <c r="C61" s="56">
        <v>8</v>
      </c>
      <c r="D61" s="56" t="s">
        <v>986</v>
      </c>
      <c r="E61" s="56" t="s">
        <v>2387</v>
      </c>
      <c r="G61" s="68" t="s">
        <v>468</v>
      </c>
      <c r="H61" s="69" t="s">
        <v>3</v>
      </c>
    </row>
    <row r="62" spans="1:8" ht="20.25" thickBot="1" x14ac:dyDescent="0.3">
      <c r="A62" s="56" t="s">
        <v>501</v>
      </c>
      <c r="B62" s="59" t="s">
        <v>2386</v>
      </c>
      <c r="C62" s="56">
        <v>12</v>
      </c>
      <c r="D62" s="56" t="s">
        <v>2392</v>
      </c>
      <c r="E62" s="56" t="s">
        <v>2387</v>
      </c>
      <c r="G62" s="68" t="s">
        <v>540</v>
      </c>
      <c r="H62" s="69" t="s">
        <v>3</v>
      </c>
    </row>
    <row r="63" spans="1:8" ht="20.25" thickBot="1" x14ac:dyDescent="0.3">
      <c r="A63" s="56" t="s">
        <v>197</v>
      </c>
      <c r="B63" s="59" t="s">
        <v>2386</v>
      </c>
      <c r="C63" s="58">
        <v>12</v>
      </c>
      <c r="D63" s="58" t="s">
        <v>1732</v>
      </c>
      <c r="E63" s="58" t="s">
        <v>2387</v>
      </c>
      <c r="G63" s="68" t="s">
        <v>469</v>
      </c>
      <c r="H63" s="69" t="s">
        <v>3</v>
      </c>
    </row>
    <row r="64" spans="1:8" ht="20.25" thickBot="1" x14ac:dyDescent="0.3">
      <c r="A64" s="56" t="s">
        <v>199</v>
      </c>
      <c r="B64" s="59" t="s">
        <v>2386</v>
      </c>
      <c r="C64" s="56">
        <v>8</v>
      </c>
      <c r="D64" s="56" t="s">
        <v>927</v>
      </c>
      <c r="E64" s="56" t="s">
        <v>2387</v>
      </c>
      <c r="G64" s="68" t="s">
        <v>470</v>
      </c>
      <c r="H64" s="69" t="s">
        <v>1418</v>
      </c>
    </row>
    <row r="65" spans="1:8" ht="20.25" thickBot="1" x14ac:dyDescent="0.3">
      <c r="A65" s="56" t="s">
        <v>201</v>
      </c>
      <c r="B65" s="59" t="s">
        <v>2386</v>
      </c>
      <c r="C65" s="56">
        <v>15</v>
      </c>
      <c r="D65" s="56" t="s">
        <v>965</v>
      </c>
      <c r="E65" s="56" t="s">
        <v>2387</v>
      </c>
      <c r="G65" s="68" t="s">
        <v>483</v>
      </c>
      <c r="H65" s="69" t="s">
        <v>1418</v>
      </c>
    </row>
    <row r="66" spans="1:8" ht="20.25" thickBot="1" x14ac:dyDescent="0.3">
      <c r="A66" s="60" t="s">
        <v>202</v>
      </c>
      <c r="B66" s="60" t="s">
        <v>2386</v>
      </c>
      <c r="C66" s="58">
        <v>12</v>
      </c>
      <c r="D66" s="58" t="s">
        <v>1732</v>
      </c>
      <c r="E66" s="58" t="s">
        <v>2387</v>
      </c>
      <c r="G66" s="68" t="s">
        <v>541</v>
      </c>
      <c r="H66" s="69" t="s">
        <v>841</v>
      </c>
    </row>
    <row r="67" spans="1:8" ht="20.25" thickBot="1" x14ac:dyDescent="0.3">
      <c r="A67" s="56" t="s">
        <v>83</v>
      </c>
      <c r="B67" s="59" t="s">
        <v>2386</v>
      </c>
      <c r="C67" s="56">
        <v>8</v>
      </c>
      <c r="D67" s="56" t="s">
        <v>927</v>
      </c>
      <c r="E67" s="56" t="s">
        <v>2387</v>
      </c>
      <c r="G67" s="68" t="s">
        <v>533</v>
      </c>
      <c r="H67" s="69" t="s">
        <v>841</v>
      </c>
    </row>
    <row r="68" spans="1:8" ht="20.25" thickBot="1" x14ac:dyDescent="0.3">
      <c r="A68" s="56" t="s">
        <v>210</v>
      </c>
      <c r="B68" s="59" t="s">
        <v>2386</v>
      </c>
      <c r="C68" s="58">
        <v>12</v>
      </c>
      <c r="D68" s="58" t="s">
        <v>1732</v>
      </c>
      <c r="E68" s="58" t="s">
        <v>2387</v>
      </c>
      <c r="G68" s="68" t="s">
        <v>534</v>
      </c>
      <c r="H68" s="69" t="s">
        <v>3</v>
      </c>
    </row>
    <row r="69" spans="1:8" ht="20.25" thickBot="1" x14ac:dyDescent="0.3">
      <c r="A69" s="56" t="s">
        <v>212</v>
      </c>
      <c r="B69" s="59" t="s">
        <v>2386</v>
      </c>
      <c r="C69" s="56">
        <v>8</v>
      </c>
      <c r="D69" s="56" t="s">
        <v>986</v>
      </c>
      <c r="E69" s="56" t="s">
        <v>2387</v>
      </c>
      <c r="G69" s="68" t="s">
        <v>505</v>
      </c>
      <c r="H69" s="69" t="s">
        <v>841</v>
      </c>
    </row>
    <row r="70" spans="1:8" ht="20.25" thickBot="1" x14ac:dyDescent="0.3">
      <c r="A70" s="61" t="s">
        <v>389</v>
      </c>
      <c r="B70" s="59" t="s">
        <v>2386</v>
      </c>
      <c r="C70" s="58">
        <v>12</v>
      </c>
      <c r="D70" s="58" t="s">
        <v>1732</v>
      </c>
      <c r="E70" s="58" t="s">
        <v>2387</v>
      </c>
      <c r="G70" s="68" t="s">
        <v>506</v>
      </c>
      <c r="H70" s="69" t="s">
        <v>841</v>
      </c>
    </row>
    <row r="71" spans="1:8" ht="20.25" thickBot="1" x14ac:dyDescent="0.3">
      <c r="A71" s="56" t="s">
        <v>13</v>
      </c>
      <c r="B71" s="59" t="s">
        <v>2386</v>
      </c>
      <c r="C71" s="56">
        <v>8.5</v>
      </c>
      <c r="D71" s="56" t="s">
        <v>931</v>
      </c>
      <c r="E71" s="56" t="s">
        <v>2387</v>
      </c>
      <c r="G71" s="68" t="s">
        <v>507</v>
      </c>
      <c r="H71" s="69" t="s">
        <v>3</v>
      </c>
    </row>
    <row r="72" spans="1:8" ht="20.25" thickBot="1" x14ac:dyDescent="0.3">
      <c r="A72" s="61" t="s">
        <v>414</v>
      </c>
      <c r="B72" s="59" t="s">
        <v>2386</v>
      </c>
      <c r="C72" s="56">
        <v>8</v>
      </c>
      <c r="D72" s="56" t="s">
        <v>925</v>
      </c>
      <c r="E72" s="56" t="s">
        <v>2387</v>
      </c>
      <c r="G72" s="68" t="s">
        <v>515</v>
      </c>
      <c r="H72" s="69" t="s">
        <v>3</v>
      </c>
    </row>
    <row r="73" spans="1:8" ht="20.25" thickBot="1" x14ac:dyDescent="0.3">
      <c r="A73" s="56" t="s">
        <v>159</v>
      </c>
      <c r="B73" s="59" t="s">
        <v>2386</v>
      </c>
      <c r="C73" s="56">
        <v>8</v>
      </c>
      <c r="D73" s="56" t="s">
        <v>925</v>
      </c>
      <c r="E73" s="56" t="s">
        <v>2387</v>
      </c>
      <c r="G73" s="68" t="s">
        <v>561</v>
      </c>
      <c r="H73" s="69" t="s">
        <v>1418</v>
      </c>
    </row>
    <row r="74" spans="1:8" ht="20.25" thickBot="1" x14ac:dyDescent="0.3">
      <c r="A74" s="56" t="s">
        <v>17</v>
      </c>
      <c r="B74" s="59" t="s">
        <v>2386</v>
      </c>
      <c r="C74" s="56">
        <v>8</v>
      </c>
      <c r="D74" s="56" t="s">
        <v>927</v>
      </c>
      <c r="E74" s="56" t="s">
        <v>2387</v>
      </c>
      <c r="G74" s="68" t="s">
        <v>562</v>
      </c>
      <c r="H74" s="69" t="s">
        <v>841</v>
      </c>
    </row>
    <row r="75" spans="1:8" ht="20.25" thickBot="1" x14ac:dyDescent="0.3">
      <c r="A75" s="56" t="s">
        <v>109</v>
      </c>
      <c r="B75" s="59" t="s">
        <v>2386</v>
      </c>
      <c r="C75" s="56">
        <v>5.5</v>
      </c>
      <c r="D75" s="56" t="s">
        <v>952</v>
      </c>
      <c r="E75" s="56" t="s">
        <v>2387</v>
      </c>
      <c r="G75" s="68" t="s">
        <v>563</v>
      </c>
      <c r="H75" s="69" t="s">
        <v>841</v>
      </c>
    </row>
    <row r="76" spans="1:8" ht="20.25" thickBot="1" x14ac:dyDescent="0.3">
      <c r="A76" s="56" t="s">
        <v>327</v>
      </c>
      <c r="B76" s="59" t="s">
        <v>2386</v>
      </c>
      <c r="C76" s="56">
        <v>8</v>
      </c>
      <c r="D76" s="56" t="s">
        <v>927</v>
      </c>
      <c r="E76" s="56" t="s">
        <v>2387</v>
      </c>
      <c r="G76" s="68" t="s">
        <v>572</v>
      </c>
      <c r="H76" s="69" t="s">
        <v>3</v>
      </c>
    </row>
    <row r="77" spans="1:8" ht="20.25" thickBot="1" x14ac:dyDescent="0.3">
      <c r="A77" s="56" t="s">
        <v>35</v>
      </c>
      <c r="B77" s="59" t="s">
        <v>2386</v>
      </c>
      <c r="C77" s="58">
        <v>12</v>
      </c>
      <c r="D77" s="58" t="s">
        <v>1732</v>
      </c>
      <c r="E77" s="58" t="s">
        <v>2387</v>
      </c>
      <c r="G77" s="68" t="s">
        <v>592</v>
      </c>
      <c r="H77" s="69" t="s">
        <v>3</v>
      </c>
    </row>
    <row r="78" spans="1:8" ht="20.25" thickBot="1" x14ac:dyDescent="0.3">
      <c r="A78" s="56" t="s">
        <v>137</v>
      </c>
      <c r="B78" s="59" t="s">
        <v>2386</v>
      </c>
      <c r="C78" s="58">
        <v>12</v>
      </c>
      <c r="D78" s="58" t="s">
        <v>1732</v>
      </c>
      <c r="E78" s="58" t="s">
        <v>2387</v>
      </c>
      <c r="G78" s="68" t="s">
        <v>595</v>
      </c>
      <c r="H78" s="69" t="s">
        <v>3</v>
      </c>
    </row>
    <row r="79" spans="1:8" ht="20.25" thickBot="1" x14ac:dyDescent="0.3">
      <c r="A79" s="56" t="s">
        <v>139</v>
      </c>
      <c r="B79" s="59" t="s">
        <v>2386</v>
      </c>
      <c r="C79" s="56">
        <v>12</v>
      </c>
      <c r="D79" s="56" t="s">
        <v>2391</v>
      </c>
      <c r="E79" s="56" t="s">
        <v>2387</v>
      </c>
      <c r="G79" s="68" t="s">
        <v>750</v>
      </c>
      <c r="H79" s="69" t="s">
        <v>3</v>
      </c>
    </row>
    <row r="80" spans="1:8" ht="20.25" thickBot="1" x14ac:dyDescent="0.3">
      <c r="A80" s="56" t="s">
        <v>354</v>
      </c>
      <c r="B80" s="59" t="s">
        <v>2386</v>
      </c>
      <c r="C80" s="56">
        <v>13</v>
      </c>
      <c r="D80" s="56" t="s">
        <v>1223</v>
      </c>
      <c r="E80" s="56" t="s">
        <v>2387</v>
      </c>
      <c r="G80" s="68" t="s">
        <v>831</v>
      </c>
      <c r="H80" s="69" t="s">
        <v>3</v>
      </c>
    </row>
    <row r="81" spans="1:8" ht="20.25" thickBot="1" x14ac:dyDescent="0.3">
      <c r="A81" s="56" t="s">
        <v>372</v>
      </c>
      <c r="B81" s="59" t="s">
        <v>2386</v>
      </c>
      <c r="C81" s="56">
        <v>12.5</v>
      </c>
      <c r="D81" s="56" t="s">
        <v>952</v>
      </c>
      <c r="E81" s="56" t="s">
        <v>2387</v>
      </c>
      <c r="G81" s="68" t="s">
        <v>844</v>
      </c>
      <c r="H81" s="69" t="s">
        <v>3</v>
      </c>
    </row>
    <row r="82" spans="1:8" ht="20.25" thickBot="1" x14ac:dyDescent="0.3">
      <c r="A82" s="56" t="s">
        <v>358</v>
      </c>
      <c r="B82" s="59" t="s">
        <v>2386</v>
      </c>
      <c r="C82" s="56">
        <v>13</v>
      </c>
      <c r="D82" s="56" t="s">
        <v>1223</v>
      </c>
      <c r="E82" s="56" t="s">
        <v>2387</v>
      </c>
      <c r="G82" s="70" t="s">
        <v>2323</v>
      </c>
      <c r="H82" s="69" t="s">
        <v>1418</v>
      </c>
    </row>
    <row r="83" spans="1:8" ht="20.25" thickBot="1" x14ac:dyDescent="0.3">
      <c r="A83" s="56" t="s">
        <v>392</v>
      </c>
      <c r="B83" s="59" t="s">
        <v>2386</v>
      </c>
      <c r="C83" s="58">
        <v>12</v>
      </c>
      <c r="D83" s="58" t="s">
        <v>1732</v>
      </c>
      <c r="E83" s="58" t="s">
        <v>2387</v>
      </c>
      <c r="G83" s="68" t="s">
        <v>2396</v>
      </c>
      <c r="H83" s="69" t="s">
        <v>841</v>
      </c>
    </row>
    <row r="84" spans="1:8" ht="20.25" thickBot="1" x14ac:dyDescent="0.3">
      <c r="A84" s="56" t="s">
        <v>345</v>
      </c>
      <c r="B84" s="59" t="s">
        <v>2386</v>
      </c>
      <c r="C84" s="56">
        <v>18</v>
      </c>
      <c r="D84" s="56" t="s">
        <v>1002</v>
      </c>
      <c r="E84" s="56" t="s">
        <v>2387</v>
      </c>
      <c r="G84" s="68" t="s">
        <v>1622</v>
      </c>
      <c r="H84" s="69" t="s">
        <v>3</v>
      </c>
    </row>
    <row r="85" spans="1:8" ht="20.25" thickBot="1" x14ac:dyDescent="0.3">
      <c r="A85" s="56" t="s">
        <v>365</v>
      </c>
      <c r="B85" s="59" t="s">
        <v>2386</v>
      </c>
      <c r="C85" s="58">
        <v>12</v>
      </c>
      <c r="D85" s="58" t="s">
        <v>1732</v>
      </c>
      <c r="E85" s="58" t="s">
        <v>2387</v>
      </c>
      <c r="G85" s="68" t="s">
        <v>9</v>
      </c>
      <c r="H85" s="69" t="s">
        <v>813</v>
      </c>
    </row>
    <row r="86" spans="1:8" ht="20.25" thickBot="1" x14ac:dyDescent="0.3">
      <c r="A86" s="56" t="s">
        <v>376</v>
      </c>
      <c r="B86" s="59" t="s">
        <v>2386</v>
      </c>
      <c r="C86" s="56">
        <v>12</v>
      </c>
      <c r="D86" s="56" t="s">
        <v>2391</v>
      </c>
      <c r="E86" s="56" t="s">
        <v>2387</v>
      </c>
      <c r="G86" s="68" t="s">
        <v>216</v>
      </c>
      <c r="H86" s="69" t="s">
        <v>813</v>
      </c>
    </row>
    <row r="87" spans="1:8" ht="20.25" thickBot="1" x14ac:dyDescent="0.3">
      <c r="A87" s="56" t="s">
        <v>374</v>
      </c>
      <c r="B87" s="59" t="s">
        <v>2386</v>
      </c>
      <c r="C87" s="56">
        <v>8</v>
      </c>
      <c r="D87" s="56" t="s">
        <v>986</v>
      </c>
      <c r="E87" s="56" t="s">
        <v>2387</v>
      </c>
      <c r="G87" s="68" t="s">
        <v>217</v>
      </c>
      <c r="H87" s="69" t="s">
        <v>339</v>
      </c>
    </row>
    <row r="88" spans="1:8" ht="20.25" thickBot="1" x14ac:dyDescent="0.3">
      <c r="A88" s="56" t="s">
        <v>165</v>
      </c>
      <c r="B88" s="59" t="s">
        <v>2386</v>
      </c>
      <c r="C88" s="56">
        <v>18</v>
      </c>
      <c r="D88" s="56" t="s">
        <v>1002</v>
      </c>
      <c r="E88" s="56" t="s">
        <v>2387</v>
      </c>
      <c r="G88" s="68" t="s">
        <v>218</v>
      </c>
      <c r="H88" s="69" t="s">
        <v>339</v>
      </c>
    </row>
    <row r="89" spans="1:8" ht="20.25" thickBot="1" x14ac:dyDescent="0.3">
      <c r="A89" s="56" t="s">
        <v>175</v>
      </c>
      <c r="B89" s="59" t="s">
        <v>2386</v>
      </c>
      <c r="C89" s="56">
        <v>12</v>
      </c>
      <c r="D89" s="56" t="s">
        <v>2391</v>
      </c>
      <c r="E89" s="56" t="s">
        <v>2387</v>
      </c>
      <c r="G89" s="68" t="s">
        <v>219</v>
      </c>
      <c r="H89" s="69" t="s">
        <v>813</v>
      </c>
    </row>
    <row r="90" spans="1:8" ht="20.25" thickBot="1" x14ac:dyDescent="0.3">
      <c r="A90" s="56" t="s">
        <v>158</v>
      </c>
      <c r="B90" s="59" t="s">
        <v>2386</v>
      </c>
      <c r="C90" s="56">
        <v>15</v>
      </c>
      <c r="D90" s="56" t="s">
        <v>965</v>
      </c>
      <c r="E90" s="56" t="s">
        <v>2387</v>
      </c>
      <c r="G90" s="68" t="s">
        <v>220</v>
      </c>
      <c r="H90" s="69" t="s">
        <v>339</v>
      </c>
    </row>
    <row r="91" spans="1:8" ht="20.25" thickBot="1" x14ac:dyDescent="0.3">
      <c r="A91" s="56" t="s">
        <v>176</v>
      </c>
      <c r="B91" s="59" t="s">
        <v>2386</v>
      </c>
      <c r="C91" s="56">
        <v>12.5</v>
      </c>
      <c r="D91" s="56" t="s">
        <v>952</v>
      </c>
      <c r="E91" s="56" t="s">
        <v>2387</v>
      </c>
      <c r="G91" s="68" t="s">
        <v>221</v>
      </c>
      <c r="H91" s="69" t="s">
        <v>813</v>
      </c>
    </row>
    <row r="92" spans="1:8" ht="20.25" thickBot="1" x14ac:dyDescent="0.3">
      <c r="A92" s="56" t="s">
        <v>178</v>
      </c>
      <c r="B92" s="59" t="s">
        <v>2386</v>
      </c>
      <c r="C92" s="56">
        <v>13</v>
      </c>
      <c r="D92" s="56" t="s">
        <v>1223</v>
      </c>
      <c r="E92" s="56" t="s">
        <v>2387</v>
      </c>
      <c r="G92" s="68" t="s">
        <v>222</v>
      </c>
      <c r="H92" s="69" t="s">
        <v>339</v>
      </c>
    </row>
    <row r="93" spans="1:8" ht="20.25" thickBot="1" x14ac:dyDescent="0.3">
      <c r="A93" s="56" t="s">
        <v>184</v>
      </c>
      <c r="B93" s="59" t="s">
        <v>2386</v>
      </c>
      <c r="C93" s="56">
        <v>8</v>
      </c>
      <c r="D93" s="56" t="s">
        <v>981</v>
      </c>
      <c r="E93" s="56" t="s">
        <v>2387</v>
      </c>
      <c r="G93" s="68" t="s">
        <v>223</v>
      </c>
      <c r="H93" s="69" t="s">
        <v>339</v>
      </c>
    </row>
    <row r="94" spans="1:8" ht="20.25" thickBot="1" x14ac:dyDescent="0.3">
      <c r="A94" s="56" t="s">
        <v>163</v>
      </c>
      <c r="B94" s="59" t="s">
        <v>2386</v>
      </c>
      <c r="C94" s="56">
        <v>8</v>
      </c>
      <c r="D94" s="55" t="s">
        <v>927</v>
      </c>
      <c r="E94" s="56" t="s">
        <v>2387</v>
      </c>
      <c r="G94" s="68" t="s">
        <v>224</v>
      </c>
      <c r="H94" s="69" t="s">
        <v>339</v>
      </c>
    </row>
    <row r="95" spans="1:8" ht="20.25" thickBot="1" x14ac:dyDescent="0.3">
      <c r="A95" s="56" t="s">
        <v>490</v>
      </c>
      <c r="B95" s="59" t="s">
        <v>2386</v>
      </c>
      <c r="C95" s="56">
        <v>12</v>
      </c>
      <c r="D95" s="56" t="s">
        <v>2392</v>
      </c>
      <c r="E95" s="56" t="s">
        <v>2387</v>
      </c>
      <c r="G95" s="68" t="s">
        <v>225</v>
      </c>
      <c r="H95" s="69" t="s">
        <v>813</v>
      </c>
    </row>
    <row r="96" spans="1:8" ht="20.25" thickBot="1" x14ac:dyDescent="0.3">
      <c r="A96" s="56" t="s">
        <v>239</v>
      </c>
      <c r="B96" s="59" t="s">
        <v>2386</v>
      </c>
      <c r="C96" s="56">
        <v>18</v>
      </c>
      <c r="D96" s="56" t="s">
        <v>1002</v>
      </c>
      <c r="E96" s="56" t="s">
        <v>2387</v>
      </c>
      <c r="G96" s="68" t="s">
        <v>226</v>
      </c>
      <c r="H96" s="69" t="s">
        <v>813</v>
      </c>
    </row>
    <row r="97" spans="1:8" ht="20.25" thickBot="1" x14ac:dyDescent="0.3">
      <c r="A97" s="56" t="s">
        <v>240</v>
      </c>
      <c r="B97" s="59" t="s">
        <v>2386</v>
      </c>
      <c r="C97" s="56">
        <v>8</v>
      </c>
      <c r="D97" s="56" t="s">
        <v>986</v>
      </c>
      <c r="E97" s="56" t="s">
        <v>2387</v>
      </c>
      <c r="G97" s="68" t="s">
        <v>227</v>
      </c>
      <c r="H97" s="69" t="s">
        <v>339</v>
      </c>
    </row>
    <row r="98" spans="1:8" ht="20.25" thickBot="1" x14ac:dyDescent="0.3">
      <c r="A98" s="56" t="s">
        <v>260</v>
      </c>
      <c r="B98" s="59" t="s">
        <v>2386</v>
      </c>
      <c r="C98" s="56">
        <v>13</v>
      </c>
      <c r="D98" s="56" t="s">
        <v>1223</v>
      </c>
      <c r="E98" s="56" t="s">
        <v>2387</v>
      </c>
      <c r="G98" s="68" t="s">
        <v>412</v>
      </c>
      <c r="H98" s="69" t="s">
        <v>813</v>
      </c>
    </row>
    <row r="99" spans="1:8" ht="20.25" thickBot="1" x14ac:dyDescent="0.3">
      <c r="A99" s="56" t="s">
        <v>261</v>
      </c>
      <c r="B99" s="59" t="s">
        <v>2386</v>
      </c>
      <c r="C99" s="58">
        <v>12</v>
      </c>
      <c r="D99" s="58" t="s">
        <v>1732</v>
      </c>
      <c r="E99" s="58" t="s">
        <v>2387</v>
      </c>
      <c r="G99" s="68" t="s">
        <v>228</v>
      </c>
      <c r="H99" s="69" t="s">
        <v>813</v>
      </c>
    </row>
    <row r="100" spans="1:8" ht="20.25" thickBot="1" x14ac:dyDescent="0.3">
      <c r="A100" s="56" t="s">
        <v>331</v>
      </c>
      <c r="B100" s="59" t="s">
        <v>2386</v>
      </c>
      <c r="C100" s="58">
        <v>12</v>
      </c>
      <c r="D100" s="58" t="s">
        <v>1732</v>
      </c>
      <c r="E100" s="58" t="s">
        <v>2387</v>
      </c>
      <c r="G100" s="68" t="s">
        <v>229</v>
      </c>
      <c r="H100" s="69" t="s">
        <v>813</v>
      </c>
    </row>
    <row r="101" spans="1:8" ht="20.25" thickBot="1" x14ac:dyDescent="0.3">
      <c r="A101" s="56" t="s">
        <v>379</v>
      </c>
      <c r="B101" s="59" t="s">
        <v>2386</v>
      </c>
      <c r="C101" s="58">
        <v>12</v>
      </c>
      <c r="D101" s="58" t="s">
        <v>1732</v>
      </c>
      <c r="E101" s="58" t="s">
        <v>2387</v>
      </c>
      <c r="G101" s="68" t="s">
        <v>230</v>
      </c>
      <c r="H101" s="69" t="s">
        <v>813</v>
      </c>
    </row>
    <row r="102" spans="1:8" ht="20.25" thickBot="1" x14ac:dyDescent="0.3">
      <c r="A102" s="56" t="s">
        <v>332</v>
      </c>
      <c r="B102" s="59" t="s">
        <v>2386</v>
      </c>
      <c r="C102" s="58">
        <v>12</v>
      </c>
      <c r="D102" s="58" t="s">
        <v>1732</v>
      </c>
      <c r="E102" s="58" t="s">
        <v>2387</v>
      </c>
      <c r="G102" s="68" t="s">
        <v>231</v>
      </c>
      <c r="H102" s="69" t="s">
        <v>813</v>
      </c>
    </row>
    <row r="103" spans="1:8" ht="20.25" thickBot="1" x14ac:dyDescent="0.3">
      <c r="A103" s="56" t="s">
        <v>381</v>
      </c>
      <c r="B103" s="59" t="s">
        <v>2386</v>
      </c>
      <c r="C103" s="58">
        <v>12</v>
      </c>
      <c r="D103" s="58" t="s">
        <v>1732</v>
      </c>
      <c r="E103" s="58" t="s">
        <v>2387</v>
      </c>
      <c r="G103" s="68" t="s">
        <v>232</v>
      </c>
      <c r="H103" s="69" t="s">
        <v>339</v>
      </c>
    </row>
    <row r="104" spans="1:8" ht="20.25" thickBot="1" x14ac:dyDescent="0.3">
      <c r="A104" s="56" t="s">
        <v>271</v>
      </c>
      <c r="B104" s="59" t="s">
        <v>2386</v>
      </c>
      <c r="C104" s="56">
        <v>8</v>
      </c>
      <c r="D104" s="56" t="s">
        <v>925</v>
      </c>
      <c r="E104" s="56" t="s">
        <v>2387</v>
      </c>
      <c r="G104" s="68" t="s">
        <v>233</v>
      </c>
      <c r="H104" s="69" t="s">
        <v>339</v>
      </c>
    </row>
    <row r="105" spans="1:8" ht="20.25" thickBot="1" x14ac:dyDescent="0.3">
      <c r="A105" s="56" t="s">
        <v>7</v>
      </c>
      <c r="B105" s="59" t="s">
        <v>2386</v>
      </c>
      <c r="C105" s="56">
        <v>15</v>
      </c>
      <c r="D105" s="56" t="s">
        <v>965</v>
      </c>
      <c r="E105" s="56" t="s">
        <v>2387</v>
      </c>
      <c r="G105" s="68" t="s">
        <v>234</v>
      </c>
      <c r="H105" s="69" t="s">
        <v>813</v>
      </c>
    </row>
    <row r="106" spans="1:8" ht="20.25" thickBot="1" x14ac:dyDescent="0.3">
      <c r="A106" s="60" t="s">
        <v>283</v>
      </c>
      <c r="B106" s="60" t="s">
        <v>2386</v>
      </c>
      <c r="C106" s="58">
        <v>18</v>
      </c>
      <c r="D106" s="58" t="s">
        <v>1002</v>
      </c>
      <c r="E106" s="58" t="s">
        <v>2387</v>
      </c>
      <c r="G106" s="68" t="s">
        <v>235</v>
      </c>
      <c r="H106" s="69" t="s">
        <v>813</v>
      </c>
    </row>
    <row r="107" spans="1:8" ht="20.25" thickBot="1" x14ac:dyDescent="0.3">
      <c r="A107" s="56" t="s">
        <v>324</v>
      </c>
      <c r="B107" s="59" t="s">
        <v>2386</v>
      </c>
      <c r="C107" s="56">
        <v>5.5</v>
      </c>
      <c r="D107" s="56" t="s">
        <v>931</v>
      </c>
      <c r="E107" s="56" t="s">
        <v>2387</v>
      </c>
      <c r="G107" s="68" t="s">
        <v>236</v>
      </c>
      <c r="H107" s="69" t="s">
        <v>813</v>
      </c>
    </row>
    <row r="108" spans="1:8" ht="20.25" thickBot="1" x14ac:dyDescent="0.3">
      <c r="A108" s="56" t="s">
        <v>338</v>
      </c>
      <c r="B108" s="59" t="s">
        <v>2386</v>
      </c>
      <c r="C108" s="56">
        <v>8</v>
      </c>
      <c r="D108" s="56" t="s">
        <v>986</v>
      </c>
      <c r="E108" s="56" t="s">
        <v>2387</v>
      </c>
      <c r="G108" s="68" t="s">
        <v>237</v>
      </c>
      <c r="H108" s="69" t="s">
        <v>339</v>
      </c>
    </row>
    <row r="109" spans="1:8" ht="20.25" thickBot="1" x14ac:dyDescent="0.3">
      <c r="A109" s="56" t="s">
        <v>326</v>
      </c>
      <c r="B109" s="59" t="s">
        <v>2386</v>
      </c>
      <c r="C109" s="56">
        <v>8</v>
      </c>
      <c r="D109" s="56" t="s">
        <v>986</v>
      </c>
      <c r="E109" s="56" t="s">
        <v>2387</v>
      </c>
      <c r="G109" s="68" t="s">
        <v>238</v>
      </c>
      <c r="H109" s="69" t="s">
        <v>813</v>
      </c>
    </row>
    <row r="110" spans="1:8" ht="20.25" thickBot="1" x14ac:dyDescent="0.3">
      <c r="A110" s="56" t="s">
        <v>378</v>
      </c>
      <c r="B110" s="59" t="s">
        <v>2386</v>
      </c>
      <c r="C110" s="56">
        <v>15</v>
      </c>
      <c r="D110" s="56" t="s">
        <v>965</v>
      </c>
      <c r="E110" s="56" t="s">
        <v>2387</v>
      </c>
      <c r="G110" s="68" t="s">
        <v>334</v>
      </c>
      <c r="H110" s="69" t="s">
        <v>813</v>
      </c>
    </row>
    <row r="111" spans="1:8" ht="20.25" thickBot="1" x14ac:dyDescent="0.3">
      <c r="A111" s="56" t="s">
        <v>290</v>
      </c>
      <c r="B111" s="59" t="s">
        <v>2386</v>
      </c>
      <c r="C111" s="58">
        <v>12</v>
      </c>
      <c r="D111" s="58" t="s">
        <v>1732</v>
      </c>
      <c r="E111" s="58" t="s">
        <v>2387</v>
      </c>
      <c r="G111" s="68" t="s">
        <v>335</v>
      </c>
      <c r="H111" s="69" t="s">
        <v>813</v>
      </c>
    </row>
    <row r="112" spans="1:8" ht="20.25" thickBot="1" x14ac:dyDescent="0.3">
      <c r="A112" s="60" t="s">
        <v>291</v>
      </c>
      <c r="B112" s="60" t="s">
        <v>2386</v>
      </c>
      <c r="C112" s="60">
        <v>8</v>
      </c>
      <c r="D112" s="55" t="s">
        <v>927</v>
      </c>
      <c r="E112" s="60" t="s">
        <v>2387</v>
      </c>
      <c r="G112" s="68" t="s">
        <v>336</v>
      </c>
      <c r="H112" s="69" t="s">
        <v>339</v>
      </c>
    </row>
    <row r="113" spans="1:8" ht="20.25" thickBot="1" x14ac:dyDescent="0.3">
      <c r="A113" s="60" t="s">
        <v>293</v>
      </c>
      <c r="B113" s="60" t="s">
        <v>2386</v>
      </c>
      <c r="C113" s="60">
        <v>15</v>
      </c>
      <c r="D113" s="56" t="s">
        <v>965</v>
      </c>
      <c r="E113" s="60" t="s">
        <v>2387</v>
      </c>
      <c r="G113" s="68" t="s">
        <v>333</v>
      </c>
      <c r="H113" s="69" t="s">
        <v>813</v>
      </c>
    </row>
    <row r="114" spans="1:8" ht="20.25" thickBot="1" x14ac:dyDescent="0.3">
      <c r="A114" s="56" t="s">
        <v>294</v>
      </c>
      <c r="B114" s="59" t="s">
        <v>2386</v>
      </c>
      <c r="C114" s="56">
        <v>15</v>
      </c>
      <c r="D114" s="56" t="s">
        <v>965</v>
      </c>
      <c r="E114" s="56" t="s">
        <v>2387</v>
      </c>
      <c r="G114" s="68" t="s">
        <v>337</v>
      </c>
      <c r="H114" s="69" t="s">
        <v>339</v>
      </c>
    </row>
    <row r="115" spans="1:8" ht="20.25" thickBot="1" x14ac:dyDescent="0.3">
      <c r="A115" s="60" t="s">
        <v>297</v>
      </c>
      <c r="B115" s="60" t="s">
        <v>2386</v>
      </c>
      <c r="C115" s="60">
        <v>8</v>
      </c>
      <c r="D115" s="60" t="s">
        <v>1420</v>
      </c>
      <c r="E115" s="60" t="s">
        <v>2387</v>
      </c>
      <c r="G115" s="68" t="s">
        <v>328</v>
      </c>
      <c r="H115" s="69" t="s">
        <v>339</v>
      </c>
    </row>
    <row r="116" spans="1:8" ht="20.25" thickBot="1" x14ac:dyDescent="0.3">
      <c r="A116" s="56" t="s">
        <v>521</v>
      </c>
      <c r="B116" s="59" t="s">
        <v>2386</v>
      </c>
      <c r="C116" s="56">
        <v>8</v>
      </c>
      <c r="D116" s="56" t="s">
        <v>1139</v>
      </c>
      <c r="E116" s="56" t="s">
        <v>2387</v>
      </c>
      <c r="G116" s="68" t="s">
        <v>325</v>
      </c>
      <c r="H116" s="69" t="s">
        <v>813</v>
      </c>
    </row>
    <row r="117" spans="1:8" ht="20.25" thickBot="1" x14ac:dyDescent="0.3">
      <c r="A117" s="56" t="s">
        <v>319</v>
      </c>
      <c r="B117" s="59" t="s">
        <v>2386</v>
      </c>
      <c r="C117" s="56">
        <v>8</v>
      </c>
      <c r="D117" s="56" t="s">
        <v>927</v>
      </c>
      <c r="E117" s="56" t="s">
        <v>2387</v>
      </c>
      <c r="G117" s="68" t="s">
        <v>542</v>
      </c>
      <c r="H117" s="69" t="s">
        <v>813</v>
      </c>
    </row>
    <row r="118" spans="1:8" ht="20.25" thickBot="1" x14ac:dyDescent="0.3">
      <c r="A118" s="56" t="s">
        <v>323</v>
      </c>
      <c r="B118" s="59" t="s">
        <v>2386</v>
      </c>
      <c r="C118" s="58">
        <v>12</v>
      </c>
      <c r="D118" s="58" t="s">
        <v>1732</v>
      </c>
      <c r="E118" s="58" t="s">
        <v>2387</v>
      </c>
      <c r="G118" s="68" t="s">
        <v>496</v>
      </c>
      <c r="H118" s="69" t="s">
        <v>813</v>
      </c>
    </row>
    <row r="119" spans="1:8" ht="20.25" thickBot="1" x14ac:dyDescent="0.3">
      <c r="A119" s="56" t="s">
        <v>320</v>
      </c>
      <c r="B119" s="59" t="s">
        <v>2386</v>
      </c>
      <c r="C119" s="56">
        <v>8</v>
      </c>
      <c r="D119" s="56" t="s">
        <v>986</v>
      </c>
      <c r="E119" s="56" t="s">
        <v>2387</v>
      </c>
      <c r="G119" s="68" t="s">
        <v>497</v>
      </c>
      <c r="H119" s="69" t="s">
        <v>813</v>
      </c>
    </row>
    <row r="120" spans="1:8" ht="20.25" thickBot="1" x14ac:dyDescent="0.3">
      <c r="A120" s="56" t="s">
        <v>321</v>
      </c>
      <c r="B120" s="59" t="s">
        <v>2386</v>
      </c>
      <c r="C120" s="56">
        <v>8</v>
      </c>
      <c r="D120" s="56" t="s">
        <v>927</v>
      </c>
      <c r="E120" s="56" t="s">
        <v>2387</v>
      </c>
      <c r="G120" s="68" t="s">
        <v>517</v>
      </c>
      <c r="H120" s="69" t="s">
        <v>813</v>
      </c>
    </row>
    <row r="121" spans="1:8" ht="20.25" thickBot="1" x14ac:dyDescent="0.3">
      <c r="A121" s="56" t="s">
        <v>316</v>
      </c>
      <c r="B121" s="59" t="s">
        <v>2386</v>
      </c>
      <c r="C121" s="58">
        <v>12</v>
      </c>
      <c r="D121" s="58" t="s">
        <v>1732</v>
      </c>
      <c r="E121" s="58" t="s">
        <v>2387</v>
      </c>
      <c r="G121" s="68" t="s">
        <v>518</v>
      </c>
      <c r="H121" s="69" t="s">
        <v>813</v>
      </c>
    </row>
    <row r="122" spans="1:8" ht="20.25" thickBot="1" x14ac:dyDescent="0.3">
      <c r="A122" s="56" t="s">
        <v>317</v>
      </c>
      <c r="B122" s="59" t="s">
        <v>2386</v>
      </c>
      <c r="C122" s="58">
        <v>12</v>
      </c>
      <c r="D122" s="58" t="s">
        <v>1732</v>
      </c>
      <c r="E122" s="58" t="s">
        <v>2387</v>
      </c>
      <c r="G122" s="68" t="s">
        <v>519</v>
      </c>
      <c r="H122" s="69" t="s">
        <v>339</v>
      </c>
    </row>
    <row r="123" spans="1:8" ht="20.25" thickBot="1" x14ac:dyDescent="0.3">
      <c r="A123" s="56" t="s">
        <v>318</v>
      </c>
      <c r="B123" s="59" t="s">
        <v>2386</v>
      </c>
      <c r="C123" s="56">
        <v>8</v>
      </c>
      <c r="D123" s="56" t="s">
        <v>986</v>
      </c>
      <c r="E123" s="56" t="s">
        <v>2387</v>
      </c>
      <c r="G123" s="68" t="s">
        <v>516</v>
      </c>
      <c r="H123" s="69" t="s">
        <v>813</v>
      </c>
    </row>
    <row r="124" spans="1:8" ht="20.25" thickBot="1" x14ac:dyDescent="0.3">
      <c r="A124" s="56" t="s">
        <v>322</v>
      </c>
      <c r="B124" s="59" t="s">
        <v>2386</v>
      </c>
      <c r="C124" s="56">
        <v>8</v>
      </c>
      <c r="D124" s="56" t="s">
        <v>986</v>
      </c>
      <c r="E124" s="56" t="s">
        <v>2387</v>
      </c>
      <c r="G124" s="68" t="s">
        <v>520</v>
      </c>
      <c r="H124" s="69" t="s">
        <v>813</v>
      </c>
    </row>
    <row r="125" spans="1:8" ht="20.25" thickBot="1" x14ac:dyDescent="0.3">
      <c r="A125" s="56" t="s">
        <v>411</v>
      </c>
      <c r="B125" s="59" t="s">
        <v>2386</v>
      </c>
      <c r="C125" s="56">
        <v>8.5</v>
      </c>
      <c r="D125" s="56" t="s">
        <v>931</v>
      </c>
      <c r="E125" s="56" t="s">
        <v>2387</v>
      </c>
      <c r="G125" s="68" t="s">
        <v>554</v>
      </c>
      <c r="H125" s="69" t="s">
        <v>813</v>
      </c>
    </row>
    <row r="126" spans="1:8" ht="20.25" thickBot="1" x14ac:dyDescent="0.3">
      <c r="A126" s="56" t="s">
        <v>412</v>
      </c>
      <c r="B126" s="59" t="s">
        <v>2386</v>
      </c>
      <c r="C126" s="56">
        <v>8</v>
      </c>
      <c r="D126" s="56" t="s">
        <v>927</v>
      </c>
      <c r="E126" s="56" t="s">
        <v>2387</v>
      </c>
      <c r="G126" s="68" t="s">
        <v>564</v>
      </c>
      <c r="H126" s="69" t="s">
        <v>813</v>
      </c>
    </row>
    <row r="127" spans="1:8" ht="20.25" thickBot="1" x14ac:dyDescent="0.3">
      <c r="A127" s="55" t="s">
        <v>570</v>
      </c>
      <c r="B127" s="55" t="s">
        <v>2386</v>
      </c>
      <c r="C127" s="55">
        <v>6</v>
      </c>
      <c r="D127" s="56" t="s">
        <v>2394</v>
      </c>
      <c r="E127" s="56" t="s">
        <v>2387</v>
      </c>
      <c r="G127" s="68" t="s">
        <v>573</v>
      </c>
      <c r="H127" s="69" t="s">
        <v>813</v>
      </c>
    </row>
    <row r="128" spans="1:8" ht="20.25" thickBot="1" x14ac:dyDescent="0.3">
      <c r="A128" s="55" t="s">
        <v>543</v>
      </c>
      <c r="B128" s="55" t="s">
        <v>2386</v>
      </c>
      <c r="C128" s="55">
        <v>6</v>
      </c>
      <c r="D128" s="56" t="s">
        <v>2394</v>
      </c>
      <c r="E128" s="56" t="s">
        <v>2387</v>
      </c>
      <c r="G128" s="68" t="s">
        <v>574</v>
      </c>
      <c r="H128" s="69" t="s">
        <v>339</v>
      </c>
    </row>
    <row r="129" spans="1:8" ht="20.25" thickBot="1" x14ac:dyDescent="0.3">
      <c r="A129" s="55" t="s">
        <v>525</v>
      </c>
      <c r="B129" s="55" t="s">
        <v>2386</v>
      </c>
      <c r="C129" s="55">
        <v>6</v>
      </c>
      <c r="D129" s="56" t="s">
        <v>2394</v>
      </c>
      <c r="E129" s="56" t="s">
        <v>2387</v>
      </c>
      <c r="G129" s="68" t="s">
        <v>575</v>
      </c>
      <c r="H129" s="69" t="s">
        <v>339</v>
      </c>
    </row>
    <row r="130" spans="1:8" ht="20.25" thickBot="1" x14ac:dyDescent="0.3">
      <c r="A130" s="55" t="s">
        <v>512</v>
      </c>
      <c r="B130" s="55" t="s">
        <v>2386</v>
      </c>
      <c r="C130" s="55">
        <v>6</v>
      </c>
      <c r="D130" s="56" t="s">
        <v>2394</v>
      </c>
      <c r="E130" s="56" t="s">
        <v>2387</v>
      </c>
      <c r="G130" s="68" t="s">
        <v>584</v>
      </c>
      <c r="H130" s="69" t="s">
        <v>339</v>
      </c>
    </row>
    <row r="131" spans="1:8" ht="20.25" thickBot="1" x14ac:dyDescent="0.3">
      <c r="A131" s="55" t="s">
        <v>527</v>
      </c>
      <c r="B131" s="55" t="s">
        <v>2386</v>
      </c>
      <c r="C131" s="55">
        <v>6</v>
      </c>
      <c r="D131" s="56" t="s">
        <v>2394</v>
      </c>
      <c r="E131" s="56" t="s">
        <v>2387</v>
      </c>
      <c r="G131" s="68" t="s">
        <v>596</v>
      </c>
      <c r="H131" s="69" t="s">
        <v>813</v>
      </c>
    </row>
    <row r="132" spans="1:8" ht="20.25" thickBot="1" x14ac:dyDescent="0.3">
      <c r="A132" s="55" t="s">
        <v>526</v>
      </c>
      <c r="B132" s="55" t="s">
        <v>2386</v>
      </c>
      <c r="C132" s="55">
        <v>6</v>
      </c>
      <c r="D132" s="56" t="s">
        <v>2394</v>
      </c>
      <c r="E132" s="56" t="s">
        <v>2387</v>
      </c>
      <c r="G132" s="68" t="s">
        <v>829</v>
      </c>
      <c r="H132" s="69" t="s">
        <v>339</v>
      </c>
    </row>
    <row r="133" spans="1:8" ht="20.25" thickBot="1" x14ac:dyDescent="0.3">
      <c r="A133" s="55" t="s">
        <v>522</v>
      </c>
      <c r="B133" s="55" t="s">
        <v>2386</v>
      </c>
      <c r="C133" s="55">
        <v>6</v>
      </c>
      <c r="D133" s="56" t="s">
        <v>2394</v>
      </c>
      <c r="E133" s="56" t="s">
        <v>2387</v>
      </c>
      <c r="G133" s="68" t="s">
        <v>846</v>
      </c>
      <c r="H133" s="69" t="s">
        <v>339</v>
      </c>
    </row>
    <row r="134" spans="1:8" ht="20.25" thickBot="1" x14ac:dyDescent="0.3">
      <c r="A134" s="55" t="s">
        <v>523</v>
      </c>
      <c r="B134" s="55" t="s">
        <v>2386</v>
      </c>
      <c r="C134" s="55">
        <v>6</v>
      </c>
      <c r="D134" s="56" t="s">
        <v>2394</v>
      </c>
      <c r="E134" s="56" t="s">
        <v>2387</v>
      </c>
      <c r="G134" s="68" t="s">
        <v>845</v>
      </c>
      <c r="H134" s="69" t="s">
        <v>813</v>
      </c>
    </row>
    <row r="135" spans="1:8" ht="20.25" thickBot="1" x14ac:dyDescent="0.3">
      <c r="A135" s="55" t="s">
        <v>484</v>
      </c>
      <c r="B135" s="55" t="s">
        <v>2386</v>
      </c>
      <c r="C135" s="55">
        <v>5.5</v>
      </c>
      <c r="D135" s="56" t="s">
        <v>998</v>
      </c>
      <c r="E135" s="56" t="s">
        <v>2387</v>
      </c>
      <c r="G135" s="68" t="s">
        <v>863</v>
      </c>
      <c r="H135" s="69" t="s">
        <v>339</v>
      </c>
    </row>
    <row r="136" spans="1:8" ht="20.25" thickBot="1" x14ac:dyDescent="0.3">
      <c r="A136" s="56" t="s">
        <v>517</v>
      </c>
      <c r="B136" s="59" t="s">
        <v>2386</v>
      </c>
      <c r="C136" s="56">
        <v>8</v>
      </c>
      <c r="D136" s="56" t="s">
        <v>1086</v>
      </c>
      <c r="E136" s="56" t="s">
        <v>2387</v>
      </c>
      <c r="G136" s="68" t="s">
        <v>1630</v>
      </c>
      <c r="H136" s="69" t="s">
        <v>339</v>
      </c>
    </row>
    <row r="137" spans="1:8" ht="20.25" thickBot="1" x14ac:dyDescent="0.3">
      <c r="A137" s="56" t="s">
        <v>575</v>
      </c>
      <c r="B137" s="59" t="s">
        <v>2386</v>
      </c>
      <c r="C137" s="56">
        <v>8</v>
      </c>
      <c r="D137" s="56" t="s">
        <v>1086</v>
      </c>
      <c r="E137" s="56" t="s">
        <v>2387</v>
      </c>
      <c r="G137" s="70" t="s">
        <v>2325</v>
      </c>
      <c r="H137" s="69" t="s">
        <v>813</v>
      </c>
    </row>
    <row r="138" spans="1:8" ht="20.25" thickBot="1" x14ac:dyDescent="0.3">
      <c r="A138" s="56" t="s">
        <v>594</v>
      </c>
      <c r="B138" s="59" t="s">
        <v>2386</v>
      </c>
      <c r="C138" s="58">
        <v>12</v>
      </c>
      <c r="D138" s="58" t="s">
        <v>1732</v>
      </c>
      <c r="E138" s="58" t="s">
        <v>2387</v>
      </c>
      <c r="G138" s="68" t="s">
        <v>1618</v>
      </c>
      <c r="H138" s="69" t="s">
        <v>339</v>
      </c>
    </row>
    <row r="139" spans="1:8" ht="20.25" thickBot="1" x14ac:dyDescent="0.3">
      <c r="A139" s="56" t="s">
        <v>514</v>
      </c>
      <c r="B139" s="59" t="s">
        <v>2386</v>
      </c>
      <c r="C139" s="56" t="s">
        <v>2388</v>
      </c>
      <c r="D139" s="56" t="s">
        <v>1325</v>
      </c>
      <c r="E139" s="56" t="s">
        <v>2387</v>
      </c>
      <c r="G139" s="68" t="s">
        <v>1632</v>
      </c>
      <c r="H139" s="69" t="s">
        <v>339</v>
      </c>
    </row>
    <row r="140" spans="1:8" ht="20.25" thickBot="1" x14ac:dyDescent="0.3">
      <c r="A140" s="56" t="s">
        <v>552</v>
      </c>
      <c r="B140" s="59" t="s">
        <v>2386</v>
      </c>
      <c r="C140" s="56">
        <v>12</v>
      </c>
      <c r="D140" s="56" t="s">
        <v>2391</v>
      </c>
      <c r="E140" s="56" t="s">
        <v>2387</v>
      </c>
      <c r="G140" s="68" t="s">
        <v>187</v>
      </c>
      <c r="H140" s="69" t="s">
        <v>2397</v>
      </c>
    </row>
    <row r="141" spans="1:8" ht="20.25" thickBot="1" x14ac:dyDescent="0.3">
      <c r="A141" s="56" t="s">
        <v>500</v>
      </c>
      <c r="B141" s="59" t="s">
        <v>2386</v>
      </c>
      <c r="C141" s="56">
        <v>13</v>
      </c>
      <c r="D141" s="56" t="s">
        <v>1223</v>
      </c>
      <c r="E141" s="56" t="s">
        <v>2387</v>
      </c>
      <c r="G141" s="68" t="s">
        <v>127</v>
      </c>
      <c r="H141" s="69" t="s">
        <v>2397</v>
      </c>
    </row>
    <row r="142" spans="1:8" ht="20.25" thickBot="1" x14ac:dyDescent="0.3">
      <c r="A142" s="56" t="s">
        <v>549</v>
      </c>
      <c r="B142" s="59" t="s">
        <v>2386</v>
      </c>
      <c r="C142" s="56">
        <v>13</v>
      </c>
      <c r="D142" s="56" t="s">
        <v>1223</v>
      </c>
      <c r="E142" s="56" t="s">
        <v>2387</v>
      </c>
      <c r="G142" s="68" t="s">
        <v>188</v>
      </c>
      <c r="H142" s="69" t="s">
        <v>2397</v>
      </c>
    </row>
    <row r="143" spans="1:8" ht="20.25" thickBot="1" x14ac:dyDescent="0.3">
      <c r="A143" s="55" t="s">
        <v>370</v>
      </c>
      <c r="B143" s="59" t="s">
        <v>2386</v>
      </c>
      <c r="C143" s="58">
        <v>12</v>
      </c>
      <c r="D143" s="58" t="s">
        <v>1732</v>
      </c>
      <c r="E143" s="58" t="s">
        <v>2387</v>
      </c>
      <c r="G143" s="68" t="s">
        <v>189</v>
      </c>
      <c r="H143" s="69" t="s">
        <v>2397</v>
      </c>
    </row>
    <row r="144" spans="1:8" ht="20.25" thickBot="1" x14ac:dyDescent="0.3">
      <c r="A144" s="55" t="s">
        <v>483</v>
      </c>
      <c r="B144" s="59" t="s">
        <v>2386</v>
      </c>
      <c r="C144" s="58">
        <v>12</v>
      </c>
      <c r="D144" s="58" t="s">
        <v>1732</v>
      </c>
      <c r="E144" s="58" t="s">
        <v>2387</v>
      </c>
      <c r="G144" s="68" t="s">
        <v>190</v>
      </c>
      <c r="H144" s="69" t="s">
        <v>2397</v>
      </c>
    </row>
    <row r="145" spans="1:8" ht="20.25" thickBot="1" x14ac:dyDescent="0.3">
      <c r="A145" s="55" t="s">
        <v>44</v>
      </c>
      <c r="B145" s="59" t="s">
        <v>2386</v>
      </c>
      <c r="C145" s="58">
        <v>12</v>
      </c>
      <c r="D145" s="58" t="s">
        <v>1732</v>
      </c>
      <c r="E145" s="58" t="s">
        <v>2387</v>
      </c>
      <c r="G145" s="68" t="s">
        <v>128</v>
      </c>
      <c r="H145" s="69" t="s">
        <v>2397</v>
      </c>
    </row>
    <row r="146" spans="1:8" ht="20.25" thickBot="1" x14ac:dyDescent="0.3">
      <c r="A146" s="55" t="s">
        <v>489</v>
      </c>
      <c r="B146" s="59" t="s">
        <v>2386</v>
      </c>
      <c r="C146" s="58">
        <v>12</v>
      </c>
      <c r="D146" s="58" t="s">
        <v>1732</v>
      </c>
      <c r="E146" s="58" t="s">
        <v>2387</v>
      </c>
      <c r="G146" s="68" t="s">
        <v>123</v>
      </c>
      <c r="H146" s="69" t="s">
        <v>2397</v>
      </c>
    </row>
    <row r="147" spans="1:8" ht="20.25" thickBot="1" x14ac:dyDescent="0.3">
      <c r="A147" s="55" t="s">
        <v>266</v>
      </c>
      <c r="B147" s="59" t="s">
        <v>2386</v>
      </c>
      <c r="C147" s="58">
        <v>12</v>
      </c>
      <c r="D147" s="58" t="s">
        <v>1732</v>
      </c>
      <c r="E147" s="58" t="s">
        <v>2387</v>
      </c>
      <c r="G147" s="68" t="s">
        <v>191</v>
      </c>
      <c r="H147" s="69" t="s">
        <v>2397</v>
      </c>
    </row>
    <row r="148" spans="1:8" ht="20.25" thickBot="1" x14ac:dyDescent="0.3">
      <c r="A148" s="55" t="s">
        <v>528</v>
      </c>
      <c r="B148" s="59" t="s">
        <v>2386</v>
      </c>
      <c r="C148" s="58">
        <v>12</v>
      </c>
      <c r="D148" s="58" t="s">
        <v>1732</v>
      </c>
      <c r="E148" s="58" t="s">
        <v>2387</v>
      </c>
      <c r="G148" s="68" t="s">
        <v>192</v>
      </c>
      <c r="H148" s="69" t="s">
        <v>2397</v>
      </c>
    </row>
    <row r="149" spans="1:8" ht="20.25" thickBot="1" x14ac:dyDescent="0.3">
      <c r="A149" s="55" t="s">
        <v>28</v>
      </c>
      <c r="B149" s="59" t="s">
        <v>2386</v>
      </c>
      <c r="C149" s="58">
        <v>12</v>
      </c>
      <c r="D149" s="58" t="s">
        <v>1732</v>
      </c>
      <c r="E149" s="58" t="s">
        <v>2387</v>
      </c>
      <c r="G149" s="68" t="s">
        <v>193</v>
      </c>
      <c r="H149" s="69" t="s">
        <v>2397</v>
      </c>
    </row>
    <row r="150" spans="1:8" ht="20.25" thickBot="1" x14ac:dyDescent="0.3">
      <c r="A150" s="55" t="s">
        <v>551</v>
      </c>
      <c r="B150" s="59" t="s">
        <v>2386</v>
      </c>
      <c r="C150" s="58">
        <v>12</v>
      </c>
      <c r="D150" s="58" t="s">
        <v>1732</v>
      </c>
      <c r="E150" s="58" t="s">
        <v>2387</v>
      </c>
      <c r="G150" s="68" t="s">
        <v>194</v>
      </c>
      <c r="H150" s="69" t="s">
        <v>2397</v>
      </c>
    </row>
    <row r="151" spans="1:8" ht="20.25" thickBot="1" x14ac:dyDescent="0.3">
      <c r="A151" s="55" t="s">
        <v>542</v>
      </c>
      <c r="B151" s="59" t="s">
        <v>2386</v>
      </c>
      <c r="C151" s="58">
        <v>12</v>
      </c>
      <c r="D151" s="58" t="s">
        <v>1732</v>
      </c>
      <c r="E151" s="58" t="s">
        <v>2387</v>
      </c>
      <c r="G151" s="68" t="s">
        <v>195</v>
      </c>
      <c r="H151" s="69" t="s">
        <v>2397</v>
      </c>
    </row>
    <row r="152" spans="1:8" ht="20.25" thickBot="1" x14ac:dyDescent="0.3">
      <c r="A152" s="55" t="s">
        <v>496</v>
      </c>
      <c r="B152" s="59" t="s">
        <v>2386</v>
      </c>
      <c r="C152" s="58">
        <v>12</v>
      </c>
      <c r="D152" s="58" t="s">
        <v>1732</v>
      </c>
      <c r="E152" s="58" t="s">
        <v>2387</v>
      </c>
      <c r="G152" s="68" t="s">
        <v>196</v>
      </c>
      <c r="H152" s="69" t="s">
        <v>2397</v>
      </c>
    </row>
    <row r="153" spans="1:8" ht="20.25" thickBot="1" x14ac:dyDescent="0.3">
      <c r="A153" s="55" t="s">
        <v>520</v>
      </c>
      <c r="B153" s="59" t="s">
        <v>2386</v>
      </c>
      <c r="C153" s="58">
        <v>12</v>
      </c>
      <c r="D153" s="58" t="s">
        <v>1732</v>
      </c>
      <c r="E153" s="58" t="s">
        <v>2387</v>
      </c>
      <c r="G153" s="68" t="s">
        <v>197</v>
      </c>
      <c r="H153" s="69" t="s">
        <v>2397</v>
      </c>
    </row>
    <row r="154" spans="1:8" ht="20.25" thickBot="1" x14ac:dyDescent="0.3">
      <c r="A154" s="55" t="s">
        <v>1610</v>
      </c>
      <c r="B154" s="59" t="s">
        <v>2386</v>
      </c>
      <c r="C154" s="58">
        <v>12</v>
      </c>
      <c r="D154" s="58" t="s">
        <v>1732</v>
      </c>
      <c r="E154" s="58" t="s">
        <v>2387</v>
      </c>
      <c r="G154" s="71" t="s">
        <v>198</v>
      </c>
      <c r="H154" s="72" t="s">
        <v>2397</v>
      </c>
    </row>
    <row r="155" spans="1:8" ht="20.25" thickBot="1" x14ac:dyDescent="0.3">
      <c r="A155" s="55" t="s">
        <v>596</v>
      </c>
      <c r="B155" s="59" t="s">
        <v>2386</v>
      </c>
      <c r="C155" s="58">
        <v>12</v>
      </c>
      <c r="D155" s="58" t="s">
        <v>1732</v>
      </c>
      <c r="E155" s="58" t="s">
        <v>2387</v>
      </c>
      <c r="G155" s="68" t="s">
        <v>199</v>
      </c>
      <c r="H155" s="69" t="s">
        <v>2397</v>
      </c>
    </row>
    <row r="156" spans="1:8" ht="20.25" thickBot="1" x14ac:dyDescent="0.3">
      <c r="A156" s="55" t="s">
        <v>335</v>
      </c>
      <c r="B156" s="59" t="s">
        <v>2386</v>
      </c>
      <c r="C156" s="58">
        <v>12</v>
      </c>
      <c r="D156" s="58" t="s">
        <v>1732</v>
      </c>
      <c r="E156" s="58" t="s">
        <v>2387</v>
      </c>
      <c r="G156" s="68" t="s">
        <v>200</v>
      </c>
      <c r="H156" s="69" t="s">
        <v>2397</v>
      </c>
    </row>
    <row r="157" spans="1:8" ht="20.25" thickBot="1" x14ac:dyDescent="0.3">
      <c r="A157" s="55" t="s">
        <v>519</v>
      </c>
      <c r="B157" s="59" t="s">
        <v>2386</v>
      </c>
      <c r="C157" s="58">
        <v>12</v>
      </c>
      <c r="D157" s="58" t="s">
        <v>1732</v>
      </c>
      <c r="E157" s="58" t="s">
        <v>2387</v>
      </c>
      <c r="G157" s="68" t="s">
        <v>80</v>
      </c>
      <c r="H157" s="69" t="s">
        <v>2322</v>
      </c>
    </row>
    <row r="158" spans="1:8" ht="20.25" thickBot="1" x14ac:dyDescent="0.3">
      <c r="A158" s="55" t="s">
        <v>584</v>
      </c>
      <c r="B158" s="59" t="s">
        <v>2386</v>
      </c>
      <c r="C158" s="58">
        <v>12</v>
      </c>
      <c r="D158" s="58" t="s">
        <v>1732</v>
      </c>
      <c r="E158" s="58" t="s">
        <v>2387</v>
      </c>
      <c r="G158" s="68" t="s">
        <v>81</v>
      </c>
      <c r="H158" s="69" t="s">
        <v>2322</v>
      </c>
    </row>
    <row r="159" spans="1:8" ht="20.25" thickBot="1" x14ac:dyDescent="0.3">
      <c r="A159" s="55" t="s">
        <v>874</v>
      </c>
      <c r="B159" s="59" t="s">
        <v>2386</v>
      </c>
      <c r="C159" s="58">
        <v>12</v>
      </c>
      <c r="D159" s="58" t="s">
        <v>1732</v>
      </c>
      <c r="E159" s="58" t="s">
        <v>2387</v>
      </c>
      <c r="G159" s="68" t="s">
        <v>82</v>
      </c>
      <c r="H159" s="69" t="s">
        <v>2322</v>
      </c>
    </row>
    <row r="160" spans="1:8" ht="20.25" thickBot="1" x14ac:dyDescent="0.3">
      <c r="A160" s="55" t="s">
        <v>875</v>
      </c>
      <c r="B160" s="59" t="s">
        <v>2386</v>
      </c>
      <c r="C160" s="58">
        <v>12</v>
      </c>
      <c r="D160" s="58" t="s">
        <v>1732</v>
      </c>
      <c r="E160" s="58" t="s">
        <v>2387</v>
      </c>
      <c r="G160" s="68" t="s">
        <v>201</v>
      </c>
      <c r="H160" s="69" t="s">
        <v>2397</v>
      </c>
    </row>
    <row r="161" spans="1:8" ht="20.25" thickBot="1" x14ac:dyDescent="0.3">
      <c r="A161" s="55" t="s">
        <v>167</v>
      </c>
      <c r="B161" s="59" t="s">
        <v>2386</v>
      </c>
      <c r="C161" s="58">
        <v>12</v>
      </c>
      <c r="D161" s="58" t="s">
        <v>1732</v>
      </c>
      <c r="E161" s="58" t="s">
        <v>2387</v>
      </c>
      <c r="G161" s="68" t="s">
        <v>202</v>
      </c>
      <c r="H161" s="69" t="s">
        <v>2397</v>
      </c>
    </row>
    <row r="162" spans="1:8" ht="20.25" thickBot="1" x14ac:dyDescent="0.3">
      <c r="A162" s="55" t="s">
        <v>845</v>
      </c>
      <c r="B162" s="55" t="s">
        <v>2386</v>
      </c>
      <c r="C162" s="58">
        <v>8</v>
      </c>
      <c r="D162" s="58" t="s">
        <v>986</v>
      </c>
      <c r="E162" s="58" t="s">
        <v>2387</v>
      </c>
      <c r="G162" s="71" t="s">
        <v>5</v>
      </c>
      <c r="H162" s="69" t="s">
        <v>342</v>
      </c>
    </row>
    <row r="163" spans="1:8" ht="20.25" thickBot="1" x14ac:dyDescent="0.3">
      <c r="A163" s="55" t="s">
        <v>580</v>
      </c>
      <c r="B163" s="55" t="s">
        <v>2386</v>
      </c>
      <c r="C163" s="58">
        <v>8</v>
      </c>
      <c r="D163" s="58" t="s">
        <v>927</v>
      </c>
      <c r="E163" s="58" t="s">
        <v>2387</v>
      </c>
      <c r="G163" s="71" t="s">
        <v>203</v>
      </c>
      <c r="H163" s="69" t="s">
        <v>2322</v>
      </c>
    </row>
    <row r="164" spans="1:8" ht="20.25" thickBot="1" x14ac:dyDescent="0.3">
      <c r="A164" s="55" t="s">
        <v>600</v>
      </c>
      <c r="B164" s="55" t="s">
        <v>2386</v>
      </c>
      <c r="C164" s="58">
        <v>8</v>
      </c>
      <c r="D164" s="58" t="s">
        <v>925</v>
      </c>
      <c r="E164" s="58" t="s">
        <v>2387</v>
      </c>
      <c r="G164" s="71" t="s">
        <v>204</v>
      </c>
      <c r="H164" s="69" t="s">
        <v>2322</v>
      </c>
    </row>
    <row r="165" spans="1:8" ht="20.25" thickBot="1" x14ac:dyDescent="0.3">
      <c r="A165" s="55" t="s">
        <v>499</v>
      </c>
      <c r="B165" s="55" t="s">
        <v>2386</v>
      </c>
      <c r="C165" s="58">
        <v>5.5</v>
      </c>
      <c r="D165" s="58" t="s">
        <v>1325</v>
      </c>
      <c r="E165" s="58" t="s">
        <v>2387</v>
      </c>
      <c r="G165" s="71" t="s">
        <v>129</v>
      </c>
      <c r="H165" s="72" t="s">
        <v>2397</v>
      </c>
    </row>
    <row r="166" spans="1:8" ht="20.25" thickBot="1" x14ac:dyDescent="0.3">
      <c r="A166" s="55" t="s">
        <v>524</v>
      </c>
      <c r="B166" s="55" t="s">
        <v>2386</v>
      </c>
      <c r="C166" s="58">
        <v>8</v>
      </c>
      <c r="D166" s="58" t="s">
        <v>986</v>
      </c>
      <c r="E166" s="58" t="s">
        <v>2387</v>
      </c>
      <c r="G166" s="71" t="s">
        <v>205</v>
      </c>
      <c r="H166" s="72" t="s">
        <v>2397</v>
      </c>
    </row>
    <row r="167" spans="1:8" ht="20.25" thickBot="1" x14ac:dyDescent="0.3">
      <c r="A167" s="55" t="s">
        <v>562</v>
      </c>
      <c r="B167" s="55" t="s">
        <v>2386</v>
      </c>
      <c r="C167" s="58">
        <v>8</v>
      </c>
      <c r="D167" s="58" t="s">
        <v>986</v>
      </c>
      <c r="E167" s="58" t="s">
        <v>2387</v>
      </c>
      <c r="G167" s="71" t="s">
        <v>206</v>
      </c>
      <c r="H167" s="72" t="s">
        <v>2397</v>
      </c>
    </row>
    <row r="168" spans="1:8" ht="20.25" thickBot="1" x14ac:dyDescent="0.3">
      <c r="A168" s="55" t="s">
        <v>497</v>
      </c>
      <c r="B168" s="55" t="s">
        <v>2386</v>
      </c>
      <c r="C168" s="58">
        <v>5.5</v>
      </c>
      <c r="D168" s="58" t="s">
        <v>952</v>
      </c>
      <c r="E168" s="58" t="s">
        <v>2387</v>
      </c>
      <c r="G168" s="71" t="s">
        <v>207</v>
      </c>
      <c r="H168" s="72" t="s">
        <v>2397</v>
      </c>
    </row>
    <row r="169" spans="1:8" ht="20.25" thickBot="1" x14ac:dyDescent="0.3">
      <c r="A169" s="55" t="s">
        <v>577</v>
      </c>
      <c r="B169" s="55" t="s">
        <v>2386</v>
      </c>
      <c r="C169" s="58">
        <v>8</v>
      </c>
      <c r="D169" s="58" t="s">
        <v>927</v>
      </c>
      <c r="E169" s="58" t="s">
        <v>2387</v>
      </c>
      <c r="G169" s="71" t="s">
        <v>208</v>
      </c>
      <c r="H169" s="72" t="s">
        <v>2397</v>
      </c>
    </row>
    <row r="170" spans="1:8" ht="20.25" thickBot="1" x14ac:dyDescent="0.3">
      <c r="A170" s="55" t="s">
        <v>744</v>
      </c>
      <c r="B170" s="55" t="s">
        <v>2386</v>
      </c>
      <c r="C170" s="58">
        <v>8</v>
      </c>
      <c r="D170" s="58" t="s">
        <v>981</v>
      </c>
      <c r="E170" s="58" t="s">
        <v>2387</v>
      </c>
      <c r="G170" s="71" t="s">
        <v>83</v>
      </c>
      <c r="H170" s="69" t="s">
        <v>2322</v>
      </c>
    </row>
    <row r="171" spans="1:8" ht="20.25" thickBot="1" x14ac:dyDescent="0.3">
      <c r="A171" s="55" t="s">
        <v>586</v>
      </c>
      <c r="B171" s="55" t="s">
        <v>2386</v>
      </c>
      <c r="C171" s="58">
        <v>8</v>
      </c>
      <c r="D171" s="58" t="s">
        <v>925</v>
      </c>
      <c r="E171" s="58" t="s">
        <v>2387</v>
      </c>
      <c r="G171" s="71" t="s">
        <v>209</v>
      </c>
      <c r="H171" s="69" t="s">
        <v>2322</v>
      </c>
    </row>
    <row r="172" spans="1:8" ht="20.25" thickBot="1" x14ac:dyDescent="0.3">
      <c r="A172" s="55" t="s">
        <v>494</v>
      </c>
      <c r="B172" s="55" t="s">
        <v>2386</v>
      </c>
      <c r="C172" s="58">
        <v>8</v>
      </c>
      <c r="D172" s="58" t="s">
        <v>986</v>
      </c>
      <c r="E172" s="58" t="s">
        <v>2387</v>
      </c>
      <c r="G172" s="71" t="s">
        <v>89</v>
      </c>
      <c r="H172" s="69" t="s">
        <v>2322</v>
      </c>
    </row>
    <row r="173" spans="1:8" ht="20.25" thickBot="1" x14ac:dyDescent="0.3">
      <c r="A173" s="55" t="s">
        <v>513</v>
      </c>
      <c r="B173" s="55" t="s">
        <v>2386</v>
      </c>
      <c r="C173" s="58">
        <v>5.5</v>
      </c>
      <c r="D173" s="58" t="s">
        <v>931</v>
      </c>
      <c r="E173" s="58" t="s">
        <v>2387</v>
      </c>
      <c r="G173" s="71" t="s">
        <v>130</v>
      </c>
      <c r="H173" s="72" t="s">
        <v>2397</v>
      </c>
    </row>
    <row r="174" spans="1:8" ht="20.25" thickBot="1" x14ac:dyDescent="0.3">
      <c r="A174" s="55" t="s">
        <v>598</v>
      </c>
      <c r="B174" s="55" t="s">
        <v>2386</v>
      </c>
      <c r="C174" s="58">
        <v>8</v>
      </c>
      <c r="D174" s="58" t="s">
        <v>927</v>
      </c>
      <c r="E174" s="58" t="s">
        <v>2387</v>
      </c>
      <c r="G174" s="71" t="s">
        <v>210</v>
      </c>
      <c r="H174" s="72" t="s">
        <v>2397</v>
      </c>
    </row>
    <row r="175" spans="1:8" ht="20.25" thickBot="1" x14ac:dyDescent="0.3">
      <c r="A175" s="55" t="s">
        <v>581</v>
      </c>
      <c r="B175" s="55" t="s">
        <v>2386</v>
      </c>
      <c r="C175" s="58">
        <v>5.5</v>
      </c>
      <c r="D175" s="58" t="s">
        <v>993</v>
      </c>
      <c r="E175" s="58" t="s">
        <v>2387</v>
      </c>
      <c r="G175" s="71" t="s">
        <v>211</v>
      </c>
      <c r="H175" s="72" t="s">
        <v>2397</v>
      </c>
    </row>
    <row r="176" spans="1:8" ht="20.25" thickBot="1" x14ac:dyDescent="0.3">
      <c r="A176" s="55" t="s">
        <v>502</v>
      </c>
      <c r="B176" s="55" t="s">
        <v>2386</v>
      </c>
      <c r="C176" s="58">
        <v>5.5</v>
      </c>
      <c r="D176" s="58" t="s">
        <v>952</v>
      </c>
      <c r="E176" s="58" t="s">
        <v>2387</v>
      </c>
      <c r="G176" s="71" t="s">
        <v>212</v>
      </c>
      <c r="H176" s="72" t="s">
        <v>2397</v>
      </c>
    </row>
    <row r="177" spans="1:8" ht="20.25" thickBot="1" x14ac:dyDescent="0.3">
      <c r="A177" s="55" t="s">
        <v>530</v>
      </c>
      <c r="B177" s="55" t="s">
        <v>2386</v>
      </c>
      <c r="C177" s="58">
        <v>8</v>
      </c>
      <c r="D177" s="58" t="s">
        <v>986</v>
      </c>
      <c r="E177" s="58" t="s">
        <v>2387</v>
      </c>
      <c r="G177" s="71" t="s">
        <v>385</v>
      </c>
      <c r="H177" s="69" t="s">
        <v>2322</v>
      </c>
    </row>
    <row r="178" spans="1:8" ht="20.25" thickBot="1" x14ac:dyDescent="0.3">
      <c r="A178" s="55" t="s">
        <v>569</v>
      </c>
      <c r="B178" s="55" t="s">
        <v>2386</v>
      </c>
      <c r="C178" s="58">
        <v>5.5</v>
      </c>
      <c r="D178" s="58" t="s">
        <v>1325</v>
      </c>
      <c r="E178" s="58" t="s">
        <v>2387</v>
      </c>
      <c r="G178" s="71" t="s">
        <v>388</v>
      </c>
      <c r="H178" s="72" t="s">
        <v>2397</v>
      </c>
    </row>
    <row r="179" spans="1:8" ht="20.25" thickBot="1" x14ac:dyDescent="0.3">
      <c r="A179" s="55" t="s">
        <v>746</v>
      </c>
      <c r="B179" s="55" t="s">
        <v>2386</v>
      </c>
      <c r="C179" s="58">
        <v>8</v>
      </c>
      <c r="D179" s="58" t="s">
        <v>986</v>
      </c>
      <c r="E179" s="58" t="s">
        <v>2387</v>
      </c>
      <c r="G179" s="71" t="s">
        <v>423</v>
      </c>
      <c r="H179" s="69" t="s">
        <v>2322</v>
      </c>
    </row>
    <row r="180" spans="1:8" ht="20.25" thickBot="1" x14ac:dyDescent="0.3">
      <c r="A180" s="55" t="s">
        <v>495</v>
      </c>
      <c r="B180" s="55" t="s">
        <v>2386</v>
      </c>
      <c r="C180" s="58">
        <v>8</v>
      </c>
      <c r="D180" s="58" t="s">
        <v>986</v>
      </c>
      <c r="E180" s="58" t="s">
        <v>2387</v>
      </c>
      <c r="G180" s="71" t="s">
        <v>440</v>
      </c>
      <c r="H180" s="72" t="s">
        <v>2397</v>
      </c>
    </row>
    <row r="181" spans="1:8" ht="20.25" thickBot="1" x14ac:dyDescent="0.3">
      <c r="A181" s="55" t="s">
        <v>531</v>
      </c>
      <c r="B181" s="55" t="s">
        <v>2386</v>
      </c>
      <c r="C181" s="58">
        <v>8</v>
      </c>
      <c r="D181" s="58" t="s">
        <v>986</v>
      </c>
      <c r="E181" s="58" t="s">
        <v>2387</v>
      </c>
      <c r="G181" s="71" t="s">
        <v>447</v>
      </c>
      <c r="H181" s="72" t="s">
        <v>2397</v>
      </c>
    </row>
    <row r="182" spans="1:8" ht="20.25" thickBot="1" x14ac:dyDescent="0.3">
      <c r="A182" s="55" t="s">
        <v>583</v>
      </c>
      <c r="B182" s="55" t="s">
        <v>2386</v>
      </c>
      <c r="C182" s="58">
        <v>8</v>
      </c>
      <c r="D182" s="58" t="s">
        <v>986</v>
      </c>
      <c r="E182" s="58" t="s">
        <v>2387</v>
      </c>
      <c r="G182" s="71" t="s">
        <v>452</v>
      </c>
      <c r="H182" s="72" t="s">
        <v>2397</v>
      </c>
    </row>
    <row r="183" spans="1:8" ht="20.25" thickBot="1" x14ac:dyDescent="0.3">
      <c r="A183" s="55" t="s">
        <v>576</v>
      </c>
      <c r="B183" s="55" t="s">
        <v>2386</v>
      </c>
      <c r="C183" s="58">
        <v>5.5</v>
      </c>
      <c r="D183" s="58" t="s">
        <v>931</v>
      </c>
      <c r="E183" s="58" t="s">
        <v>2387</v>
      </c>
      <c r="G183" s="71" t="s">
        <v>591</v>
      </c>
      <c r="H183" s="72" t="s">
        <v>2397</v>
      </c>
    </row>
    <row r="184" spans="1:8" ht="20.25" thickBot="1" x14ac:dyDescent="0.3">
      <c r="A184" s="55" t="s">
        <v>579</v>
      </c>
      <c r="B184" s="55" t="s">
        <v>2386</v>
      </c>
      <c r="C184" s="58">
        <v>5.5</v>
      </c>
      <c r="D184" s="58" t="s">
        <v>998</v>
      </c>
      <c r="E184" s="58" t="s">
        <v>2387</v>
      </c>
      <c r="G184" s="71" t="s">
        <v>456</v>
      </c>
      <c r="H184" s="72" t="s">
        <v>2397</v>
      </c>
    </row>
    <row r="185" spans="1:8" ht="20.25" thickBot="1" x14ac:dyDescent="0.3">
      <c r="A185" s="55" t="s">
        <v>752</v>
      </c>
      <c r="B185" s="55" t="s">
        <v>2386</v>
      </c>
      <c r="C185" s="58">
        <v>8</v>
      </c>
      <c r="D185" s="58" t="s">
        <v>927</v>
      </c>
      <c r="E185" s="58" t="s">
        <v>2387</v>
      </c>
      <c r="G185" s="71" t="s">
        <v>457</v>
      </c>
      <c r="H185" s="72" t="s">
        <v>2397</v>
      </c>
    </row>
    <row r="186" spans="1:8" ht="20.25" thickBot="1" x14ac:dyDescent="0.3">
      <c r="A186" s="55" t="s">
        <v>568</v>
      </c>
      <c r="B186" s="55" t="s">
        <v>2386</v>
      </c>
      <c r="C186" s="58">
        <v>5.5</v>
      </c>
      <c r="D186" s="58" t="s">
        <v>952</v>
      </c>
      <c r="E186" s="58" t="s">
        <v>2387</v>
      </c>
      <c r="G186" s="71" t="s">
        <v>458</v>
      </c>
      <c r="H186" s="72" t="s">
        <v>2397</v>
      </c>
    </row>
    <row r="187" spans="1:8" ht="20.25" thickBot="1" x14ac:dyDescent="0.3">
      <c r="A187" s="55" t="s">
        <v>582</v>
      </c>
      <c r="B187" s="55" t="s">
        <v>2386</v>
      </c>
      <c r="C187" s="58">
        <v>5.5</v>
      </c>
      <c r="D187" s="58" t="s">
        <v>998</v>
      </c>
      <c r="E187" s="58" t="s">
        <v>2387</v>
      </c>
      <c r="G187" s="71" t="s">
        <v>455</v>
      </c>
      <c r="H187" s="72" t="s">
        <v>2397</v>
      </c>
    </row>
    <row r="188" spans="1:8" ht="20.25" thickBot="1" x14ac:dyDescent="0.3">
      <c r="A188" s="62" t="s">
        <v>472</v>
      </c>
      <c r="B188" s="62" t="s">
        <v>2386</v>
      </c>
      <c r="C188" s="62">
        <v>5.5</v>
      </c>
      <c r="D188" s="62" t="s">
        <v>998</v>
      </c>
      <c r="E188" s="62" t="s">
        <v>2387</v>
      </c>
      <c r="G188" s="71" t="s">
        <v>536</v>
      </c>
      <c r="H188" s="72" t="s">
        <v>2397</v>
      </c>
    </row>
    <row r="189" spans="1:8" ht="20.25" thickBot="1" x14ac:dyDescent="0.3">
      <c r="A189" s="62" t="s">
        <v>595</v>
      </c>
      <c r="B189" s="63" t="s">
        <v>2386</v>
      </c>
      <c r="C189" s="62">
        <v>6</v>
      </c>
      <c r="D189" s="56" t="s">
        <v>2394</v>
      </c>
      <c r="E189" s="62" t="s">
        <v>2387</v>
      </c>
      <c r="G189" s="71" t="s">
        <v>522</v>
      </c>
      <c r="H189" s="72" t="s">
        <v>2397</v>
      </c>
    </row>
    <row r="190" spans="1:8" ht="20.25" thickBot="1" x14ac:dyDescent="0.3">
      <c r="A190" s="62" t="s">
        <v>853</v>
      </c>
      <c r="B190" s="63" t="s">
        <v>2386</v>
      </c>
      <c r="C190" s="62">
        <v>6</v>
      </c>
      <c r="D190" s="56" t="s">
        <v>2394</v>
      </c>
      <c r="E190" s="62" t="s">
        <v>2387</v>
      </c>
      <c r="G190" s="71" t="s">
        <v>524</v>
      </c>
      <c r="H190" s="72" t="s">
        <v>2397</v>
      </c>
    </row>
    <row r="191" spans="1:8" ht="20.25" thickBot="1" x14ac:dyDescent="0.3">
      <c r="A191" s="62" t="s">
        <v>529</v>
      </c>
      <c r="B191" s="63" t="s">
        <v>2386</v>
      </c>
      <c r="C191" s="62">
        <v>6</v>
      </c>
      <c r="D191" s="56" t="s">
        <v>2394</v>
      </c>
      <c r="E191" s="62" t="s">
        <v>2387</v>
      </c>
      <c r="G191" s="71" t="s">
        <v>523</v>
      </c>
      <c r="H191" s="69" t="s">
        <v>2322</v>
      </c>
    </row>
    <row r="192" spans="1:8" ht="20.25" thickBot="1" x14ac:dyDescent="0.3">
      <c r="A192" s="62" t="s">
        <v>599</v>
      </c>
      <c r="B192" s="63" t="s">
        <v>2386</v>
      </c>
      <c r="C192" s="62">
        <v>6</v>
      </c>
      <c r="D192" s="56" t="s">
        <v>2394</v>
      </c>
      <c r="E192" s="62" t="s">
        <v>2387</v>
      </c>
      <c r="G192" s="71" t="s">
        <v>565</v>
      </c>
      <c r="H192" s="72" t="s">
        <v>2397</v>
      </c>
    </row>
    <row r="193" spans="1:8" ht="20.25" thickBot="1" x14ac:dyDescent="0.3">
      <c r="A193" s="62" t="s">
        <v>479</v>
      </c>
      <c r="B193" s="63" t="s">
        <v>2386</v>
      </c>
      <c r="C193" s="62">
        <v>6</v>
      </c>
      <c r="D193" s="56" t="s">
        <v>2394</v>
      </c>
      <c r="E193" s="62" t="s">
        <v>2387</v>
      </c>
      <c r="G193" s="71" t="s">
        <v>566</v>
      </c>
      <c r="H193" s="72" t="s">
        <v>2397</v>
      </c>
    </row>
    <row r="194" spans="1:8" ht="20.25" thickBot="1" x14ac:dyDescent="0.3">
      <c r="A194" s="62" t="s">
        <v>850</v>
      </c>
      <c r="B194" s="63" t="s">
        <v>2386</v>
      </c>
      <c r="C194" s="62">
        <v>6</v>
      </c>
      <c r="D194" s="56" t="s">
        <v>2394</v>
      </c>
      <c r="E194" s="62" t="s">
        <v>2387</v>
      </c>
      <c r="G194" s="71" t="s">
        <v>576</v>
      </c>
      <c r="H194" s="72" t="s">
        <v>2397</v>
      </c>
    </row>
    <row r="195" spans="1:8" ht="20.25" thickBot="1" x14ac:dyDescent="0.3">
      <c r="A195" s="62" t="s">
        <v>410</v>
      </c>
      <c r="B195" s="63" t="s">
        <v>2386</v>
      </c>
      <c r="C195" s="62">
        <v>6</v>
      </c>
      <c r="D195" s="56" t="s">
        <v>2394</v>
      </c>
      <c r="E195" s="62" t="s">
        <v>2387</v>
      </c>
      <c r="G195" s="71" t="s">
        <v>579</v>
      </c>
      <c r="H195" s="72" t="s">
        <v>2397</v>
      </c>
    </row>
    <row r="196" spans="1:8" ht="20.25" thickBot="1" x14ac:dyDescent="0.3">
      <c r="A196" s="62" t="s">
        <v>539</v>
      </c>
      <c r="B196" s="63" t="s">
        <v>2386</v>
      </c>
      <c r="C196" s="62">
        <v>6</v>
      </c>
      <c r="D196" s="56" t="s">
        <v>2394</v>
      </c>
      <c r="E196" s="62" t="s">
        <v>2387</v>
      </c>
      <c r="G196" s="71" t="s">
        <v>587</v>
      </c>
      <c r="H196" s="72" t="s">
        <v>2397</v>
      </c>
    </row>
    <row r="197" spans="1:8" ht="20.25" thickBot="1" x14ac:dyDescent="0.3">
      <c r="A197" s="62" t="s">
        <v>385</v>
      </c>
      <c r="B197" s="62" t="s">
        <v>2386</v>
      </c>
      <c r="C197" s="62">
        <v>5.5</v>
      </c>
      <c r="D197" s="62" t="s">
        <v>998</v>
      </c>
      <c r="E197" s="62" t="s">
        <v>2387</v>
      </c>
      <c r="G197" s="71" t="s">
        <v>597</v>
      </c>
      <c r="H197" s="69" t="s">
        <v>2322</v>
      </c>
    </row>
    <row r="198" spans="1:8" ht="20.25" thickBot="1" x14ac:dyDescent="0.3">
      <c r="A198" s="62" t="s">
        <v>597</v>
      </c>
      <c r="B198" s="62" t="s">
        <v>2386</v>
      </c>
      <c r="C198" s="62">
        <v>5.5</v>
      </c>
      <c r="D198" s="62" t="s">
        <v>998</v>
      </c>
      <c r="E198" s="62" t="s">
        <v>2387</v>
      </c>
      <c r="G198" s="71" t="s">
        <v>752</v>
      </c>
      <c r="H198" s="72" t="s">
        <v>2397</v>
      </c>
    </row>
    <row r="199" spans="1:8" ht="20.25" thickBot="1" x14ac:dyDescent="0.3">
      <c r="A199" s="62" t="s">
        <v>561</v>
      </c>
      <c r="B199" s="63" t="s">
        <v>2386</v>
      </c>
      <c r="C199" s="62">
        <v>8</v>
      </c>
      <c r="D199" s="62" t="s">
        <v>981</v>
      </c>
      <c r="E199" s="62" t="s">
        <v>2387</v>
      </c>
      <c r="G199" s="71" t="s">
        <v>830</v>
      </c>
      <c r="H199" s="72" t="s">
        <v>2397</v>
      </c>
    </row>
    <row r="200" spans="1:8" ht="20.25" thickBot="1" x14ac:dyDescent="0.3">
      <c r="A200" s="62" t="s">
        <v>211</v>
      </c>
      <c r="B200" s="63" t="s">
        <v>2386</v>
      </c>
      <c r="C200" s="62">
        <v>8.5</v>
      </c>
      <c r="D200" s="62" t="s">
        <v>931</v>
      </c>
      <c r="E200" s="62" t="s">
        <v>2387</v>
      </c>
      <c r="G200" s="71" t="s">
        <v>855</v>
      </c>
      <c r="H200" s="72" t="s">
        <v>2397</v>
      </c>
    </row>
    <row r="201" spans="1:8" ht="20.25" thickBot="1" x14ac:dyDescent="0.3">
      <c r="A201" s="64" t="s">
        <v>578</v>
      </c>
      <c r="B201" s="64" t="s">
        <v>2386</v>
      </c>
      <c r="C201" s="64">
        <v>6</v>
      </c>
      <c r="D201" s="56" t="s">
        <v>2394</v>
      </c>
      <c r="E201" s="62" t="s">
        <v>2387</v>
      </c>
      <c r="G201" s="71" t="s">
        <v>848</v>
      </c>
      <c r="H201" s="69" t="s">
        <v>2322</v>
      </c>
    </row>
    <row r="202" spans="1:8" ht="20.25" thickBot="1" x14ac:dyDescent="0.3">
      <c r="A202" s="65" t="s">
        <v>518</v>
      </c>
      <c r="B202" s="64" t="s">
        <v>2386</v>
      </c>
      <c r="C202" s="64">
        <v>7</v>
      </c>
      <c r="D202" s="65" t="s">
        <v>2393</v>
      </c>
      <c r="E202" s="62" t="s">
        <v>2389</v>
      </c>
      <c r="G202" s="71" t="s">
        <v>847</v>
      </c>
      <c r="H202" s="72" t="s">
        <v>2397</v>
      </c>
    </row>
    <row r="203" spans="1:8" ht="20.25" thickBot="1" x14ac:dyDescent="0.3">
      <c r="A203" s="65" t="s">
        <v>564</v>
      </c>
      <c r="B203" s="64" t="s">
        <v>2386</v>
      </c>
      <c r="C203" s="64">
        <v>8</v>
      </c>
      <c r="D203" s="65" t="s">
        <v>2393</v>
      </c>
      <c r="E203" s="62" t="s">
        <v>2389</v>
      </c>
      <c r="G203" s="71" t="s">
        <v>1725</v>
      </c>
      <c r="H203" s="69" t="s">
        <v>2322</v>
      </c>
    </row>
    <row r="204" spans="1:8" ht="20.25" thickBot="1" x14ac:dyDescent="0.3">
      <c r="A204" s="65" t="s">
        <v>816</v>
      </c>
      <c r="B204" s="64" t="s">
        <v>2386</v>
      </c>
      <c r="C204" s="64">
        <v>9</v>
      </c>
      <c r="D204" s="65" t="s">
        <v>2393</v>
      </c>
      <c r="E204" s="62" t="s">
        <v>2389</v>
      </c>
      <c r="G204" s="70" t="s">
        <v>1716</v>
      </c>
      <c r="H204" s="69" t="s">
        <v>2397</v>
      </c>
    </row>
    <row r="205" spans="1:8" ht="20.25" thickBot="1" x14ac:dyDescent="0.3">
      <c r="A205" s="65" t="s">
        <v>573</v>
      </c>
      <c r="B205" s="64" t="s">
        <v>2386</v>
      </c>
      <c r="C205" s="64">
        <v>10</v>
      </c>
      <c r="D205" s="65" t="s">
        <v>2393</v>
      </c>
      <c r="E205" s="62" t="s">
        <v>2389</v>
      </c>
      <c r="G205" s="70" t="s">
        <v>2324</v>
      </c>
      <c r="H205" s="73" t="s">
        <v>2397</v>
      </c>
    </row>
    <row r="206" spans="1:8" ht="20.25" thickBot="1" x14ac:dyDescent="0.3">
      <c r="A206" s="65" t="s">
        <v>574</v>
      </c>
      <c r="B206" s="64" t="s">
        <v>2386</v>
      </c>
      <c r="C206" s="64">
        <v>11</v>
      </c>
      <c r="D206" s="65" t="s">
        <v>2393</v>
      </c>
      <c r="E206" s="62" t="s">
        <v>2389</v>
      </c>
      <c r="G206" s="70" t="s">
        <v>2398</v>
      </c>
      <c r="H206" s="73" t="s">
        <v>2397</v>
      </c>
    </row>
    <row r="207" spans="1:8" ht="20.25" thickBot="1" x14ac:dyDescent="0.3">
      <c r="A207" s="49" t="s">
        <v>336</v>
      </c>
      <c r="B207" s="64" t="s">
        <v>2386</v>
      </c>
      <c r="C207" s="49">
        <v>15</v>
      </c>
      <c r="D207" s="49" t="s">
        <v>965</v>
      </c>
      <c r="E207" s="62" t="s">
        <v>2387</v>
      </c>
      <c r="G207" s="70" t="s">
        <v>2399</v>
      </c>
      <c r="H207" s="73" t="s">
        <v>2397</v>
      </c>
    </row>
    <row r="208" spans="1:8" ht="20.25" thickBot="1" x14ac:dyDescent="0.3">
      <c r="A208" s="49" t="s">
        <v>386</v>
      </c>
      <c r="B208" s="64" t="s">
        <v>2386</v>
      </c>
      <c r="C208" s="49">
        <v>15</v>
      </c>
      <c r="D208" s="49" t="s">
        <v>965</v>
      </c>
      <c r="E208" s="62" t="s">
        <v>2387</v>
      </c>
      <c r="G208" s="70" t="s">
        <v>2400</v>
      </c>
      <c r="H208" s="73" t="s">
        <v>2397</v>
      </c>
    </row>
    <row r="209" spans="7:8" ht="17.25" thickBot="1" x14ac:dyDescent="0.3">
      <c r="G209" s="70" t="s">
        <v>2401</v>
      </c>
      <c r="H209" s="73" t="s">
        <v>2397</v>
      </c>
    </row>
    <row r="210" spans="7:8" ht="17.25" thickBot="1" x14ac:dyDescent="0.3">
      <c r="G210" s="70" t="s">
        <v>2402</v>
      </c>
      <c r="H210" s="73" t="s">
        <v>2397</v>
      </c>
    </row>
    <row r="211" spans="7:8" ht="17.25" thickBot="1" x14ac:dyDescent="0.3">
      <c r="G211" s="71" t="s">
        <v>866</v>
      </c>
      <c r="H211" s="72" t="s">
        <v>2397</v>
      </c>
    </row>
    <row r="212" spans="7:8" ht="17.25" thickBot="1" x14ac:dyDescent="0.3">
      <c r="G212" s="71" t="s">
        <v>1645</v>
      </c>
      <c r="H212" s="69" t="s">
        <v>2322</v>
      </c>
    </row>
    <row r="213" spans="7:8" ht="17.25" thickBot="1" x14ac:dyDescent="0.3">
      <c r="G213" s="71" t="s">
        <v>1416</v>
      </c>
      <c r="H213" s="69" t="s">
        <v>2322</v>
      </c>
    </row>
    <row r="214" spans="7:8" ht="17.25" thickBot="1" x14ac:dyDescent="0.3">
      <c r="G214" s="71" t="s">
        <v>1417</v>
      </c>
      <c r="H214" s="69" t="s">
        <v>2397</v>
      </c>
    </row>
    <row r="215" spans="7:8" ht="17.25" thickBot="1" x14ac:dyDescent="0.3">
      <c r="G215" s="71" t="s">
        <v>1612</v>
      </c>
      <c r="H215" s="72" t="s">
        <v>2397</v>
      </c>
    </row>
    <row r="216" spans="7:8" ht="17.25" thickBot="1" x14ac:dyDescent="0.3">
      <c r="G216" s="71" t="s">
        <v>1629</v>
      </c>
      <c r="H216" s="72" t="s">
        <v>2397</v>
      </c>
    </row>
    <row r="217" spans="7:8" ht="17.25" thickBot="1" x14ac:dyDescent="0.3">
      <c r="G217" s="71" t="s">
        <v>1633</v>
      </c>
      <c r="H217" s="72" t="s">
        <v>2397</v>
      </c>
    </row>
    <row r="218" spans="7:8" ht="17.25" thickBot="1" x14ac:dyDescent="0.3">
      <c r="G218" s="71" t="s">
        <v>1634</v>
      </c>
      <c r="H218" s="72" t="s">
        <v>2397</v>
      </c>
    </row>
    <row r="219" spans="7:8" ht="17.25" thickBot="1" x14ac:dyDescent="0.3">
      <c r="G219" s="71" t="s">
        <v>1635</v>
      </c>
      <c r="H219" s="69" t="s">
        <v>342</v>
      </c>
    </row>
    <row r="220" spans="7:8" ht="17.25" thickBot="1" x14ac:dyDescent="0.3">
      <c r="G220" s="71" t="s">
        <v>1636</v>
      </c>
      <c r="H220" s="69" t="s">
        <v>342</v>
      </c>
    </row>
    <row r="221" spans="7:8" ht="17.25" thickBot="1" x14ac:dyDescent="0.3">
      <c r="G221" s="71" t="s">
        <v>84</v>
      </c>
      <c r="H221" s="69" t="s">
        <v>2322</v>
      </c>
    </row>
    <row r="222" spans="7:8" ht="17.25" thickBot="1" x14ac:dyDescent="0.3">
      <c r="G222" s="68" t="s">
        <v>63</v>
      </c>
      <c r="H222" s="69" t="s">
        <v>1418</v>
      </c>
    </row>
    <row r="223" spans="7:8" ht="17.25" thickBot="1" x14ac:dyDescent="0.3">
      <c r="G223" s="71" t="s">
        <v>64</v>
      </c>
      <c r="H223" s="69" t="s">
        <v>2322</v>
      </c>
    </row>
    <row r="224" spans="7:8" ht="17.25" thickBot="1" x14ac:dyDescent="0.3">
      <c r="G224" s="71" t="s">
        <v>90</v>
      </c>
      <c r="H224" s="69" t="s">
        <v>342</v>
      </c>
    </row>
    <row r="225" spans="7:8" ht="17.25" thickBot="1" x14ac:dyDescent="0.3">
      <c r="G225" s="68" t="s">
        <v>65</v>
      </c>
      <c r="H225" s="69" t="s">
        <v>1418</v>
      </c>
    </row>
    <row r="226" spans="7:8" ht="17.25" thickBot="1" x14ac:dyDescent="0.3">
      <c r="G226" s="68" t="s">
        <v>91</v>
      </c>
      <c r="H226" s="69" t="s">
        <v>342</v>
      </c>
    </row>
    <row r="227" spans="7:8" ht="17.25" thickBot="1" x14ac:dyDescent="0.3">
      <c r="G227" s="68" t="s">
        <v>10</v>
      </c>
      <c r="H227" s="69" t="s">
        <v>1418</v>
      </c>
    </row>
    <row r="228" spans="7:8" ht="17.25" thickBot="1" x14ac:dyDescent="0.3">
      <c r="G228" s="68" t="s">
        <v>92</v>
      </c>
      <c r="H228" s="69" t="s">
        <v>342</v>
      </c>
    </row>
    <row r="229" spans="7:8" ht="17.25" thickBot="1" x14ac:dyDescent="0.3">
      <c r="G229" s="68" t="s">
        <v>93</v>
      </c>
      <c r="H229" s="69" t="s">
        <v>342</v>
      </c>
    </row>
    <row r="230" spans="7:8" ht="17.25" thickBot="1" x14ac:dyDescent="0.3">
      <c r="G230" s="68" t="s">
        <v>94</v>
      </c>
      <c r="H230" s="69" t="s">
        <v>342</v>
      </c>
    </row>
    <row r="231" spans="7:8" ht="17.25" thickBot="1" x14ac:dyDescent="0.3">
      <c r="G231" s="68" t="s">
        <v>131</v>
      </c>
      <c r="H231" s="69" t="s">
        <v>342</v>
      </c>
    </row>
    <row r="232" spans="7:8" ht="17.25" thickBot="1" x14ac:dyDescent="0.3">
      <c r="G232" s="68" t="s">
        <v>66</v>
      </c>
      <c r="H232" s="69" t="s">
        <v>1418</v>
      </c>
    </row>
    <row r="233" spans="7:8" ht="17.25" thickBot="1" x14ac:dyDescent="0.3">
      <c r="G233" s="71" t="s">
        <v>85</v>
      </c>
      <c r="H233" s="69" t="s">
        <v>2322</v>
      </c>
    </row>
    <row r="234" spans="7:8" ht="17.25" thickBot="1" x14ac:dyDescent="0.3">
      <c r="G234" s="71" t="s">
        <v>95</v>
      </c>
      <c r="H234" s="69" t="s">
        <v>2322</v>
      </c>
    </row>
    <row r="235" spans="7:8" ht="17.25" thickBot="1" x14ac:dyDescent="0.3">
      <c r="G235" s="71" t="s">
        <v>67</v>
      </c>
      <c r="H235" s="69" t="s">
        <v>2322</v>
      </c>
    </row>
    <row r="236" spans="7:8" ht="17.25" thickBot="1" x14ac:dyDescent="0.3">
      <c r="G236" s="68" t="s">
        <v>68</v>
      </c>
      <c r="H236" s="69" t="s">
        <v>1418</v>
      </c>
    </row>
    <row r="237" spans="7:8" ht="17.25" thickBot="1" x14ac:dyDescent="0.3">
      <c r="G237" s="71" t="s">
        <v>96</v>
      </c>
      <c r="H237" s="69" t="s">
        <v>1418</v>
      </c>
    </row>
    <row r="238" spans="7:8" ht="17.25" thickBot="1" x14ac:dyDescent="0.3">
      <c r="G238" s="68" t="s">
        <v>97</v>
      </c>
      <c r="H238" s="69" t="s">
        <v>342</v>
      </c>
    </row>
    <row r="239" spans="7:8" ht="17.25" thickBot="1" x14ac:dyDescent="0.3">
      <c r="G239" s="68" t="s">
        <v>11</v>
      </c>
      <c r="H239" s="69" t="s">
        <v>1418</v>
      </c>
    </row>
    <row r="240" spans="7:8" ht="17.25" thickBot="1" x14ac:dyDescent="0.3">
      <c r="G240" s="71" t="s">
        <v>98</v>
      </c>
      <c r="H240" s="69" t="s">
        <v>342</v>
      </c>
    </row>
    <row r="241" spans="7:8" ht="17.25" thickBot="1" x14ac:dyDescent="0.3">
      <c r="G241" s="71" t="s">
        <v>12</v>
      </c>
      <c r="H241" s="69" t="s">
        <v>1418</v>
      </c>
    </row>
    <row r="242" spans="7:8" ht="17.25" thickBot="1" x14ac:dyDescent="0.3">
      <c r="G242" s="71" t="s">
        <v>69</v>
      </c>
      <c r="H242" s="69" t="s">
        <v>1418</v>
      </c>
    </row>
    <row r="243" spans="7:8" ht="17.25" thickBot="1" x14ac:dyDescent="0.3">
      <c r="G243" s="68" t="s">
        <v>70</v>
      </c>
      <c r="H243" s="69" t="s">
        <v>1418</v>
      </c>
    </row>
    <row r="244" spans="7:8" ht="17.25" thickBot="1" x14ac:dyDescent="0.3">
      <c r="G244" s="71" t="s">
        <v>71</v>
      </c>
      <c r="H244" s="69" t="s">
        <v>2322</v>
      </c>
    </row>
    <row r="245" spans="7:8" ht="17.25" thickBot="1" x14ac:dyDescent="0.3">
      <c r="G245" s="68" t="s">
        <v>24</v>
      </c>
      <c r="H245" s="69" t="s">
        <v>1418</v>
      </c>
    </row>
    <row r="246" spans="7:8" ht="17.25" thickBot="1" x14ac:dyDescent="0.3">
      <c r="G246" s="68" t="s">
        <v>25</v>
      </c>
      <c r="H246" s="69" t="s">
        <v>1418</v>
      </c>
    </row>
    <row r="247" spans="7:8" ht="17.25" thickBot="1" x14ac:dyDescent="0.3">
      <c r="G247" s="71" t="s">
        <v>72</v>
      </c>
      <c r="H247" s="69" t="s">
        <v>2322</v>
      </c>
    </row>
    <row r="248" spans="7:8" ht="17.25" thickBot="1" x14ac:dyDescent="0.3">
      <c r="G248" s="71" t="s">
        <v>86</v>
      </c>
      <c r="H248" s="69" t="s">
        <v>2322</v>
      </c>
    </row>
    <row r="249" spans="7:8" ht="17.25" thickBot="1" x14ac:dyDescent="0.3">
      <c r="G249" s="68" t="s">
        <v>124</v>
      </c>
      <c r="H249" s="69" t="s">
        <v>342</v>
      </c>
    </row>
    <row r="250" spans="7:8" ht="17.25" thickBot="1" x14ac:dyDescent="0.3">
      <c r="G250" s="68" t="s">
        <v>117</v>
      </c>
      <c r="H250" s="69" t="s">
        <v>342</v>
      </c>
    </row>
    <row r="251" spans="7:8" ht="17.25" thickBot="1" x14ac:dyDescent="0.3">
      <c r="G251" s="68" t="s">
        <v>99</v>
      </c>
      <c r="H251" s="69" t="s">
        <v>1418</v>
      </c>
    </row>
    <row r="252" spans="7:8" ht="17.25" thickBot="1" x14ac:dyDescent="0.3">
      <c r="G252" s="71" t="s">
        <v>100</v>
      </c>
      <c r="H252" s="69" t="s">
        <v>2322</v>
      </c>
    </row>
    <row r="253" spans="7:8" ht="17.25" thickBot="1" x14ac:dyDescent="0.3">
      <c r="G253" s="68" t="s">
        <v>118</v>
      </c>
      <c r="H253" s="69" t="s">
        <v>342</v>
      </c>
    </row>
    <row r="254" spans="7:8" ht="17.25" thickBot="1" x14ac:dyDescent="0.3">
      <c r="G254" s="68" t="s">
        <v>101</v>
      </c>
      <c r="H254" s="69" t="s">
        <v>342</v>
      </c>
    </row>
    <row r="255" spans="7:8" ht="17.25" thickBot="1" x14ac:dyDescent="0.3">
      <c r="G255" s="68" t="s">
        <v>102</v>
      </c>
      <c r="H255" s="69" t="s">
        <v>342</v>
      </c>
    </row>
    <row r="256" spans="7:8" ht="17.25" thickBot="1" x14ac:dyDescent="0.3">
      <c r="G256" s="68" t="s">
        <v>13</v>
      </c>
      <c r="H256" s="69" t="s">
        <v>1418</v>
      </c>
    </row>
    <row r="257" spans="7:8" ht="17.25" thickBot="1" x14ac:dyDescent="0.3">
      <c r="G257" s="68" t="s">
        <v>73</v>
      </c>
      <c r="H257" s="69" t="s">
        <v>1418</v>
      </c>
    </row>
    <row r="258" spans="7:8" ht="17.25" thickBot="1" x14ac:dyDescent="0.3">
      <c r="G258" s="71" t="s">
        <v>14</v>
      </c>
      <c r="H258" s="69" t="s">
        <v>2322</v>
      </c>
    </row>
    <row r="259" spans="7:8" ht="17.25" thickBot="1" x14ac:dyDescent="0.3">
      <c r="G259" s="71" t="s">
        <v>87</v>
      </c>
      <c r="H259" s="69" t="s">
        <v>2322</v>
      </c>
    </row>
    <row r="260" spans="7:8" ht="17.25" thickBot="1" x14ac:dyDescent="0.3">
      <c r="G260" s="68" t="s">
        <v>74</v>
      </c>
      <c r="H260" s="69" t="s">
        <v>1418</v>
      </c>
    </row>
    <row r="261" spans="7:8" ht="17.25" thickBot="1" x14ac:dyDescent="0.3">
      <c r="G261" s="68" t="s">
        <v>159</v>
      </c>
      <c r="H261" s="69" t="s">
        <v>342</v>
      </c>
    </row>
    <row r="262" spans="7:8" ht="17.25" thickBot="1" x14ac:dyDescent="0.3">
      <c r="G262" s="68" t="s">
        <v>125</v>
      </c>
      <c r="H262" s="69" t="s">
        <v>342</v>
      </c>
    </row>
    <row r="263" spans="7:8" ht="17.25" thickBot="1" x14ac:dyDescent="0.3">
      <c r="G263" s="68" t="s">
        <v>75</v>
      </c>
      <c r="H263" s="69" t="s">
        <v>1418</v>
      </c>
    </row>
    <row r="264" spans="7:8" ht="17.25" thickBot="1" x14ac:dyDescent="0.3">
      <c r="G264" s="68" t="s">
        <v>15</v>
      </c>
      <c r="H264" s="69" t="s">
        <v>1418</v>
      </c>
    </row>
    <row r="265" spans="7:8" ht="17.25" thickBot="1" x14ac:dyDescent="0.3">
      <c r="G265" s="68" t="s">
        <v>16</v>
      </c>
      <c r="H265" s="69" t="s">
        <v>1418</v>
      </c>
    </row>
    <row r="266" spans="7:8" ht="17.25" thickBot="1" x14ac:dyDescent="0.3">
      <c r="G266" s="68" t="s">
        <v>17</v>
      </c>
      <c r="H266" s="69" t="s">
        <v>1418</v>
      </c>
    </row>
    <row r="267" spans="7:8" ht="17.25" thickBot="1" x14ac:dyDescent="0.3">
      <c r="G267" s="68" t="s">
        <v>160</v>
      </c>
      <c r="H267" s="69" t="s">
        <v>342</v>
      </c>
    </row>
    <row r="268" spans="7:8" ht="17.25" thickBot="1" x14ac:dyDescent="0.3">
      <c r="G268" s="68" t="s">
        <v>161</v>
      </c>
      <c r="H268" s="69" t="s">
        <v>342</v>
      </c>
    </row>
    <row r="269" spans="7:8" ht="17.25" thickBot="1" x14ac:dyDescent="0.3">
      <c r="G269" s="71" t="s">
        <v>76</v>
      </c>
      <c r="H269" s="69" t="s">
        <v>2322</v>
      </c>
    </row>
    <row r="270" spans="7:8" ht="17.25" thickBot="1" x14ac:dyDescent="0.3">
      <c r="G270" s="68" t="s">
        <v>134</v>
      </c>
      <c r="H270" s="69" t="s">
        <v>342</v>
      </c>
    </row>
    <row r="271" spans="7:8" ht="17.25" thickBot="1" x14ac:dyDescent="0.3">
      <c r="G271" s="68" t="s">
        <v>119</v>
      </c>
      <c r="H271" s="69" t="s">
        <v>342</v>
      </c>
    </row>
    <row r="272" spans="7:8" ht="17.25" thickBot="1" x14ac:dyDescent="0.3">
      <c r="G272" s="68" t="s">
        <v>121</v>
      </c>
      <c r="H272" s="69" t="s">
        <v>342</v>
      </c>
    </row>
    <row r="273" spans="7:8" ht="17.25" thickBot="1" x14ac:dyDescent="0.3">
      <c r="G273" s="71" t="s">
        <v>103</v>
      </c>
      <c r="H273" s="69" t="s">
        <v>2322</v>
      </c>
    </row>
    <row r="274" spans="7:8" ht="17.25" thickBot="1" x14ac:dyDescent="0.3">
      <c r="G274" s="68" t="s">
        <v>135</v>
      </c>
      <c r="H274" s="69" t="s">
        <v>342</v>
      </c>
    </row>
    <row r="275" spans="7:8" ht="17.25" thickBot="1" x14ac:dyDescent="0.3">
      <c r="G275" s="71" t="s">
        <v>77</v>
      </c>
      <c r="H275" s="69" t="s">
        <v>2322</v>
      </c>
    </row>
    <row r="276" spans="7:8" ht="17.25" thickBot="1" x14ac:dyDescent="0.3">
      <c r="G276" s="68" t="s">
        <v>104</v>
      </c>
      <c r="H276" s="69" t="s">
        <v>342</v>
      </c>
    </row>
    <row r="277" spans="7:8" ht="17.25" thickBot="1" x14ac:dyDescent="0.3">
      <c r="G277" s="68" t="s">
        <v>105</v>
      </c>
      <c r="H277" s="69" t="s">
        <v>342</v>
      </c>
    </row>
    <row r="278" spans="7:8" ht="17.25" thickBot="1" x14ac:dyDescent="0.3">
      <c r="G278" s="68" t="s">
        <v>377</v>
      </c>
      <c r="H278" s="69" t="s">
        <v>342</v>
      </c>
    </row>
    <row r="279" spans="7:8" ht="17.25" thickBot="1" x14ac:dyDescent="0.3">
      <c r="G279" s="71" t="s">
        <v>106</v>
      </c>
      <c r="H279" s="69" t="s">
        <v>2322</v>
      </c>
    </row>
    <row r="280" spans="7:8" ht="17.25" thickBot="1" x14ac:dyDescent="0.3">
      <c r="G280" s="68" t="s">
        <v>126</v>
      </c>
      <c r="H280" s="69" t="s">
        <v>342</v>
      </c>
    </row>
    <row r="281" spans="7:8" ht="17.25" thickBot="1" x14ac:dyDescent="0.3">
      <c r="G281" s="68" t="s">
        <v>107</v>
      </c>
      <c r="H281" s="69" t="s">
        <v>342</v>
      </c>
    </row>
    <row r="282" spans="7:8" ht="17.25" thickBot="1" x14ac:dyDescent="0.3">
      <c r="G282" s="68" t="s">
        <v>108</v>
      </c>
      <c r="H282" s="69" t="s">
        <v>342</v>
      </c>
    </row>
    <row r="283" spans="7:8" ht="17.25" thickBot="1" x14ac:dyDescent="0.3">
      <c r="G283" s="68" t="s">
        <v>78</v>
      </c>
      <c r="H283" s="69" t="s">
        <v>1418</v>
      </c>
    </row>
    <row r="284" spans="7:8" ht="17.25" thickBot="1" x14ac:dyDescent="0.3">
      <c r="G284" s="71" t="s">
        <v>88</v>
      </c>
      <c r="H284" s="69" t="s">
        <v>2322</v>
      </c>
    </row>
    <row r="285" spans="7:8" ht="17.25" thickBot="1" x14ac:dyDescent="0.3">
      <c r="G285" s="68" t="s">
        <v>26</v>
      </c>
      <c r="H285" s="69" t="s">
        <v>1418</v>
      </c>
    </row>
    <row r="286" spans="7:8" ht="17.25" thickBot="1" x14ac:dyDescent="0.3">
      <c r="G286" s="68" t="s">
        <v>132</v>
      </c>
      <c r="H286" s="69" t="s">
        <v>342</v>
      </c>
    </row>
    <row r="287" spans="7:8" ht="17.25" thickBot="1" x14ac:dyDescent="0.3">
      <c r="G287" s="68" t="s">
        <v>2</v>
      </c>
      <c r="H287" s="69" t="s">
        <v>1418</v>
      </c>
    </row>
    <row r="288" spans="7:8" ht="17.25" thickBot="1" x14ac:dyDescent="0.3">
      <c r="G288" s="68" t="s">
        <v>109</v>
      </c>
      <c r="H288" s="69" t="s">
        <v>342</v>
      </c>
    </row>
    <row r="289" spans="7:8" ht="17.25" thickBot="1" x14ac:dyDescent="0.3">
      <c r="G289" s="68" t="s">
        <v>18</v>
      </c>
      <c r="H289" s="69" t="s">
        <v>1418</v>
      </c>
    </row>
    <row r="290" spans="7:8" ht="17.25" thickBot="1" x14ac:dyDescent="0.3">
      <c r="G290" s="68" t="s">
        <v>79</v>
      </c>
      <c r="H290" s="69" t="s">
        <v>1418</v>
      </c>
    </row>
    <row r="291" spans="7:8" ht="17.25" thickBot="1" x14ac:dyDescent="0.3">
      <c r="G291" s="68" t="s">
        <v>19</v>
      </c>
      <c r="H291" s="69" t="s">
        <v>1418</v>
      </c>
    </row>
    <row r="292" spans="7:8" ht="17.25" thickBot="1" x14ac:dyDescent="0.3">
      <c r="G292" s="68" t="s">
        <v>20</v>
      </c>
      <c r="H292" s="69" t="s">
        <v>1418</v>
      </c>
    </row>
    <row r="293" spans="7:8" ht="17.25" thickBot="1" x14ac:dyDescent="0.3">
      <c r="G293" s="68" t="s">
        <v>21</v>
      </c>
      <c r="H293" s="69" t="s">
        <v>1418</v>
      </c>
    </row>
    <row r="294" spans="7:8" ht="17.25" thickBot="1" x14ac:dyDescent="0.3">
      <c r="G294" s="68" t="s">
        <v>110</v>
      </c>
      <c r="H294" s="69" t="s">
        <v>342</v>
      </c>
    </row>
    <row r="295" spans="7:8" ht="17.25" thickBot="1" x14ac:dyDescent="0.3">
      <c r="G295" s="71" t="s">
        <v>111</v>
      </c>
      <c r="H295" s="69" t="s">
        <v>2322</v>
      </c>
    </row>
    <row r="296" spans="7:8" ht="17.25" thickBot="1" x14ac:dyDescent="0.3">
      <c r="G296" s="68" t="s">
        <v>27</v>
      </c>
      <c r="H296" s="69" t="s">
        <v>1418</v>
      </c>
    </row>
    <row r="297" spans="7:8" ht="17.25" thickBot="1" x14ac:dyDescent="0.3">
      <c r="G297" s="68" t="s">
        <v>22</v>
      </c>
      <c r="H297" s="69" t="s">
        <v>1418</v>
      </c>
    </row>
    <row r="298" spans="7:8" ht="17.25" thickBot="1" x14ac:dyDescent="0.3">
      <c r="G298" s="71" t="s">
        <v>23</v>
      </c>
      <c r="H298" s="69" t="s">
        <v>2322</v>
      </c>
    </row>
    <row r="299" spans="7:8" ht="17.25" thickBot="1" x14ac:dyDescent="0.3">
      <c r="G299" s="68" t="s">
        <v>112</v>
      </c>
      <c r="H299" s="69" t="s">
        <v>342</v>
      </c>
    </row>
    <row r="300" spans="7:8" ht="17.25" thickBot="1" x14ac:dyDescent="0.3">
      <c r="G300" s="68" t="s">
        <v>113</v>
      </c>
      <c r="H300" s="69" t="s">
        <v>1418</v>
      </c>
    </row>
    <row r="301" spans="7:8" ht="17.25" thickBot="1" x14ac:dyDescent="0.3">
      <c r="G301" s="71" t="s">
        <v>114</v>
      </c>
      <c r="H301" s="69" t="s">
        <v>2322</v>
      </c>
    </row>
    <row r="302" spans="7:8" ht="17.25" thickBot="1" x14ac:dyDescent="0.3">
      <c r="G302" s="68" t="s">
        <v>120</v>
      </c>
      <c r="H302" s="69" t="s">
        <v>342</v>
      </c>
    </row>
    <row r="303" spans="7:8" ht="17.25" thickBot="1" x14ac:dyDescent="0.3">
      <c r="G303" s="71" t="s">
        <v>115</v>
      </c>
      <c r="H303" s="69" t="s">
        <v>2322</v>
      </c>
    </row>
    <row r="304" spans="7:8" ht="17.25" thickBot="1" x14ac:dyDescent="0.3">
      <c r="G304" s="68" t="s">
        <v>136</v>
      </c>
      <c r="H304" s="69" t="s">
        <v>342</v>
      </c>
    </row>
    <row r="305" spans="7:8" ht="17.25" thickBot="1" x14ac:dyDescent="0.3">
      <c r="G305" s="68" t="s">
        <v>116</v>
      </c>
      <c r="H305" s="69" t="s">
        <v>342</v>
      </c>
    </row>
    <row r="306" spans="7:8" ht="17.25" thickBot="1" x14ac:dyDescent="0.3">
      <c r="G306" s="68" t="s">
        <v>162</v>
      </c>
      <c r="H306" s="69" t="s">
        <v>342</v>
      </c>
    </row>
    <row r="307" spans="7:8" ht="17.25" thickBot="1" x14ac:dyDescent="0.3">
      <c r="G307" s="68" t="s">
        <v>35</v>
      </c>
      <c r="H307" s="69" t="s">
        <v>1418</v>
      </c>
    </row>
    <row r="308" spans="7:8" ht="17.25" thickBot="1" x14ac:dyDescent="0.3">
      <c r="G308" s="68" t="s">
        <v>137</v>
      </c>
      <c r="H308" s="69" t="s">
        <v>342</v>
      </c>
    </row>
    <row r="309" spans="7:8" ht="17.25" thickBot="1" x14ac:dyDescent="0.3">
      <c r="G309" s="68" t="s">
        <v>138</v>
      </c>
      <c r="H309" s="69" t="s">
        <v>342</v>
      </c>
    </row>
    <row r="310" spans="7:8" ht="17.25" thickBot="1" x14ac:dyDescent="0.3">
      <c r="G310" s="68" t="s">
        <v>139</v>
      </c>
      <c r="H310" s="69" t="s">
        <v>342</v>
      </c>
    </row>
    <row r="311" spans="7:8" ht="17.25" thickBot="1" x14ac:dyDescent="0.3">
      <c r="G311" s="68" t="s">
        <v>140</v>
      </c>
      <c r="H311" s="69" t="s">
        <v>342</v>
      </c>
    </row>
    <row r="312" spans="7:8" ht="17.25" thickBot="1" x14ac:dyDescent="0.3">
      <c r="G312" s="68" t="s">
        <v>36</v>
      </c>
      <c r="H312" s="69" t="s">
        <v>1418</v>
      </c>
    </row>
    <row r="313" spans="7:8" ht="17.25" thickBot="1" x14ac:dyDescent="0.3">
      <c r="G313" s="68" t="s">
        <v>383</v>
      </c>
      <c r="H313" s="69" t="s">
        <v>1418</v>
      </c>
    </row>
    <row r="314" spans="7:8" ht="17.25" thickBot="1" x14ac:dyDescent="0.3">
      <c r="G314" s="68" t="s">
        <v>384</v>
      </c>
      <c r="H314" s="69" t="s">
        <v>1418</v>
      </c>
    </row>
    <row r="315" spans="7:8" ht="17.25" thickBot="1" x14ac:dyDescent="0.3">
      <c r="G315" s="71" t="s">
        <v>424</v>
      </c>
      <c r="H315" s="69" t="s">
        <v>1418</v>
      </c>
    </row>
    <row r="316" spans="7:8" ht="17.25" thickBot="1" x14ac:dyDescent="0.3">
      <c r="G316" s="68" t="s">
        <v>390</v>
      </c>
      <c r="H316" s="69" t="s">
        <v>342</v>
      </c>
    </row>
    <row r="317" spans="7:8" ht="17.25" thickBot="1" x14ac:dyDescent="0.3">
      <c r="G317" s="68" t="s">
        <v>391</v>
      </c>
      <c r="H317" s="69" t="s">
        <v>342</v>
      </c>
    </row>
    <row r="318" spans="7:8" ht="17.25" thickBot="1" x14ac:dyDescent="0.3">
      <c r="G318" s="68" t="s">
        <v>438</v>
      </c>
      <c r="H318" s="69" t="s">
        <v>1418</v>
      </c>
    </row>
    <row r="319" spans="7:8" ht="17.25" thickBot="1" x14ac:dyDescent="0.3">
      <c r="G319" s="71" t="s">
        <v>449</v>
      </c>
      <c r="H319" s="69" t="s">
        <v>2322</v>
      </c>
    </row>
    <row r="320" spans="7:8" ht="17.25" thickBot="1" x14ac:dyDescent="0.3">
      <c r="G320" s="68" t="s">
        <v>547</v>
      </c>
      <c r="H320" s="69" t="s">
        <v>342</v>
      </c>
    </row>
    <row r="321" spans="7:8" ht="17.25" thickBot="1" x14ac:dyDescent="0.3">
      <c r="G321" s="71" t="s">
        <v>588</v>
      </c>
      <c r="H321" s="69" t="s">
        <v>2322</v>
      </c>
    </row>
    <row r="322" spans="7:8" ht="17.25" thickBot="1" x14ac:dyDescent="0.3">
      <c r="G322" s="71" t="s">
        <v>546</v>
      </c>
      <c r="H322" s="69" t="s">
        <v>2322</v>
      </c>
    </row>
    <row r="323" spans="7:8" ht="17.25" thickBot="1" x14ac:dyDescent="0.3">
      <c r="G323" s="68" t="s">
        <v>450</v>
      </c>
      <c r="H323" s="69" t="s">
        <v>1418</v>
      </c>
    </row>
    <row r="324" spans="7:8" ht="17.25" thickBot="1" x14ac:dyDescent="0.3">
      <c r="G324" s="68" t="s">
        <v>441</v>
      </c>
      <c r="H324" s="69" t="s">
        <v>342</v>
      </c>
    </row>
    <row r="325" spans="7:8" ht="17.25" thickBot="1" x14ac:dyDescent="0.3">
      <c r="G325" s="68" t="s">
        <v>464</v>
      </c>
      <c r="H325" s="69" t="s">
        <v>342</v>
      </c>
    </row>
    <row r="326" spans="7:8" ht="17.25" thickBot="1" x14ac:dyDescent="0.3">
      <c r="G326" s="71" t="s">
        <v>451</v>
      </c>
      <c r="H326" s="69" t="s">
        <v>2322</v>
      </c>
    </row>
    <row r="327" spans="7:8" ht="17.25" thickBot="1" x14ac:dyDescent="0.3">
      <c r="G327" s="68" t="s">
        <v>466</v>
      </c>
      <c r="H327" s="69" t="s">
        <v>1418</v>
      </c>
    </row>
    <row r="328" spans="7:8" ht="17.25" thickBot="1" x14ac:dyDescent="0.3">
      <c r="G328" s="71" t="s">
        <v>465</v>
      </c>
      <c r="H328" s="69" t="s">
        <v>2322</v>
      </c>
    </row>
    <row r="329" spans="7:8" ht="17.25" thickBot="1" x14ac:dyDescent="0.3">
      <c r="G329" s="68" t="s">
        <v>472</v>
      </c>
      <c r="H329" s="69" t="s">
        <v>342</v>
      </c>
    </row>
    <row r="330" spans="7:8" ht="17.25" thickBot="1" x14ac:dyDescent="0.3">
      <c r="G330" s="68" t="s">
        <v>473</v>
      </c>
      <c r="H330" s="69" t="s">
        <v>1418</v>
      </c>
    </row>
    <row r="331" spans="7:8" ht="17.25" thickBot="1" x14ac:dyDescent="0.3">
      <c r="G331" s="68" t="s">
        <v>484</v>
      </c>
      <c r="H331" s="69" t="s">
        <v>342</v>
      </c>
    </row>
    <row r="332" spans="7:8" ht="17.25" thickBot="1" x14ac:dyDescent="0.3">
      <c r="G332" s="68" t="s">
        <v>471</v>
      </c>
      <c r="H332" s="69" t="s">
        <v>342</v>
      </c>
    </row>
    <row r="333" spans="7:8" ht="17.25" thickBot="1" x14ac:dyDescent="0.3">
      <c r="G333" s="68" t="s">
        <v>567</v>
      </c>
      <c r="H333" s="69" t="s">
        <v>1418</v>
      </c>
    </row>
    <row r="334" spans="7:8" ht="17.25" thickBot="1" x14ac:dyDescent="0.3">
      <c r="G334" s="68" t="s">
        <v>580</v>
      </c>
      <c r="H334" s="69" t="s">
        <v>342</v>
      </c>
    </row>
    <row r="335" spans="7:8" ht="17.25" thickBot="1" x14ac:dyDescent="0.3">
      <c r="G335" s="68" t="s">
        <v>585</v>
      </c>
      <c r="H335" s="69" t="s">
        <v>342</v>
      </c>
    </row>
    <row r="336" spans="7:8" ht="17.25" thickBot="1" x14ac:dyDescent="0.3">
      <c r="G336" s="68" t="s">
        <v>599</v>
      </c>
      <c r="H336" s="69" t="s">
        <v>342</v>
      </c>
    </row>
    <row r="337" spans="7:8" ht="17.25" thickBot="1" x14ac:dyDescent="0.3">
      <c r="G337" s="68" t="s">
        <v>601</v>
      </c>
      <c r="H337" s="69" t="s">
        <v>342</v>
      </c>
    </row>
    <row r="338" spans="7:8" ht="17.25" thickBot="1" x14ac:dyDescent="0.3">
      <c r="G338" s="68" t="s">
        <v>1726</v>
      </c>
      <c r="H338" s="69" t="s">
        <v>342</v>
      </c>
    </row>
    <row r="339" spans="7:8" ht="17.25" thickBot="1" x14ac:dyDescent="0.3">
      <c r="G339" s="68" t="s">
        <v>748</v>
      </c>
      <c r="H339" s="69" t="s">
        <v>1418</v>
      </c>
    </row>
    <row r="340" spans="7:8" ht="17.25" thickBot="1" x14ac:dyDescent="0.3">
      <c r="G340" s="71" t="s">
        <v>865</v>
      </c>
      <c r="H340" s="69" t="s">
        <v>2322</v>
      </c>
    </row>
    <row r="341" spans="7:8" ht="17.25" thickBot="1" x14ac:dyDescent="0.3">
      <c r="G341" s="68" t="s">
        <v>1611</v>
      </c>
      <c r="H341" s="69" t="s">
        <v>1418</v>
      </c>
    </row>
    <row r="342" spans="7:8" ht="17.25" thickBot="1" x14ac:dyDescent="0.3">
      <c r="G342" s="70" t="s">
        <v>1717</v>
      </c>
      <c r="H342" s="73" t="s">
        <v>342</v>
      </c>
    </row>
    <row r="343" spans="7:8" ht="17.25" thickBot="1" x14ac:dyDescent="0.3">
      <c r="G343" s="70" t="s">
        <v>1718</v>
      </c>
      <c r="H343" s="69" t="s">
        <v>1418</v>
      </c>
    </row>
    <row r="344" spans="7:8" ht="17.25" thickBot="1" x14ac:dyDescent="0.3">
      <c r="G344" s="70" t="s">
        <v>2403</v>
      </c>
      <c r="H344" s="72" t="s">
        <v>2322</v>
      </c>
    </row>
    <row r="345" spans="7:8" ht="17.25" thickBot="1" x14ac:dyDescent="0.3">
      <c r="G345" s="70" t="s">
        <v>2404</v>
      </c>
      <c r="H345" s="72" t="s">
        <v>2322</v>
      </c>
    </row>
    <row r="346" spans="7:8" ht="17.25" thickBot="1" x14ac:dyDescent="0.3">
      <c r="G346" s="70" t="s">
        <v>2405</v>
      </c>
      <c r="H346" s="69" t="s">
        <v>1418</v>
      </c>
    </row>
    <row r="347" spans="7:8" ht="17.25" thickBot="1" x14ac:dyDescent="0.3">
      <c r="G347" s="70" t="s">
        <v>2406</v>
      </c>
      <c r="H347" s="69" t="s">
        <v>342</v>
      </c>
    </row>
    <row r="348" spans="7:8" ht="17.25" thickBot="1" x14ac:dyDescent="0.3">
      <c r="G348" s="70" t="s">
        <v>2407</v>
      </c>
      <c r="H348" s="72" t="s">
        <v>2322</v>
      </c>
    </row>
    <row r="349" spans="7:8" ht="17.25" thickBot="1" x14ac:dyDescent="0.3">
      <c r="G349" s="68" t="s">
        <v>869</v>
      </c>
      <c r="H349" s="69" t="s">
        <v>342</v>
      </c>
    </row>
    <row r="350" spans="7:8" ht="17.25" thickBot="1" x14ac:dyDescent="0.3">
      <c r="G350" s="68" t="s">
        <v>867</v>
      </c>
      <c r="H350" s="69" t="s">
        <v>1418</v>
      </c>
    </row>
    <row r="351" spans="7:8" ht="17.25" thickBot="1" x14ac:dyDescent="0.3">
      <c r="G351" s="68" t="s">
        <v>871</v>
      </c>
      <c r="H351" s="69" t="s">
        <v>1418</v>
      </c>
    </row>
    <row r="352" spans="7:8" ht="17.25" thickBot="1" x14ac:dyDescent="0.3">
      <c r="G352" s="68" t="s">
        <v>868</v>
      </c>
      <c r="H352" s="69" t="s">
        <v>1418</v>
      </c>
    </row>
    <row r="353" spans="7:8" ht="17.25" thickBot="1" x14ac:dyDescent="0.3">
      <c r="G353" s="68" t="s">
        <v>870</v>
      </c>
      <c r="H353" s="69" t="s">
        <v>342</v>
      </c>
    </row>
    <row r="354" spans="7:8" ht="17.25" thickBot="1" x14ac:dyDescent="0.3">
      <c r="G354" s="68" t="s">
        <v>872</v>
      </c>
      <c r="H354" s="69" t="s">
        <v>2322</v>
      </c>
    </row>
    <row r="355" spans="7:8" ht="17.25" thickBot="1" x14ac:dyDescent="0.3">
      <c r="G355" s="68" t="s">
        <v>1414</v>
      </c>
      <c r="H355" s="69" t="s">
        <v>2322</v>
      </c>
    </row>
    <row r="356" spans="7:8" ht="17.25" thickBot="1" x14ac:dyDescent="0.3">
      <c r="G356" s="68" t="s">
        <v>1415</v>
      </c>
      <c r="H356" s="69" t="s">
        <v>342</v>
      </c>
    </row>
    <row r="357" spans="7:8" ht="17.25" thickBot="1" x14ac:dyDescent="0.3">
      <c r="G357" s="68" t="s">
        <v>1637</v>
      </c>
      <c r="H357" s="69" t="s">
        <v>2322</v>
      </c>
    </row>
    <row r="358" spans="7:8" ht="17.25" thickBot="1" x14ac:dyDescent="0.3">
      <c r="G358" s="68" t="s">
        <v>1638</v>
      </c>
      <c r="H358" s="69" t="s">
        <v>1418</v>
      </c>
    </row>
    <row r="359" spans="7:8" ht="17.25" thickBot="1" x14ac:dyDescent="0.3">
      <c r="G359" s="68" t="s">
        <v>1614</v>
      </c>
      <c r="H359" s="69" t="s">
        <v>342</v>
      </c>
    </row>
    <row r="360" spans="7:8" ht="17.25" thickBot="1" x14ac:dyDescent="0.3">
      <c r="G360" s="68" t="s">
        <v>352</v>
      </c>
      <c r="H360" s="69" t="s">
        <v>841</v>
      </c>
    </row>
    <row r="361" spans="7:8" ht="17.25" thickBot="1" x14ac:dyDescent="0.3">
      <c r="G361" s="68" t="s">
        <v>347</v>
      </c>
      <c r="H361" s="69" t="s">
        <v>841</v>
      </c>
    </row>
    <row r="362" spans="7:8" ht="17.25" thickBot="1" x14ac:dyDescent="0.3">
      <c r="G362" s="68" t="s">
        <v>366</v>
      </c>
      <c r="H362" s="69" t="s">
        <v>340</v>
      </c>
    </row>
    <row r="363" spans="7:8" ht="17.25" thickBot="1" x14ac:dyDescent="0.3">
      <c r="G363" s="68" t="s">
        <v>348</v>
      </c>
      <c r="H363" s="69" t="s">
        <v>841</v>
      </c>
    </row>
    <row r="364" spans="7:8" ht="17.25" thickBot="1" x14ac:dyDescent="0.3">
      <c r="G364" s="68" t="s">
        <v>354</v>
      </c>
      <c r="H364" s="69" t="s">
        <v>339</v>
      </c>
    </row>
    <row r="365" spans="7:8" ht="17.25" thickBot="1" x14ac:dyDescent="0.3">
      <c r="G365" s="68" t="s">
        <v>349</v>
      </c>
      <c r="H365" s="69" t="s">
        <v>841</v>
      </c>
    </row>
    <row r="366" spans="7:8" ht="17.25" thickBot="1" x14ac:dyDescent="0.3">
      <c r="G366" s="68" t="s">
        <v>363</v>
      </c>
      <c r="H366" s="69" t="s">
        <v>841</v>
      </c>
    </row>
    <row r="367" spans="7:8" ht="17.25" thickBot="1" x14ac:dyDescent="0.3">
      <c r="G367" s="68" t="s">
        <v>350</v>
      </c>
      <c r="H367" s="69" t="s">
        <v>841</v>
      </c>
    </row>
    <row r="368" spans="7:8" ht="17.25" thickBot="1" x14ac:dyDescent="0.3">
      <c r="G368" s="68" t="s">
        <v>351</v>
      </c>
      <c r="H368" s="69" t="s">
        <v>841</v>
      </c>
    </row>
    <row r="369" spans="7:8" ht="17.25" thickBot="1" x14ac:dyDescent="0.3">
      <c r="G369" s="68" t="s">
        <v>344</v>
      </c>
      <c r="H369" s="69" t="s">
        <v>340</v>
      </c>
    </row>
    <row r="370" spans="7:8" ht="17.25" thickBot="1" x14ac:dyDescent="0.3">
      <c r="G370" s="68" t="s">
        <v>372</v>
      </c>
      <c r="H370" s="69" t="s">
        <v>841</v>
      </c>
    </row>
    <row r="371" spans="7:8" ht="17.25" thickBot="1" x14ac:dyDescent="0.3">
      <c r="G371" s="68" t="s">
        <v>370</v>
      </c>
      <c r="H371" s="69" t="s">
        <v>841</v>
      </c>
    </row>
    <row r="372" spans="7:8" ht="17.25" thickBot="1" x14ac:dyDescent="0.3">
      <c r="G372" s="68" t="s">
        <v>359</v>
      </c>
      <c r="H372" s="69" t="s">
        <v>841</v>
      </c>
    </row>
    <row r="373" spans="7:8" ht="17.25" thickBot="1" x14ac:dyDescent="0.3">
      <c r="G373" s="68" t="s">
        <v>358</v>
      </c>
      <c r="H373" s="69" t="s">
        <v>841</v>
      </c>
    </row>
    <row r="374" spans="7:8" ht="17.25" thickBot="1" x14ac:dyDescent="0.3">
      <c r="G374" s="68" t="s">
        <v>356</v>
      </c>
      <c r="H374" s="69" t="s">
        <v>841</v>
      </c>
    </row>
    <row r="375" spans="7:8" ht="17.25" thickBot="1" x14ac:dyDescent="0.3">
      <c r="G375" s="68" t="s">
        <v>371</v>
      </c>
      <c r="H375" s="69" t="s">
        <v>841</v>
      </c>
    </row>
    <row r="376" spans="7:8" ht="17.25" thickBot="1" x14ac:dyDescent="0.3">
      <c r="G376" s="68" t="s">
        <v>360</v>
      </c>
      <c r="H376" s="69" t="s">
        <v>841</v>
      </c>
    </row>
    <row r="377" spans="7:8" ht="17.25" thickBot="1" x14ac:dyDescent="0.3">
      <c r="G377" s="68" t="s">
        <v>353</v>
      </c>
      <c r="H377" s="69" t="s">
        <v>339</v>
      </c>
    </row>
    <row r="378" spans="7:8" ht="17.25" thickBot="1" x14ac:dyDescent="0.3">
      <c r="G378" s="68" t="s">
        <v>368</v>
      </c>
      <c r="H378" s="69" t="s">
        <v>339</v>
      </c>
    </row>
    <row r="379" spans="7:8" ht="17.25" thickBot="1" x14ac:dyDescent="0.3">
      <c r="G379" s="68" t="s">
        <v>369</v>
      </c>
      <c r="H379" s="69" t="s">
        <v>339</v>
      </c>
    </row>
    <row r="380" spans="7:8" ht="17.25" thickBot="1" x14ac:dyDescent="0.3">
      <c r="G380" s="68" t="s">
        <v>392</v>
      </c>
      <c r="H380" s="69" t="s">
        <v>841</v>
      </c>
    </row>
    <row r="381" spans="7:8" ht="17.25" thickBot="1" x14ac:dyDescent="0.3">
      <c r="G381" s="68" t="s">
        <v>364</v>
      </c>
      <c r="H381" s="69" t="s">
        <v>339</v>
      </c>
    </row>
    <row r="382" spans="7:8" ht="17.25" thickBot="1" x14ac:dyDescent="0.3">
      <c r="G382" s="68" t="s">
        <v>355</v>
      </c>
      <c r="H382" s="69" t="s">
        <v>339</v>
      </c>
    </row>
    <row r="383" spans="7:8" ht="17.25" thickBot="1" x14ac:dyDescent="0.3">
      <c r="G383" s="68" t="s">
        <v>357</v>
      </c>
      <c r="H383" s="69" t="s">
        <v>841</v>
      </c>
    </row>
    <row r="384" spans="7:8" ht="17.25" thickBot="1" x14ac:dyDescent="0.3">
      <c r="G384" s="68" t="s">
        <v>361</v>
      </c>
      <c r="H384" s="69" t="s">
        <v>841</v>
      </c>
    </row>
    <row r="385" spans="7:8" ht="17.25" thickBot="1" x14ac:dyDescent="0.3">
      <c r="G385" s="68" t="s">
        <v>362</v>
      </c>
      <c r="H385" s="69" t="s">
        <v>841</v>
      </c>
    </row>
    <row r="386" spans="7:8" ht="17.25" thickBot="1" x14ac:dyDescent="0.3">
      <c r="G386" s="68" t="s">
        <v>373</v>
      </c>
      <c r="H386" s="69" t="s">
        <v>841</v>
      </c>
    </row>
    <row r="387" spans="7:8" ht="17.25" thickBot="1" x14ac:dyDescent="0.3">
      <c r="G387" s="68" t="s">
        <v>345</v>
      </c>
      <c r="H387" s="69" t="s">
        <v>841</v>
      </c>
    </row>
    <row r="388" spans="7:8" ht="17.25" thickBot="1" x14ac:dyDescent="0.3">
      <c r="G388" s="68" t="s">
        <v>367</v>
      </c>
      <c r="H388" s="69" t="s">
        <v>340</v>
      </c>
    </row>
    <row r="389" spans="7:8" ht="17.25" thickBot="1" x14ac:dyDescent="0.3">
      <c r="G389" s="68" t="s">
        <v>346</v>
      </c>
      <c r="H389" s="69" t="s">
        <v>841</v>
      </c>
    </row>
    <row r="390" spans="7:8" ht="17.25" thickBot="1" x14ac:dyDescent="0.3">
      <c r="G390" s="68" t="s">
        <v>365</v>
      </c>
      <c r="H390" s="69" t="s">
        <v>340</v>
      </c>
    </row>
    <row r="391" spans="7:8" ht="17.25" thickBot="1" x14ac:dyDescent="0.3">
      <c r="G391" s="68" t="s">
        <v>376</v>
      </c>
      <c r="H391" s="69" t="s">
        <v>339</v>
      </c>
    </row>
    <row r="392" spans="7:8" ht="17.25" thickBot="1" x14ac:dyDescent="0.3">
      <c r="G392" s="68" t="s">
        <v>374</v>
      </c>
      <c r="H392" s="69" t="s">
        <v>340</v>
      </c>
    </row>
    <row r="393" spans="7:8" ht="17.25" thickBot="1" x14ac:dyDescent="0.3">
      <c r="G393" s="68" t="s">
        <v>375</v>
      </c>
      <c r="H393" s="69" t="s">
        <v>841</v>
      </c>
    </row>
    <row r="394" spans="7:8" ht="17.25" thickBot="1" x14ac:dyDescent="0.3">
      <c r="G394" s="68" t="s">
        <v>411</v>
      </c>
      <c r="H394" s="69" t="s">
        <v>841</v>
      </c>
    </row>
    <row r="395" spans="7:8" ht="17.25" thickBot="1" x14ac:dyDescent="0.3">
      <c r="G395" s="68" t="s">
        <v>410</v>
      </c>
      <c r="H395" s="69" t="s">
        <v>340</v>
      </c>
    </row>
    <row r="396" spans="7:8" ht="17.25" thickBot="1" x14ac:dyDescent="0.3">
      <c r="G396" s="68" t="s">
        <v>420</v>
      </c>
      <c r="H396" s="69" t="s">
        <v>841</v>
      </c>
    </row>
    <row r="397" spans="7:8" ht="17.25" thickBot="1" x14ac:dyDescent="0.3">
      <c r="G397" s="68" t="s">
        <v>443</v>
      </c>
      <c r="H397" s="69" t="s">
        <v>841</v>
      </c>
    </row>
    <row r="398" spans="7:8" ht="17.25" thickBot="1" x14ac:dyDescent="0.3">
      <c r="G398" s="68" t="s">
        <v>444</v>
      </c>
      <c r="H398" s="69" t="s">
        <v>339</v>
      </c>
    </row>
    <row r="399" spans="7:8" ht="17.25" thickBot="1" x14ac:dyDescent="0.3">
      <c r="G399" s="68" t="s">
        <v>445</v>
      </c>
      <c r="H399" s="69" t="s">
        <v>339</v>
      </c>
    </row>
    <row r="400" spans="7:8" ht="17.25" thickBot="1" x14ac:dyDescent="0.3">
      <c r="G400" s="68" t="s">
        <v>446</v>
      </c>
      <c r="H400" s="69" t="s">
        <v>841</v>
      </c>
    </row>
    <row r="401" spans="7:8" ht="17.25" thickBot="1" x14ac:dyDescent="0.3">
      <c r="G401" s="68" t="s">
        <v>475</v>
      </c>
      <c r="H401" s="69" t="s">
        <v>841</v>
      </c>
    </row>
    <row r="402" spans="7:8" ht="17.25" thickBot="1" x14ac:dyDescent="0.3">
      <c r="G402" s="68" t="s">
        <v>476</v>
      </c>
      <c r="H402" s="69" t="s">
        <v>841</v>
      </c>
    </row>
    <row r="403" spans="7:8" ht="17.25" thickBot="1" x14ac:dyDescent="0.3">
      <c r="G403" s="68" t="s">
        <v>485</v>
      </c>
      <c r="H403" s="69" t="s">
        <v>841</v>
      </c>
    </row>
    <row r="404" spans="7:8" ht="17.25" thickBot="1" x14ac:dyDescent="0.3">
      <c r="G404" s="68" t="s">
        <v>538</v>
      </c>
      <c r="H404" s="69" t="s">
        <v>841</v>
      </c>
    </row>
    <row r="405" spans="7:8" ht="17.25" thickBot="1" x14ac:dyDescent="0.3">
      <c r="G405" s="68" t="s">
        <v>510</v>
      </c>
      <c r="H405" s="69" t="s">
        <v>841</v>
      </c>
    </row>
    <row r="406" spans="7:8" ht="17.25" thickBot="1" x14ac:dyDescent="0.3">
      <c r="G406" s="68" t="s">
        <v>477</v>
      </c>
      <c r="H406" s="69" t="s">
        <v>841</v>
      </c>
    </row>
    <row r="407" spans="7:8" ht="17.25" thickBot="1" x14ac:dyDescent="0.3">
      <c r="G407" s="68" t="s">
        <v>539</v>
      </c>
      <c r="H407" s="69" t="s">
        <v>339</v>
      </c>
    </row>
    <row r="408" spans="7:8" ht="17.25" thickBot="1" x14ac:dyDescent="0.3">
      <c r="G408" s="68" t="s">
        <v>478</v>
      </c>
      <c r="H408" s="69" t="s">
        <v>340</v>
      </c>
    </row>
    <row r="409" spans="7:8" ht="17.25" thickBot="1" x14ac:dyDescent="0.3">
      <c r="G409" s="68" t="s">
        <v>474</v>
      </c>
      <c r="H409" s="69" t="s">
        <v>841</v>
      </c>
    </row>
    <row r="410" spans="7:8" ht="17.25" thickBot="1" x14ac:dyDescent="0.3">
      <c r="G410" s="68" t="s">
        <v>543</v>
      </c>
      <c r="H410" s="69" t="s">
        <v>339</v>
      </c>
    </row>
    <row r="411" spans="7:8" ht="17.25" thickBot="1" x14ac:dyDescent="0.3">
      <c r="G411" s="68" t="s">
        <v>537</v>
      </c>
      <c r="H411" s="69" t="s">
        <v>841</v>
      </c>
    </row>
    <row r="412" spans="7:8" ht="17.25" thickBot="1" x14ac:dyDescent="0.3">
      <c r="G412" s="68" t="s">
        <v>498</v>
      </c>
      <c r="H412" s="69" t="s">
        <v>339</v>
      </c>
    </row>
    <row r="413" spans="7:8" ht="17.25" thickBot="1" x14ac:dyDescent="0.3">
      <c r="G413" s="68" t="s">
        <v>526</v>
      </c>
      <c r="H413" s="69" t="s">
        <v>340</v>
      </c>
    </row>
    <row r="414" spans="7:8" ht="17.25" thickBot="1" x14ac:dyDescent="0.3">
      <c r="G414" s="68" t="s">
        <v>511</v>
      </c>
      <c r="H414" s="69" t="s">
        <v>841</v>
      </c>
    </row>
    <row r="415" spans="7:8" ht="17.25" thickBot="1" x14ac:dyDescent="0.3">
      <c r="G415" s="68" t="s">
        <v>525</v>
      </c>
      <c r="H415" s="69" t="s">
        <v>841</v>
      </c>
    </row>
    <row r="416" spans="7:8" ht="17.25" thickBot="1" x14ac:dyDescent="0.3">
      <c r="G416" s="68" t="s">
        <v>512</v>
      </c>
      <c r="H416" s="69" t="s">
        <v>841</v>
      </c>
    </row>
    <row r="417" spans="7:8" ht="17.25" thickBot="1" x14ac:dyDescent="0.3">
      <c r="G417" s="68" t="s">
        <v>527</v>
      </c>
      <c r="H417" s="69" t="s">
        <v>339</v>
      </c>
    </row>
    <row r="418" spans="7:8" ht="17.25" thickBot="1" x14ac:dyDescent="0.3">
      <c r="G418" s="68" t="s">
        <v>513</v>
      </c>
      <c r="H418" s="69" t="s">
        <v>841</v>
      </c>
    </row>
    <row r="419" spans="7:8" ht="17.25" thickBot="1" x14ac:dyDescent="0.3">
      <c r="G419" s="68" t="s">
        <v>559</v>
      </c>
      <c r="H419" s="69" t="s">
        <v>339</v>
      </c>
    </row>
    <row r="420" spans="7:8" ht="17.25" thickBot="1" x14ac:dyDescent="0.3">
      <c r="G420" s="68" t="s">
        <v>558</v>
      </c>
      <c r="H420" s="69" t="s">
        <v>339</v>
      </c>
    </row>
    <row r="421" spans="7:8" ht="17.25" thickBot="1" x14ac:dyDescent="0.3">
      <c r="G421" s="68" t="s">
        <v>568</v>
      </c>
      <c r="H421" s="69" t="s">
        <v>339</v>
      </c>
    </row>
    <row r="422" spans="7:8" ht="17.25" thickBot="1" x14ac:dyDescent="0.3">
      <c r="G422" s="68" t="s">
        <v>581</v>
      </c>
      <c r="H422" s="69" t="s">
        <v>841</v>
      </c>
    </row>
    <row r="423" spans="7:8" ht="17.25" thickBot="1" x14ac:dyDescent="0.3">
      <c r="G423" s="68" t="s">
        <v>582</v>
      </c>
      <c r="H423" s="69" t="s">
        <v>340</v>
      </c>
    </row>
    <row r="424" spans="7:8" ht="17.25" thickBot="1" x14ac:dyDescent="0.3">
      <c r="G424" s="68" t="s">
        <v>578</v>
      </c>
      <c r="H424" s="69" t="s">
        <v>841</v>
      </c>
    </row>
    <row r="425" spans="7:8" ht="17.25" thickBot="1" x14ac:dyDescent="0.3">
      <c r="G425" s="68" t="s">
        <v>873</v>
      </c>
      <c r="H425" s="69" t="s">
        <v>841</v>
      </c>
    </row>
    <row r="426" spans="7:8" ht="17.25" thickBot="1" x14ac:dyDescent="0.3">
      <c r="G426" s="70" t="s">
        <v>2329</v>
      </c>
      <c r="H426" s="73" t="s">
        <v>841</v>
      </c>
    </row>
    <row r="427" spans="7:8" ht="17.25" thickBot="1" x14ac:dyDescent="0.3">
      <c r="G427" s="68" t="s">
        <v>1613</v>
      </c>
      <c r="H427" s="69" t="s">
        <v>841</v>
      </c>
    </row>
    <row r="428" spans="7:8" ht="17.25" thickBot="1" x14ac:dyDescent="0.3">
      <c r="G428" s="68" t="s">
        <v>1615</v>
      </c>
      <c r="H428" s="69" t="s">
        <v>841</v>
      </c>
    </row>
    <row r="429" spans="7:8" ht="17.25" thickBot="1" x14ac:dyDescent="0.3">
      <c r="G429" s="68" t="s">
        <v>1616</v>
      </c>
      <c r="H429" s="69" t="s">
        <v>340</v>
      </c>
    </row>
    <row r="430" spans="7:8" ht="17.25" thickBot="1" x14ac:dyDescent="0.3">
      <c r="G430" s="68" t="s">
        <v>1617</v>
      </c>
      <c r="H430" s="69" t="s">
        <v>339</v>
      </c>
    </row>
    <row r="431" spans="7:8" ht="17.25" thickBot="1" x14ac:dyDescent="0.3">
      <c r="G431" s="68" t="s">
        <v>2354</v>
      </c>
      <c r="H431" s="69" t="s">
        <v>841</v>
      </c>
    </row>
    <row r="432" spans="7:8" ht="17.25" thickBot="1" x14ac:dyDescent="0.3">
      <c r="G432" s="68" t="s">
        <v>165</v>
      </c>
      <c r="H432" s="69" t="s">
        <v>766</v>
      </c>
    </row>
    <row r="433" spans="7:8" ht="17.25" thickBot="1" x14ac:dyDescent="0.3">
      <c r="G433" s="68" t="s">
        <v>166</v>
      </c>
      <c r="H433" s="69" t="s">
        <v>766</v>
      </c>
    </row>
    <row r="434" spans="7:8" ht="17.25" thickBot="1" x14ac:dyDescent="0.3">
      <c r="G434" s="68" t="s">
        <v>153</v>
      </c>
      <c r="H434" s="69" t="s">
        <v>766</v>
      </c>
    </row>
    <row r="435" spans="7:8" ht="17.25" thickBot="1" x14ac:dyDescent="0.3">
      <c r="G435" s="68" t="s">
        <v>154</v>
      </c>
      <c r="H435" s="69" t="s">
        <v>766</v>
      </c>
    </row>
    <row r="436" spans="7:8" ht="17.25" thickBot="1" x14ac:dyDescent="0.3">
      <c r="G436" s="68" t="s">
        <v>155</v>
      </c>
      <c r="H436" s="69" t="s">
        <v>766</v>
      </c>
    </row>
    <row r="437" spans="7:8" ht="17.25" thickBot="1" x14ac:dyDescent="0.3">
      <c r="G437" s="68" t="s">
        <v>167</v>
      </c>
      <c r="H437" s="69" t="s">
        <v>766</v>
      </c>
    </row>
    <row r="438" spans="7:8" ht="17.25" thickBot="1" x14ac:dyDescent="0.3">
      <c r="G438" s="68" t="s">
        <v>168</v>
      </c>
      <c r="H438" s="69" t="s">
        <v>766</v>
      </c>
    </row>
    <row r="439" spans="7:8" ht="17.25" thickBot="1" x14ac:dyDescent="0.3">
      <c r="G439" s="68" t="s">
        <v>169</v>
      </c>
      <c r="H439" s="69" t="s">
        <v>766</v>
      </c>
    </row>
    <row r="440" spans="7:8" ht="17.25" thickBot="1" x14ac:dyDescent="0.3">
      <c r="G440" s="68" t="s">
        <v>156</v>
      </c>
      <c r="H440" s="69" t="s">
        <v>766</v>
      </c>
    </row>
    <row r="441" spans="7:8" ht="17.25" thickBot="1" x14ac:dyDescent="0.3">
      <c r="G441" s="68" t="s">
        <v>157</v>
      </c>
      <c r="H441" s="69" t="s">
        <v>766</v>
      </c>
    </row>
    <row r="442" spans="7:8" ht="17.25" thickBot="1" x14ac:dyDescent="0.3">
      <c r="G442" s="68" t="s">
        <v>170</v>
      </c>
      <c r="H442" s="69" t="s">
        <v>766</v>
      </c>
    </row>
    <row r="443" spans="7:8" ht="17.25" thickBot="1" x14ac:dyDescent="0.3">
      <c r="G443" s="68" t="s">
        <v>171</v>
      </c>
      <c r="H443" s="69" t="s">
        <v>766</v>
      </c>
    </row>
    <row r="444" spans="7:8" ht="17.25" thickBot="1" x14ac:dyDescent="0.3">
      <c r="G444" s="68" t="s">
        <v>172</v>
      </c>
      <c r="H444" s="69" t="s">
        <v>766</v>
      </c>
    </row>
    <row r="445" spans="7:8" ht="17.25" thickBot="1" x14ac:dyDescent="0.3">
      <c r="G445" s="68" t="s">
        <v>173</v>
      </c>
      <c r="H445" s="69" t="s">
        <v>766</v>
      </c>
    </row>
    <row r="446" spans="7:8" ht="17.25" thickBot="1" x14ac:dyDescent="0.3">
      <c r="G446" s="68" t="s">
        <v>174</v>
      </c>
      <c r="H446" s="69" t="s">
        <v>766</v>
      </c>
    </row>
    <row r="447" spans="7:8" ht="17.25" thickBot="1" x14ac:dyDescent="0.3">
      <c r="G447" s="68" t="s">
        <v>175</v>
      </c>
      <c r="H447" s="69" t="s">
        <v>766</v>
      </c>
    </row>
    <row r="448" spans="7:8" ht="17.25" thickBot="1" x14ac:dyDescent="0.3">
      <c r="G448" s="68" t="s">
        <v>158</v>
      </c>
      <c r="H448" s="69" t="s">
        <v>766</v>
      </c>
    </row>
    <row r="449" spans="7:8" ht="17.25" thickBot="1" x14ac:dyDescent="0.3">
      <c r="G449" s="68" t="s">
        <v>176</v>
      </c>
      <c r="H449" s="69" t="s">
        <v>766</v>
      </c>
    </row>
    <row r="450" spans="7:8" ht="17.25" thickBot="1" x14ac:dyDescent="0.3">
      <c r="G450" s="68" t="s">
        <v>177</v>
      </c>
      <c r="H450" s="69" t="s">
        <v>766</v>
      </c>
    </row>
    <row r="451" spans="7:8" ht="17.25" thickBot="1" x14ac:dyDescent="0.3">
      <c r="G451" s="68" t="s">
        <v>178</v>
      </c>
      <c r="H451" s="69" t="s">
        <v>766</v>
      </c>
    </row>
    <row r="452" spans="7:8" ht="17.25" thickBot="1" x14ac:dyDescent="0.3">
      <c r="G452" s="68" t="s">
        <v>179</v>
      </c>
      <c r="H452" s="69" t="s">
        <v>766</v>
      </c>
    </row>
    <row r="453" spans="7:8" ht="17.25" thickBot="1" x14ac:dyDescent="0.3">
      <c r="G453" s="68" t="s">
        <v>180</v>
      </c>
      <c r="H453" s="69" t="s">
        <v>766</v>
      </c>
    </row>
    <row r="454" spans="7:8" ht="17.25" thickBot="1" x14ac:dyDescent="0.3">
      <c r="G454" s="68" t="s">
        <v>181</v>
      </c>
      <c r="H454" s="69" t="s">
        <v>766</v>
      </c>
    </row>
    <row r="455" spans="7:8" ht="17.25" thickBot="1" x14ac:dyDescent="0.3">
      <c r="G455" s="68" t="s">
        <v>182</v>
      </c>
      <c r="H455" s="69" t="s">
        <v>766</v>
      </c>
    </row>
    <row r="456" spans="7:8" ht="17.25" thickBot="1" x14ac:dyDescent="0.3">
      <c r="G456" s="68" t="s">
        <v>183</v>
      </c>
      <c r="H456" s="69" t="s">
        <v>766</v>
      </c>
    </row>
    <row r="457" spans="7:8" ht="17.25" thickBot="1" x14ac:dyDescent="0.3">
      <c r="G457" s="68" t="s">
        <v>184</v>
      </c>
      <c r="H457" s="69" t="s">
        <v>766</v>
      </c>
    </row>
    <row r="458" spans="7:8" ht="17.25" thickBot="1" x14ac:dyDescent="0.3">
      <c r="G458" s="68" t="s">
        <v>185</v>
      </c>
      <c r="H458" s="69" t="s">
        <v>766</v>
      </c>
    </row>
    <row r="459" spans="7:8" ht="17.25" thickBot="1" x14ac:dyDescent="0.3">
      <c r="G459" s="68" t="s">
        <v>186</v>
      </c>
      <c r="H459" s="69" t="s">
        <v>766</v>
      </c>
    </row>
    <row r="460" spans="7:8" ht="17.25" thickBot="1" x14ac:dyDescent="0.3">
      <c r="G460" s="68" t="s">
        <v>163</v>
      </c>
      <c r="H460" s="69" t="s">
        <v>766</v>
      </c>
    </row>
    <row r="461" spans="7:8" ht="17.25" thickBot="1" x14ac:dyDescent="0.3">
      <c r="G461" s="68" t="s">
        <v>164</v>
      </c>
      <c r="H461" s="69" t="s">
        <v>766</v>
      </c>
    </row>
    <row r="462" spans="7:8" ht="17.25" thickBot="1" x14ac:dyDescent="0.3">
      <c r="G462" s="68" t="s">
        <v>418</v>
      </c>
      <c r="H462" s="69" t="s">
        <v>766</v>
      </c>
    </row>
    <row r="463" spans="7:8" ht="17.25" thickBot="1" x14ac:dyDescent="0.3">
      <c r="G463" s="68" t="s">
        <v>486</v>
      </c>
      <c r="H463" s="69" t="s">
        <v>766</v>
      </c>
    </row>
    <row r="464" spans="7:8" ht="17.25" thickBot="1" x14ac:dyDescent="0.3">
      <c r="G464" s="68" t="s">
        <v>480</v>
      </c>
      <c r="H464" s="69" t="s">
        <v>766</v>
      </c>
    </row>
    <row r="465" spans="7:8" ht="17.25" thickBot="1" x14ac:dyDescent="0.3">
      <c r="G465" s="68" t="s">
        <v>500</v>
      </c>
      <c r="H465" s="69" t="s">
        <v>766</v>
      </c>
    </row>
    <row r="466" spans="7:8" ht="17.25" thickBot="1" x14ac:dyDescent="0.3">
      <c r="G466" s="68" t="s">
        <v>479</v>
      </c>
      <c r="H466" s="69" t="s">
        <v>766</v>
      </c>
    </row>
    <row r="467" spans="7:8" ht="17.25" thickBot="1" x14ac:dyDescent="0.3">
      <c r="G467" s="68" t="s">
        <v>487</v>
      </c>
      <c r="H467" s="69" t="s">
        <v>766</v>
      </c>
    </row>
    <row r="468" spans="7:8" ht="17.25" thickBot="1" x14ac:dyDescent="0.3">
      <c r="G468" s="68" t="s">
        <v>488</v>
      </c>
      <c r="H468" s="69" t="s">
        <v>766</v>
      </c>
    </row>
    <row r="469" spans="7:8" ht="17.25" thickBot="1" x14ac:dyDescent="0.3">
      <c r="G469" s="68" t="s">
        <v>499</v>
      </c>
      <c r="H469" s="69" t="s">
        <v>766</v>
      </c>
    </row>
    <row r="470" spans="7:8" ht="17.25" thickBot="1" x14ac:dyDescent="0.3">
      <c r="G470" s="68" t="s">
        <v>544</v>
      </c>
      <c r="H470" s="69" t="s">
        <v>766</v>
      </c>
    </row>
    <row r="471" spans="7:8" ht="17.25" thickBot="1" x14ac:dyDescent="0.3">
      <c r="G471" s="68" t="s">
        <v>489</v>
      </c>
      <c r="H471" s="69" t="s">
        <v>766</v>
      </c>
    </row>
    <row r="472" spans="7:8" ht="17.25" thickBot="1" x14ac:dyDescent="0.3">
      <c r="G472" s="68" t="s">
        <v>529</v>
      </c>
      <c r="H472" s="69" t="s">
        <v>766</v>
      </c>
    </row>
    <row r="473" spans="7:8" ht="17.25" thickBot="1" x14ac:dyDescent="0.3">
      <c r="G473" s="68" t="s">
        <v>528</v>
      </c>
      <c r="H473" s="69" t="s">
        <v>766</v>
      </c>
    </row>
    <row r="474" spans="7:8" ht="17.25" thickBot="1" x14ac:dyDescent="0.3">
      <c r="G474" s="68" t="s">
        <v>600</v>
      </c>
      <c r="H474" s="69" t="s">
        <v>766</v>
      </c>
    </row>
    <row r="475" spans="7:8" ht="17.25" thickBot="1" x14ac:dyDescent="0.3">
      <c r="G475" s="68" t="s">
        <v>598</v>
      </c>
      <c r="H475" s="69" t="s">
        <v>766</v>
      </c>
    </row>
    <row r="476" spans="7:8" ht="17.25" thickBot="1" x14ac:dyDescent="0.3">
      <c r="G476" s="68" t="s">
        <v>850</v>
      </c>
      <c r="H476" s="69" t="s">
        <v>766</v>
      </c>
    </row>
    <row r="477" spans="7:8" ht="17.25" thickBot="1" x14ac:dyDescent="0.3">
      <c r="G477" s="68" t="s">
        <v>849</v>
      </c>
      <c r="H477" s="69" t="s">
        <v>766</v>
      </c>
    </row>
    <row r="478" spans="7:8" ht="17.25" thickBot="1" x14ac:dyDescent="0.3">
      <c r="G478" s="68" t="s">
        <v>864</v>
      </c>
      <c r="H478" s="69" t="s">
        <v>766</v>
      </c>
    </row>
    <row r="479" spans="7:8" ht="17.25" thickBot="1" x14ac:dyDescent="0.3">
      <c r="G479" s="70" t="s">
        <v>1715</v>
      </c>
      <c r="H479" s="73" t="s">
        <v>766</v>
      </c>
    </row>
    <row r="480" spans="7:8" ht="17.25" thickBot="1" x14ac:dyDescent="0.3">
      <c r="G480" s="70" t="s">
        <v>2330</v>
      </c>
      <c r="H480" s="73" t="s">
        <v>766</v>
      </c>
    </row>
    <row r="481" spans="7:8" ht="17.25" thickBot="1" x14ac:dyDescent="0.3">
      <c r="G481" s="70" t="s">
        <v>2331</v>
      </c>
      <c r="H481" s="73" t="s">
        <v>766</v>
      </c>
    </row>
    <row r="482" spans="7:8" ht="17.25" thickBot="1" x14ac:dyDescent="0.3">
      <c r="G482" s="68" t="s">
        <v>1631</v>
      </c>
      <c r="H482" s="69" t="s">
        <v>766</v>
      </c>
    </row>
    <row r="483" spans="7:8" ht="17.25" thickBot="1" x14ac:dyDescent="0.3">
      <c r="G483" s="68" t="s">
        <v>1624</v>
      </c>
      <c r="H483" s="69" t="s">
        <v>766</v>
      </c>
    </row>
    <row r="484" spans="7:8" ht="17.25" thickBot="1" x14ac:dyDescent="0.3">
      <c r="G484" s="68" t="s">
        <v>239</v>
      </c>
      <c r="H484" s="69" t="s">
        <v>340</v>
      </c>
    </row>
    <row r="485" spans="7:8" ht="17.25" thickBot="1" x14ac:dyDescent="0.3">
      <c r="G485" s="68" t="s">
        <v>240</v>
      </c>
      <c r="H485" s="69" t="s">
        <v>813</v>
      </c>
    </row>
    <row r="486" spans="7:8" ht="17.25" thickBot="1" x14ac:dyDescent="0.3">
      <c r="G486" s="68" t="s">
        <v>241</v>
      </c>
      <c r="H486" s="69" t="s">
        <v>813</v>
      </c>
    </row>
    <row r="487" spans="7:8" ht="17.25" thickBot="1" x14ac:dyDescent="0.3">
      <c r="G487" s="68" t="s">
        <v>242</v>
      </c>
      <c r="H487" s="69" t="s">
        <v>340</v>
      </c>
    </row>
    <row r="488" spans="7:8" ht="17.25" thickBot="1" x14ac:dyDescent="0.3">
      <c r="G488" s="68" t="s">
        <v>243</v>
      </c>
      <c r="H488" s="69" t="s">
        <v>813</v>
      </c>
    </row>
    <row r="489" spans="7:8" ht="17.25" thickBot="1" x14ac:dyDescent="0.3">
      <c r="G489" s="68" t="s">
        <v>244</v>
      </c>
      <c r="H489" s="69" t="s">
        <v>340</v>
      </c>
    </row>
    <row r="490" spans="7:8" ht="17.25" thickBot="1" x14ac:dyDescent="0.3">
      <c r="G490" s="68" t="s">
        <v>245</v>
      </c>
      <c r="H490" s="69" t="s">
        <v>340</v>
      </c>
    </row>
    <row r="491" spans="7:8" ht="17.25" thickBot="1" x14ac:dyDescent="0.3">
      <c r="G491" s="68" t="s">
        <v>246</v>
      </c>
      <c r="H491" s="69" t="s">
        <v>340</v>
      </c>
    </row>
    <row r="492" spans="7:8" ht="17.25" thickBot="1" x14ac:dyDescent="0.3">
      <c r="G492" s="68" t="s">
        <v>247</v>
      </c>
      <c r="H492" s="69" t="s">
        <v>340</v>
      </c>
    </row>
    <row r="493" spans="7:8" ht="17.25" thickBot="1" x14ac:dyDescent="0.3">
      <c r="G493" s="68" t="s">
        <v>248</v>
      </c>
      <c r="H493" s="69" t="s">
        <v>340</v>
      </c>
    </row>
    <row r="494" spans="7:8" ht="17.25" thickBot="1" x14ac:dyDescent="0.3">
      <c r="G494" s="68" t="s">
        <v>249</v>
      </c>
      <c r="H494" s="69" t="s">
        <v>340</v>
      </c>
    </row>
    <row r="495" spans="7:8" ht="17.25" thickBot="1" x14ac:dyDescent="0.3">
      <c r="G495" s="68" t="s">
        <v>250</v>
      </c>
      <c r="H495" s="69" t="s">
        <v>340</v>
      </c>
    </row>
    <row r="496" spans="7:8" ht="17.25" thickBot="1" x14ac:dyDescent="0.3">
      <c r="G496" s="68" t="s">
        <v>251</v>
      </c>
      <c r="H496" s="69" t="s">
        <v>340</v>
      </c>
    </row>
    <row r="497" spans="7:8" ht="17.25" thickBot="1" x14ac:dyDescent="0.3">
      <c r="G497" s="68" t="s">
        <v>252</v>
      </c>
      <c r="H497" s="69" t="s">
        <v>813</v>
      </c>
    </row>
    <row r="498" spans="7:8" ht="17.25" thickBot="1" x14ac:dyDescent="0.3">
      <c r="G498" s="68" t="s">
        <v>253</v>
      </c>
      <c r="H498" s="69" t="s">
        <v>340</v>
      </c>
    </row>
    <row r="499" spans="7:8" ht="17.25" thickBot="1" x14ac:dyDescent="0.3">
      <c r="G499" s="68" t="s">
        <v>254</v>
      </c>
      <c r="H499" s="69" t="s">
        <v>340</v>
      </c>
    </row>
    <row r="500" spans="7:8" ht="17.25" thickBot="1" x14ac:dyDescent="0.3">
      <c r="G500" s="68" t="s">
        <v>255</v>
      </c>
      <c r="H500" s="69" t="s">
        <v>340</v>
      </c>
    </row>
    <row r="501" spans="7:8" ht="17.25" thickBot="1" x14ac:dyDescent="0.3">
      <c r="G501" s="68" t="s">
        <v>256</v>
      </c>
      <c r="H501" s="69" t="s">
        <v>340</v>
      </c>
    </row>
    <row r="502" spans="7:8" ht="17.25" thickBot="1" x14ac:dyDescent="0.3">
      <c r="G502" s="68" t="s">
        <v>257</v>
      </c>
      <c r="H502" s="69" t="s">
        <v>813</v>
      </c>
    </row>
    <row r="503" spans="7:8" ht="17.25" thickBot="1" x14ac:dyDescent="0.3">
      <c r="G503" s="68" t="s">
        <v>258</v>
      </c>
      <c r="H503" s="69" t="s">
        <v>340</v>
      </c>
    </row>
    <row r="504" spans="7:8" ht="17.25" thickBot="1" x14ac:dyDescent="0.3">
      <c r="G504" s="68" t="s">
        <v>259</v>
      </c>
      <c r="H504" s="69" t="s">
        <v>340</v>
      </c>
    </row>
    <row r="505" spans="7:8" ht="17.25" thickBot="1" x14ac:dyDescent="0.3">
      <c r="G505" s="68" t="s">
        <v>260</v>
      </c>
      <c r="H505" s="69" t="s">
        <v>340</v>
      </c>
    </row>
    <row r="506" spans="7:8" ht="17.25" thickBot="1" x14ac:dyDescent="0.3">
      <c r="G506" s="68" t="s">
        <v>261</v>
      </c>
      <c r="H506" s="69" t="s">
        <v>340</v>
      </c>
    </row>
    <row r="507" spans="7:8" ht="17.25" thickBot="1" x14ac:dyDescent="0.3">
      <c r="G507" s="68" t="s">
        <v>262</v>
      </c>
      <c r="H507" s="69" t="s">
        <v>340</v>
      </c>
    </row>
    <row r="508" spans="7:8" ht="17.25" thickBot="1" x14ac:dyDescent="0.3">
      <c r="G508" s="68" t="s">
        <v>330</v>
      </c>
      <c r="H508" s="69" t="s">
        <v>813</v>
      </c>
    </row>
    <row r="509" spans="7:8" ht="17.25" thickBot="1" x14ac:dyDescent="0.3">
      <c r="G509" s="68" t="s">
        <v>329</v>
      </c>
      <c r="H509" s="69" t="s">
        <v>340</v>
      </c>
    </row>
    <row r="510" spans="7:8" ht="17.25" thickBot="1" x14ac:dyDescent="0.3">
      <c r="G510" s="68" t="s">
        <v>331</v>
      </c>
      <c r="H510" s="69" t="s">
        <v>813</v>
      </c>
    </row>
    <row r="511" spans="7:8" ht="17.25" thickBot="1" x14ac:dyDescent="0.3">
      <c r="G511" s="68" t="s">
        <v>379</v>
      </c>
      <c r="H511" s="69" t="s">
        <v>813</v>
      </c>
    </row>
    <row r="512" spans="7:8" ht="17.25" thickBot="1" x14ac:dyDescent="0.3">
      <c r="G512" s="68" t="s">
        <v>332</v>
      </c>
      <c r="H512" s="69" t="s">
        <v>340</v>
      </c>
    </row>
    <row r="513" spans="7:8" ht="17.25" thickBot="1" x14ac:dyDescent="0.3">
      <c r="G513" s="68" t="s">
        <v>381</v>
      </c>
      <c r="H513" s="69" t="s">
        <v>813</v>
      </c>
    </row>
    <row r="514" spans="7:8" ht="17.25" thickBot="1" x14ac:dyDescent="0.3">
      <c r="G514" s="68" t="s">
        <v>382</v>
      </c>
      <c r="H514" s="69" t="s">
        <v>340</v>
      </c>
    </row>
    <row r="515" spans="7:8" ht="17.25" thickBot="1" x14ac:dyDescent="0.3">
      <c r="G515" s="68" t="s">
        <v>386</v>
      </c>
      <c r="H515" s="69" t="s">
        <v>340</v>
      </c>
    </row>
    <row r="516" spans="7:8" ht="17.25" thickBot="1" x14ac:dyDescent="0.3">
      <c r="G516" s="68" t="s">
        <v>490</v>
      </c>
      <c r="H516" s="69" t="s">
        <v>340</v>
      </c>
    </row>
    <row r="517" spans="7:8" ht="17.25" thickBot="1" x14ac:dyDescent="0.3">
      <c r="G517" s="68" t="s">
        <v>501</v>
      </c>
      <c r="H517" s="69" t="s">
        <v>340</v>
      </c>
    </row>
    <row r="518" spans="7:8" ht="17.25" thickBot="1" x14ac:dyDescent="0.3">
      <c r="G518" s="68" t="s">
        <v>502</v>
      </c>
      <c r="H518" s="69" t="s">
        <v>340</v>
      </c>
    </row>
    <row r="519" spans="7:8" ht="17.25" thickBot="1" x14ac:dyDescent="0.3">
      <c r="G519" s="68" t="s">
        <v>503</v>
      </c>
      <c r="H519" s="69" t="s">
        <v>340</v>
      </c>
    </row>
    <row r="520" spans="7:8" ht="17.25" thickBot="1" x14ac:dyDescent="0.3">
      <c r="G520" s="68" t="s">
        <v>521</v>
      </c>
      <c r="H520" s="69" t="s">
        <v>813</v>
      </c>
    </row>
    <row r="521" spans="7:8" ht="17.25" thickBot="1" x14ac:dyDescent="0.3">
      <c r="G521" s="68" t="s">
        <v>530</v>
      </c>
      <c r="H521" s="69" t="s">
        <v>340</v>
      </c>
    </row>
    <row r="522" spans="7:8" ht="17.25" thickBot="1" x14ac:dyDescent="0.3">
      <c r="G522" s="68" t="s">
        <v>548</v>
      </c>
      <c r="H522" s="69" t="s">
        <v>340</v>
      </c>
    </row>
    <row r="523" spans="7:8" ht="17.25" thickBot="1" x14ac:dyDescent="0.3">
      <c r="G523" s="68" t="s">
        <v>555</v>
      </c>
      <c r="H523" s="69" t="s">
        <v>340</v>
      </c>
    </row>
    <row r="524" spans="7:8" ht="17.25" thickBot="1" x14ac:dyDescent="0.3">
      <c r="G524" s="68" t="s">
        <v>569</v>
      </c>
      <c r="H524" s="69" t="s">
        <v>340</v>
      </c>
    </row>
    <row r="525" spans="7:8" ht="17.25" thickBot="1" x14ac:dyDescent="0.3">
      <c r="G525" s="68" t="s">
        <v>560</v>
      </c>
      <c r="H525" s="69" t="s">
        <v>813</v>
      </c>
    </row>
    <row r="526" spans="7:8" ht="17.25" thickBot="1" x14ac:dyDescent="0.3">
      <c r="G526" s="68" t="s">
        <v>556</v>
      </c>
      <c r="H526" s="69" t="s">
        <v>340</v>
      </c>
    </row>
    <row r="527" spans="7:8" ht="17.25" thickBot="1" x14ac:dyDescent="0.3">
      <c r="G527" s="68" t="s">
        <v>557</v>
      </c>
      <c r="H527" s="69" t="s">
        <v>813</v>
      </c>
    </row>
    <row r="528" spans="7:8" ht="17.25" thickBot="1" x14ac:dyDescent="0.3">
      <c r="G528" s="68" t="s">
        <v>577</v>
      </c>
      <c r="H528" s="69" t="s">
        <v>340</v>
      </c>
    </row>
    <row r="529" spans="7:8" ht="17.25" thickBot="1" x14ac:dyDescent="0.3">
      <c r="G529" s="68" t="s">
        <v>744</v>
      </c>
      <c r="H529" s="69" t="s">
        <v>340</v>
      </c>
    </row>
    <row r="530" spans="7:8" ht="17.25" thickBot="1" x14ac:dyDescent="0.3">
      <c r="G530" s="68" t="s">
        <v>746</v>
      </c>
      <c r="H530" s="69" t="s">
        <v>340</v>
      </c>
    </row>
    <row r="531" spans="7:8" ht="17.25" thickBot="1" x14ac:dyDescent="0.3">
      <c r="G531" s="68" t="s">
        <v>851</v>
      </c>
      <c r="H531" s="69" t="s">
        <v>340</v>
      </c>
    </row>
    <row r="532" spans="7:8" ht="17.25" thickBot="1" x14ac:dyDescent="0.3">
      <c r="G532" s="68" t="s">
        <v>852</v>
      </c>
      <c r="H532" s="69" t="s">
        <v>340</v>
      </c>
    </row>
    <row r="533" spans="7:8" ht="17.25" thickBot="1" x14ac:dyDescent="0.3">
      <c r="G533" s="68" t="s">
        <v>853</v>
      </c>
      <c r="H533" s="69" t="s">
        <v>813</v>
      </c>
    </row>
    <row r="534" spans="7:8" ht="17.25" thickBot="1" x14ac:dyDescent="0.3">
      <c r="G534" s="68" t="s">
        <v>854</v>
      </c>
      <c r="H534" s="69" t="s">
        <v>340</v>
      </c>
    </row>
    <row r="535" spans="7:8" ht="17.25" thickBot="1" x14ac:dyDescent="0.3">
      <c r="G535" s="70" t="s">
        <v>2327</v>
      </c>
      <c r="H535" s="73" t="s">
        <v>813</v>
      </c>
    </row>
    <row r="536" spans="7:8" ht="17.25" thickBot="1" x14ac:dyDescent="0.3">
      <c r="G536" s="70" t="s">
        <v>2328</v>
      </c>
      <c r="H536" s="73" t="s">
        <v>813</v>
      </c>
    </row>
    <row r="537" spans="7:8" ht="17.25" thickBot="1" x14ac:dyDescent="0.3">
      <c r="G537" s="70" t="s">
        <v>2332</v>
      </c>
      <c r="H537" s="69" t="s">
        <v>340</v>
      </c>
    </row>
    <row r="538" spans="7:8" ht="17.25" thickBot="1" x14ac:dyDescent="0.3">
      <c r="G538" s="68" t="s">
        <v>1625</v>
      </c>
      <c r="H538" s="69" t="s">
        <v>340</v>
      </c>
    </row>
    <row r="539" spans="7:8" ht="17.25" thickBot="1" x14ac:dyDescent="0.3">
      <c r="G539" s="70" t="s">
        <v>1713</v>
      </c>
      <c r="H539" s="73" t="s">
        <v>813</v>
      </c>
    </row>
    <row r="540" spans="7:8" ht="17.25" thickBot="1" x14ac:dyDescent="0.3">
      <c r="G540" s="70" t="s">
        <v>2333</v>
      </c>
      <c r="H540" s="69" t="s">
        <v>340</v>
      </c>
    </row>
    <row r="541" spans="7:8" ht="17.25" thickBot="1" x14ac:dyDescent="0.3">
      <c r="G541" s="70" t="s">
        <v>2355</v>
      </c>
      <c r="H541" s="69" t="s">
        <v>340</v>
      </c>
    </row>
    <row r="542" spans="7:8" ht="17.25" thickBot="1" x14ac:dyDescent="0.3">
      <c r="G542" s="68" t="s">
        <v>263</v>
      </c>
      <c r="H542" s="69" t="s">
        <v>8</v>
      </c>
    </row>
    <row r="543" spans="7:8" ht="17.25" thickBot="1" x14ac:dyDescent="0.3">
      <c r="G543" s="68" t="s">
        <v>264</v>
      </c>
      <c r="H543" s="69" t="s">
        <v>8</v>
      </c>
    </row>
    <row r="544" spans="7:8" ht="17.25" thickBot="1" x14ac:dyDescent="0.3">
      <c r="G544" s="68" t="s">
        <v>265</v>
      </c>
      <c r="H544" s="69" t="s">
        <v>8</v>
      </c>
    </row>
    <row r="545" spans="7:8" ht="17.25" thickBot="1" x14ac:dyDescent="0.3">
      <c r="G545" s="68" t="s">
        <v>266</v>
      </c>
      <c r="H545" s="69" t="s">
        <v>8</v>
      </c>
    </row>
    <row r="546" spans="7:8" ht="17.25" thickBot="1" x14ac:dyDescent="0.3">
      <c r="G546" s="68" t="s">
        <v>267</v>
      </c>
      <c r="H546" s="69" t="s">
        <v>8</v>
      </c>
    </row>
    <row r="547" spans="7:8" ht="17.25" thickBot="1" x14ac:dyDescent="0.3">
      <c r="G547" s="68" t="s">
        <v>268</v>
      </c>
      <c r="H547" s="69" t="s">
        <v>8</v>
      </c>
    </row>
    <row r="548" spans="7:8" ht="17.25" thickBot="1" x14ac:dyDescent="0.3">
      <c r="G548" s="68" t="s">
        <v>269</v>
      </c>
      <c r="H548" s="69" t="s">
        <v>8</v>
      </c>
    </row>
    <row r="549" spans="7:8" ht="17.25" thickBot="1" x14ac:dyDescent="0.3">
      <c r="G549" s="68" t="s">
        <v>270</v>
      </c>
      <c r="H549" s="69" t="s">
        <v>8</v>
      </c>
    </row>
    <row r="550" spans="7:8" ht="17.25" thickBot="1" x14ac:dyDescent="0.3">
      <c r="G550" s="68" t="s">
        <v>271</v>
      </c>
      <c r="H550" s="69" t="s">
        <v>8</v>
      </c>
    </row>
    <row r="551" spans="7:8" ht="17.25" thickBot="1" x14ac:dyDescent="0.3">
      <c r="G551" s="68" t="s">
        <v>272</v>
      </c>
      <c r="H551" s="69" t="s">
        <v>8</v>
      </c>
    </row>
    <row r="552" spans="7:8" ht="17.25" thickBot="1" x14ac:dyDescent="0.3">
      <c r="G552" s="68" t="s">
        <v>273</v>
      </c>
      <c r="H552" s="69" t="s">
        <v>8</v>
      </c>
    </row>
    <row r="553" spans="7:8" ht="17.25" thickBot="1" x14ac:dyDescent="0.3">
      <c r="G553" s="68" t="s">
        <v>7</v>
      </c>
      <c r="H553" s="69" t="s">
        <v>339</v>
      </c>
    </row>
    <row r="554" spans="7:8" ht="17.25" thickBot="1" x14ac:dyDescent="0.3">
      <c r="G554" s="68" t="s">
        <v>274</v>
      </c>
      <c r="H554" s="69" t="s">
        <v>8</v>
      </c>
    </row>
    <row r="555" spans="7:8" ht="17.25" thickBot="1" x14ac:dyDescent="0.3">
      <c r="G555" s="68" t="s">
        <v>275</v>
      </c>
      <c r="H555" s="69" t="s">
        <v>339</v>
      </c>
    </row>
    <row r="556" spans="7:8" ht="17.25" thickBot="1" x14ac:dyDescent="0.3">
      <c r="G556" s="68" t="s">
        <v>276</v>
      </c>
      <c r="H556" s="69" t="s">
        <v>8</v>
      </c>
    </row>
    <row r="557" spans="7:8" ht="17.25" thickBot="1" x14ac:dyDescent="0.3">
      <c r="G557" s="68" t="s">
        <v>277</v>
      </c>
      <c r="H557" s="69" t="s">
        <v>8</v>
      </c>
    </row>
    <row r="558" spans="7:8" ht="17.25" thickBot="1" x14ac:dyDescent="0.3">
      <c r="G558" s="68" t="s">
        <v>278</v>
      </c>
      <c r="H558" s="69" t="s">
        <v>339</v>
      </c>
    </row>
    <row r="559" spans="7:8" ht="17.25" thickBot="1" x14ac:dyDescent="0.3">
      <c r="G559" s="68" t="s">
        <v>279</v>
      </c>
      <c r="H559" s="69" t="s">
        <v>8</v>
      </c>
    </row>
    <row r="560" spans="7:8" ht="17.25" thickBot="1" x14ac:dyDescent="0.3">
      <c r="G560" s="68" t="s">
        <v>280</v>
      </c>
      <c r="H560" s="69" t="s">
        <v>8</v>
      </c>
    </row>
    <row r="561" spans="7:8" ht="17.25" thickBot="1" x14ac:dyDescent="0.3">
      <c r="G561" s="68" t="s">
        <v>281</v>
      </c>
      <c r="H561" s="69" t="s">
        <v>8</v>
      </c>
    </row>
    <row r="562" spans="7:8" ht="17.25" thickBot="1" x14ac:dyDescent="0.3">
      <c r="G562" s="68" t="s">
        <v>282</v>
      </c>
      <c r="H562" s="69" t="s">
        <v>8</v>
      </c>
    </row>
    <row r="563" spans="7:8" ht="17.25" thickBot="1" x14ac:dyDescent="0.3">
      <c r="G563" s="68" t="s">
        <v>283</v>
      </c>
      <c r="H563" s="69" t="s">
        <v>8</v>
      </c>
    </row>
    <row r="564" spans="7:8" ht="17.25" thickBot="1" x14ac:dyDescent="0.3">
      <c r="G564" s="68" t="s">
        <v>284</v>
      </c>
      <c r="H564" s="69" t="s">
        <v>8</v>
      </c>
    </row>
    <row r="565" spans="7:8" ht="17.25" thickBot="1" x14ac:dyDescent="0.3">
      <c r="G565" s="68" t="s">
        <v>285</v>
      </c>
      <c r="H565" s="69" t="s">
        <v>8</v>
      </c>
    </row>
    <row r="566" spans="7:8" ht="17.25" thickBot="1" x14ac:dyDescent="0.3">
      <c r="G566" s="68" t="s">
        <v>286</v>
      </c>
      <c r="H566" s="69" t="s">
        <v>8</v>
      </c>
    </row>
    <row r="567" spans="7:8" ht="17.25" thickBot="1" x14ac:dyDescent="0.3">
      <c r="G567" s="68" t="s">
        <v>287</v>
      </c>
      <c r="H567" s="69" t="s">
        <v>8</v>
      </c>
    </row>
    <row r="568" spans="7:8" ht="17.25" thickBot="1" x14ac:dyDescent="0.3">
      <c r="G568" s="68" t="s">
        <v>288</v>
      </c>
      <c r="H568" s="69" t="s">
        <v>8</v>
      </c>
    </row>
    <row r="569" spans="7:8" ht="17.25" thickBot="1" x14ac:dyDescent="0.3">
      <c r="G569" s="68" t="s">
        <v>289</v>
      </c>
      <c r="H569" s="69" t="s">
        <v>8</v>
      </c>
    </row>
    <row r="570" spans="7:8" ht="17.25" thickBot="1" x14ac:dyDescent="0.3">
      <c r="G570" s="68" t="s">
        <v>324</v>
      </c>
      <c r="H570" s="69" t="s">
        <v>8</v>
      </c>
    </row>
    <row r="571" spans="7:8" ht="17.25" thickBot="1" x14ac:dyDescent="0.3">
      <c r="G571" s="68" t="s">
        <v>338</v>
      </c>
      <c r="H571" s="69" t="s">
        <v>8</v>
      </c>
    </row>
    <row r="572" spans="7:8" ht="17.25" thickBot="1" x14ac:dyDescent="0.3">
      <c r="G572" s="68" t="s">
        <v>327</v>
      </c>
      <c r="H572" s="69" t="s">
        <v>8</v>
      </c>
    </row>
    <row r="573" spans="7:8" ht="17.25" thickBot="1" x14ac:dyDescent="0.3">
      <c r="G573" s="68" t="s">
        <v>389</v>
      </c>
      <c r="H573" s="69" t="s">
        <v>8</v>
      </c>
    </row>
    <row r="574" spans="7:8" ht="17.25" thickBot="1" x14ac:dyDescent="0.3">
      <c r="G574" s="68" t="s">
        <v>326</v>
      </c>
      <c r="H574" s="69" t="s">
        <v>8</v>
      </c>
    </row>
    <row r="575" spans="7:8" ht="17.25" thickBot="1" x14ac:dyDescent="0.3">
      <c r="G575" s="68" t="s">
        <v>378</v>
      </c>
      <c r="H575" s="69" t="s">
        <v>8</v>
      </c>
    </row>
    <row r="576" spans="7:8" ht="17.25" thickBot="1" x14ac:dyDescent="0.3">
      <c r="G576" s="68" t="s">
        <v>395</v>
      </c>
      <c r="H576" s="69" t="s">
        <v>339</v>
      </c>
    </row>
    <row r="577" spans="7:8" ht="17.25" thickBot="1" x14ac:dyDescent="0.3">
      <c r="G577" s="68" t="s">
        <v>413</v>
      </c>
      <c r="H577" s="69" t="s">
        <v>8</v>
      </c>
    </row>
    <row r="578" spans="7:8" ht="17.25" thickBot="1" x14ac:dyDescent="0.3">
      <c r="G578" s="68" t="s">
        <v>414</v>
      </c>
      <c r="H578" s="69" t="s">
        <v>8</v>
      </c>
    </row>
    <row r="579" spans="7:8" ht="17.25" thickBot="1" x14ac:dyDescent="0.3">
      <c r="G579" s="68" t="s">
        <v>409</v>
      </c>
      <c r="H579" s="69" t="s">
        <v>339</v>
      </c>
    </row>
    <row r="580" spans="7:8" ht="17.25" thickBot="1" x14ac:dyDescent="0.3">
      <c r="G580" s="68" t="s">
        <v>481</v>
      </c>
      <c r="H580" s="69" t="s">
        <v>8</v>
      </c>
    </row>
    <row r="581" spans="7:8" ht="17.25" thickBot="1" x14ac:dyDescent="0.3">
      <c r="G581" s="68" t="s">
        <v>491</v>
      </c>
      <c r="H581" s="69" t="s">
        <v>8</v>
      </c>
    </row>
    <row r="582" spans="7:8" ht="17.25" thickBot="1" x14ac:dyDescent="0.3">
      <c r="G582" s="68" t="s">
        <v>492</v>
      </c>
      <c r="H582" s="69" t="s">
        <v>8</v>
      </c>
    </row>
    <row r="583" spans="7:8" ht="17.25" thickBot="1" x14ac:dyDescent="0.3">
      <c r="G583" s="68" t="s">
        <v>545</v>
      </c>
      <c r="H583" s="69" t="s">
        <v>8</v>
      </c>
    </row>
    <row r="584" spans="7:8" ht="17.25" thickBot="1" x14ac:dyDescent="0.3">
      <c r="G584" s="68" t="s">
        <v>508</v>
      </c>
      <c r="H584" s="69" t="s">
        <v>8</v>
      </c>
    </row>
    <row r="585" spans="7:8" ht="17.25" thickBot="1" x14ac:dyDescent="0.3">
      <c r="G585" s="68" t="s">
        <v>493</v>
      </c>
      <c r="H585" s="69" t="s">
        <v>8</v>
      </c>
    </row>
    <row r="586" spans="7:8" ht="17.25" thickBot="1" x14ac:dyDescent="0.3">
      <c r="G586" s="68" t="s">
        <v>509</v>
      </c>
      <c r="H586" s="69" t="s">
        <v>8</v>
      </c>
    </row>
    <row r="587" spans="7:8" ht="17.25" thickBot="1" x14ac:dyDescent="0.3">
      <c r="G587" s="68" t="s">
        <v>514</v>
      </c>
      <c r="H587" s="69" t="s">
        <v>8</v>
      </c>
    </row>
    <row r="588" spans="7:8" ht="17.25" thickBot="1" x14ac:dyDescent="0.3">
      <c r="G588" s="68" t="s">
        <v>549</v>
      </c>
      <c r="H588" s="69" t="s">
        <v>8</v>
      </c>
    </row>
    <row r="589" spans="7:8" ht="17.25" thickBot="1" x14ac:dyDescent="0.3">
      <c r="G589" s="68" t="s">
        <v>550</v>
      </c>
      <c r="H589" s="69" t="s">
        <v>8</v>
      </c>
    </row>
    <row r="590" spans="7:8" ht="17.25" thickBot="1" x14ac:dyDescent="0.3">
      <c r="G590" s="68" t="s">
        <v>551</v>
      </c>
      <c r="H590" s="69" t="s">
        <v>8</v>
      </c>
    </row>
    <row r="591" spans="7:8" ht="17.25" thickBot="1" x14ac:dyDescent="0.3">
      <c r="G591" s="68" t="s">
        <v>552</v>
      </c>
      <c r="H591" s="69" t="s">
        <v>8</v>
      </c>
    </row>
    <row r="592" spans="7:8" ht="17.25" thickBot="1" x14ac:dyDescent="0.3">
      <c r="G592" s="68" t="s">
        <v>553</v>
      </c>
      <c r="H592" s="69" t="s">
        <v>8</v>
      </c>
    </row>
    <row r="593" spans="7:8" ht="17.25" thickBot="1" x14ac:dyDescent="0.3">
      <c r="G593" s="68" t="s">
        <v>570</v>
      </c>
      <c r="H593" s="69" t="s">
        <v>8</v>
      </c>
    </row>
    <row r="594" spans="7:8" ht="17.25" thickBot="1" x14ac:dyDescent="0.3">
      <c r="G594" s="68" t="s">
        <v>586</v>
      </c>
      <c r="H594" s="69" t="s">
        <v>8</v>
      </c>
    </row>
    <row r="595" spans="7:8" ht="17.25" thickBot="1" x14ac:dyDescent="0.3">
      <c r="G595" s="68" t="s">
        <v>594</v>
      </c>
      <c r="H595" s="69" t="s">
        <v>8</v>
      </c>
    </row>
    <row r="596" spans="7:8" ht="17.25" thickBot="1" x14ac:dyDescent="0.3">
      <c r="G596" s="68" t="s">
        <v>874</v>
      </c>
      <c r="H596" s="69" t="s">
        <v>8</v>
      </c>
    </row>
    <row r="597" spans="7:8" ht="17.25" thickBot="1" x14ac:dyDescent="0.3">
      <c r="G597" s="68" t="s">
        <v>876</v>
      </c>
      <c r="H597" s="69" t="s">
        <v>8</v>
      </c>
    </row>
    <row r="598" spans="7:8" ht="17.25" thickBot="1" x14ac:dyDescent="0.3">
      <c r="G598" s="68" t="s">
        <v>875</v>
      </c>
      <c r="H598" s="69" t="s">
        <v>8</v>
      </c>
    </row>
    <row r="599" spans="7:8" ht="17.25" thickBot="1" x14ac:dyDescent="0.3">
      <c r="G599" s="70" t="s">
        <v>2326</v>
      </c>
      <c r="H599" s="73" t="s">
        <v>339</v>
      </c>
    </row>
    <row r="600" spans="7:8" ht="17.25" thickBot="1" x14ac:dyDescent="0.3">
      <c r="G600" s="68" t="s">
        <v>1620</v>
      </c>
      <c r="H600" s="69" t="s">
        <v>339</v>
      </c>
    </row>
    <row r="601" spans="7:8" ht="17.25" thickBot="1" x14ac:dyDescent="0.3">
      <c r="G601" s="68" t="s">
        <v>1626</v>
      </c>
      <c r="H601" s="69" t="s">
        <v>8</v>
      </c>
    </row>
    <row r="602" spans="7:8" ht="17.25" thickBot="1" x14ac:dyDescent="0.3">
      <c r="G602" s="68" t="s">
        <v>1627</v>
      </c>
      <c r="H602" s="69" t="s">
        <v>8</v>
      </c>
    </row>
    <row r="603" spans="7:8" ht="17.25" thickBot="1" x14ac:dyDescent="0.3">
      <c r="G603" s="68" t="s">
        <v>1628</v>
      </c>
      <c r="H603" s="69" t="s">
        <v>339</v>
      </c>
    </row>
    <row r="604" spans="7:8" ht="17.25" thickBot="1" x14ac:dyDescent="0.3">
      <c r="G604" s="68" t="s">
        <v>290</v>
      </c>
      <c r="H604" s="69" t="s">
        <v>407</v>
      </c>
    </row>
    <row r="605" spans="7:8" ht="17.25" thickBot="1" x14ac:dyDescent="0.3">
      <c r="G605" s="68" t="s">
        <v>291</v>
      </c>
      <c r="H605" s="69" t="s">
        <v>407</v>
      </c>
    </row>
    <row r="606" spans="7:8" ht="17.25" thickBot="1" x14ac:dyDescent="0.3">
      <c r="G606" s="68" t="s">
        <v>292</v>
      </c>
      <c r="H606" s="69" t="s">
        <v>407</v>
      </c>
    </row>
    <row r="607" spans="7:8" ht="17.25" thickBot="1" x14ac:dyDescent="0.3">
      <c r="G607" s="68" t="s">
        <v>293</v>
      </c>
      <c r="H607" s="69" t="s">
        <v>407</v>
      </c>
    </row>
    <row r="608" spans="7:8" ht="17.25" thickBot="1" x14ac:dyDescent="0.3">
      <c r="G608" s="68" t="s">
        <v>294</v>
      </c>
      <c r="H608" s="69" t="s">
        <v>407</v>
      </c>
    </row>
    <row r="609" spans="7:8" ht="17.25" thickBot="1" x14ac:dyDescent="0.3">
      <c r="G609" s="68" t="s">
        <v>295</v>
      </c>
      <c r="H609" s="69" t="s">
        <v>407</v>
      </c>
    </row>
    <row r="610" spans="7:8" ht="17.25" thickBot="1" x14ac:dyDescent="0.3">
      <c r="G610" s="68" t="s">
        <v>296</v>
      </c>
      <c r="H610" s="69" t="s">
        <v>407</v>
      </c>
    </row>
    <row r="611" spans="7:8" ht="17.25" thickBot="1" x14ac:dyDescent="0.3">
      <c r="G611" s="68" t="s">
        <v>297</v>
      </c>
      <c r="H611" s="69" t="s">
        <v>407</v>
      </c>
    </row>
    <row r="612" spans="7:8" ht="17.25" thickBot="1" x14ac:dyDescent="0.3">
      <c r="G612" s="68" t="s">
        <v>298</v>
      </c>
      <c r="H612" s="69" t="s">
        <v>407</v>
      </c>
    </row>
    <row r="613" spans="7:8" ht="17.25" thickBot="1" x14ac:dyDescent="0.3">
      <c r="G613" s="68" t="s">
        <v>299</v>
      </c>
      <c r="H613" s="69" t="s">
        <v>407</v>
      </c>
    </row>
    <row r="614" spans="7:8" ht="17.25" thickBot="1" x14ac:dyDescent="0.3">
      <c r="G614" s="68" t="s">
        <v>300</v>
      </c>
      <c r="H614" s="69" t="s">
        <v>407</v>
      </c>
    </row>
    <row r="615" spans="7:8" ht="17.25" thickBot="1" x14ac:dyDescent="0.3">
      <c r="G615" s="68" t="s">
        <v>301</v>
      </c>
      <c r="H615" s="69" t="s">
        <v>407</v>
      </c>
    </row>
    <row r="616" spans="7:8" ht="17.25" thickBot="1" x14ac:dyDescent="0.3">
      <c r="G616" s="68" t="s">
        <v>302</v>
      </c>
      <c r="H616" s="69" t="s">
        <v>407</v>
      </c>
    </row>
    <row r="617" spans="7:8" ht="17.25" thickBot="1" x14ac:dyDescent="0.3">
      <c r="G617" s="68" t="s">
        <v>303</v>
      </c>
      <c r="H617" s="69" t="s">
        <v>407</v>
      </c>
    </row>
    <row r="618" spans="7:8" ht="17.25" thickBot="1" x14ac:dyDescent="0.3">
      <c r="G618" s="68" t="s">
        <v>304</v>
      </c>
      <c r="H618" s="69" t="s">
        <v>407</v>
      </c>
    </row>
    <row r="619" spans="7:8" ht="17.25" thickBot="1" x14ac:dyDescent="0.3">
      <c r="G619" s="68" t="s">
        <v>305</v>
      </c>
      <c r="H619" s="69" t="s">
        <v>407</v>
      </c>
    </row>
    <row r="620" spans="7:8" ht="17.25" thickBot="1" x14ac:dyDescent="0.3">
      <c r="G620" s="68" t="s">
        <v>306</v>
      </c>
      <c r="H620" s="69" t="s">
        <v>407</v>
      </c>
    </row>
    <row r="621" spans="7:8" ht="17.25" thickBot="1" x14ac:dyDescent="0.3">
      <c r="G621" s="68" t="s">
        <v>307</v>
      </c>
      <c r="H621" s="69" t="s">
        <v>407</v>
      </c>
    </row>
    <row r="622" spans="7:8" ht="17.25" thickBot="1" x14ac:dyDescent="0.3">
      <c r="G622" s="68" t="s">
        <v>308</v>
      </c>
      <c r="H622" s="69" t="s">
        <v>407</v>
      </c>
    </row>
    <row r="623" spans="7:8" ht="17.25" thickBot="1" x14ac:dyDescent="0.3">
      <c r="G623" s="68" t="s">
        <v>309</v>
      </c>
      <c r="H623" s="69" t="s">
        <v>407</v>
      </c>
    </row>
    <row r="624" spans="7:8" ht="17.25" thickBot="1" x14ac:dyDescent="0.3">
      <c r="G624" s="68" t="s">
        <v>310</v>
      </c>
      <c r="H624" s="69" t="s">
        <v>407</v>
      </c>
    </row>
    <row r="625" spans="7:8" ht="17.25" thickBot="1" x14ac:dyDescent="0.3">
      <c r="G625" s="68" t="s">
        <v>311</v>
      </c>
      <c r="H625" s="69" t="s">
        <v>407</v>
      </c>
    </row>
    <row r="626" spans="7:8" ht="17.25" thickBot="1" x14ac:dyDescent="0.3">
      <c r="G626" s="68" t="s">
        <v>312</v>
      </c>
      <c r="H626" s="69" t="s">
        <v>407</v>
      </c>
    </row>
    <row r="627" spans="7:8" ht="17.25" thickBot="1" x14ac:dyDescent="0.3">
      <c r="G627" s="68" t="s">
        <v>313</v>
      </c>
      <c r="H627" s="69" t="s">
        <v>407</v>
      </c>
    </row>
    <row r="628" spans="7:8" ht="17.25" thickBot="1" x14ac:dyDescent="0.3">
      <c r="G628" s="68" t="s">
        <v>314</v>
      </c>
      <c r="H628" s="69" t="s">
        <v>407</v>
      </c>
    </row>
    <row r="629" spans="7:8" ht="17.25" thickBot="1" x14ac:dyDescent="0.3">
      <c r="G629" s="68" t="s">
        <v>315</v>
      </c>
      <c r="H629" s="69" t="s">
        <v>407</v>
      </c>
    </row>
    <row r="630" spans="7:8" ht="17.25" thickBot="1" x14ac:dyDescent="0.3">
      <c r="G630" s="68" t="s">
        <v>319</v>
      </c>
      <c r="H630" s="69" t="s">
        <v>407</v>
      </c>
    </row>
    <row r="631" spans="7:8" ht="17.25" thickBot="1" x14ac:dyDescent="0.3">
      <c r="G631" s="68" t="s">
        <v>323</v>
      </c>
      <c r="H631" s="69" t="s">
        <v>407</v>
      </c>
    </row>
    <row r="632" spans="7:8" ht="17.25" thickBot="1" x14ac:dyDescent="0.3">
      <c r="G632" s="68" t="s">
        <v>320</v>
      </c>
      <c r="H632" s="69" t="s">
        <v>407</v>
      </c>
    </row>
    <row r="633" spans="7:8" ht="17.25" thickBot="1" x14ac:dyDescent="0.3">
      <c r="G633" s="68" t="s">
        <v>321</v>
      </c>
      <c r="H633" s="69" t="s">
        <v>407</v>
      </c>
    </row>
    <row r="634" spans="7:8" ht="17.25" thickBot="1" x14ac:dyDescent="0.3">
      <c r="G634" s="68" t="s">
        <v>316</v>
      </c>
      <c r="H634" s="69" t="s">
        <v>407</v>
      </c>
    </row>
    <row r="635" spans="7:8" ht="17.25" thickBot="1" x14ac:dyDescent="0.3">
      <c r="G635" s="68" t="s">
        <v>317</v>
      </c>
      <c r="H635" s="69" t="s">
        <v>407</v>
      </c>
    </row>
    <row r="636" spans="7:8" ht="17.25" thickBot="1" x14ac:dyDescent="0.3">
      <c r="G636" s="68" t="s">
        <v>318</v>
      </c>
      <c r="H636" s="69" t="s">
        <v>407</v>
      </c>
    </row>
    <row r="637" spans="7:8" ht="17.25" thickBot="1" x14ac:dyDescent="0.3">
      <c r="G637" s="68" t="s">
        <v>322</v>
      </c>
      <c r="H637" s="69" t="s">
        <v>407</v>
      </c>
    </row>
    <row r="638" spans="7:8" ht="17.25" thickBot="1" x14ac:dyDescent="0.3">
      <c r="G638" s="68" t="s">
        <v>387</v>
      </c>
      <c r="H638" s="69" t="s">
        <v>407</v>
      </c>
    </row>
    <row r="639" spans="7:8" ht="17.25" thickBot="1" x14ac:dyDescent="0.3">
      <c r="G639" s="68" t="s">
        <v>417</v>
      </c>
      <c r="H639" s="69" t="s">
        <v>407</v>
      </c>
    </row>
    <row r="640" spans="7:8" ht="17.25" thickBot="1" x14ac:dyDescent="0.3">
      <c r="G640" s="68" t="s">
        <v>494</v>
      </c>
      <c r="H640" s="69" t="s">
        <v>407</v>
      </c>
    </row>
    <row r="641" spans="7:8" ht="17.25" thickBot="1" x14ac:dyDescent="0.3">
      <c r="G641" s="68" t="s">
        <v>495</v>
      </c>
      <c r="H641" s="69" t="s">
        <v>407</v>
      </c>
    </row>
    <row r="642" spans="7:8" ht="17.25" thickBot="1" x14ac:dyDescent="0.3">
      <c r="G642" s="68" t="s">
        <v>482</v>
      </c>
      <c r="H642" s="69" t="s">
        <v>407</v>
      </c>
    </row>
    <row r="643" spans="7:8" ht="17.25" thickBot="1" x14ac:dyDescent="0.3">
      <c r="G643" s="68" t="s">
        <v>532</v>
      </c>
      <c r="H643" s="69" t="s">
        <v>407</v>
      </c>
    </row>
    <row r="644" spans="7:8" ht="17.25" thickBot="1" x14ac:dyDescent="0.3">
      <c r="G644" s="68" t="s">
        <v>531</v>
      </c>
      <c r="H644" s="69" t="s">
        <v>407</v>
      </c>
    </row>
    <row r="645" spans="7:8" ht="17.25" thickBot="1" x14ac:dyDescent="0.3">
      <c r="G645" s="68" t="s">
        <v>571</v>
      </c>
      <c r="H645" s="69" t="s">
        <v>407</v>
      </c>
    </row>
    <row r="646" spans="7:8" ht="17.25" thickBot="1" x14ac:dyDescent="0.3">
      <c r="G646" s="68" t="s">
        <v>583</v>
      </c>
      <c r="H646" s="69" t="s">
        <v>407</v>
      </c>
    </row>
    <row r="647" spans="7:8" ht="17.25" thickBot="1" x14ac:dyDescent="0.3">
      <c r="G647" s="68" t="s">
        <v>816</v>
      </c>
      <c r="H647" s="69" t="s">
        <v>407</v>
      </c>
    </row>
    <row r="648" spans="7:8" ht="17.25" thickBot="1" x14ac:dyDescent="0.3">
      <c r="G648" s="68" t="s">
        <v>821</v>
      </c>
      <c r="H648" s="69" t="s">
        <v>407</v>
      </c>
    </row>
    <row r="649" spans="7:8" ht="17.25" thickBot="1" x14ac:dyDescent="0.3">
      <c r="G649" s="68" t="s">
        <v>824</v>
      </c>
      <c r="H649" s="69" t="s">
        <v>407</v>
      </c>
    </row>
    <row r="650" spans="7:8" ht="17.25" thickBot="1" x14ac:dyDescent="0.3">
      <c r="G650" s="68" t="s">
        <v>861</v>
      </c>
      <c r="H650" s="69" t="s">
        <v>407</v>
      </c>
    </row>
    <row r="651" spans="7:8" ht="17.25" thickBot="1" x14ac:dyDescent="0.3">
      <c r="G651" s="68" t="s">
        <v>860</v>
      </c>
      <c r="H651" s="69" t="s">
        <v>407</v>
      </c>
    </row>
    <row r="652" spans="7:8" ht="17.25" thickBot="1" x14ac:dyDescent="0.3">
      <c r="G652" s="68" t="s">
        <v>858</v>
      </c>
      <c r="H652" s="69" t="s">
        <v>407</v>
      </c>
    </row>
    <row r="653" spans="7:8" ht="17.25" thickBot="1" x14ac:dyDescent="0.3">
      <c r="G653" s="68" t="s">
        <v>859</v>
      </c>
      <c r="H653" s="69" t="s">
        <v>407</v>
      </c>
    </row>
    <row r="654" spans="7:8" ht="17.25" thickBot="1" x14ac:dyDescent="0.3">
      <c r="G654" s="68" t="s">
        <v>862</v>
      </c>
      <c r="H654" s="69" t="s">
        <v>407</v>
      </c>
    </row>
    <row r="655" spans="7:8" ht="17.25" thickBot="1" x14ac:dyDescent="0.3">
      <c r="G655" s="68" t="s">
        <v>856</v>
      </c>
      <c r="H655" s="69" t="s">
        <v>407</v>
      </c>
    </row>
    <row r="656" spans="7:8" ht="17.25" thickBot="1" x14ac:dyDescent="0.3">
      <c r="G656" s="68" t="s">
        <v>857</v>
      </c>
      <c r="H656" s="69" t="s">
        <v>407</v>
      </c>
    </row>
    <row r="657" spans="7:8" ht="17.25" thickBot="1" x14ac:dyDescent="0.3">
      <c r="G657" s="68" t="s">
        <v>1610</v>
      </c>
      <c r="H657" s="69" t="s">
        <v>407</v>
      </c>
    </row>
    <row r="658" spans="7:8" ht="17.25" thickBot="1" x14ac:dyDescent="0.3">
      <c r="G658" s="68" t="s">
        <v>1621</v>
      </c>
      <c r="H658" s="69" t="s">
        <v>407</v>
      </c>
    </row>
    <row r="659" spans="7:8" ht="17.25" thickBot="1" x14ac:dyDescent="0.3">
      <c r="G659" s="68" t="s">
        <v>1619</v>
      </c>
      <c r="H659" s="69" t="s">
        <v>407</v>
      </c>
    </row>
    <row r="660" spans="7:8" ht="17.25" thickBot="1" x14ac:dyDescent="0.3">
      <c r="G660" s="70" t="s">
        <v>1714</v>
      </c>
      <c r="H660" s="69" t="s">
        <v>407</v>
      </c>
    </row>
  </sheetData>
  <autoFilter ref="A1:H208" xr:uid="{2FCE0537-0489-4667-842C-2726543A6961}"/>
  <conditionalFormatting sqref="A1:A17 A20:A95 A97:A98 A100:A104 A106:A125 A127:A128 A130:A131 A134:A181 A183:A201">
    <cfRule type="expression" dxfId="68" priority="355" stopIfTrue="1">
      <formula>AND(COUNTIF($A$183:$A$201, A1)+COUNTIF($A$100:$A$104, A1)+COUNTIF($A$97:$A$98, A1)+COUNTIF($A$106:$A$125, A1)+COUNTIF($A$127:$A$128, A1)+COUNTIF($A$130:$A$131, A1)+COUNTIF($A$134:$A$181, A1)+COUNTIF($A$20:$A$95, A1)+COUNTIF($A$1:$A$17, A1)&gt;1,NOT(ISBLANK(A1)))</formula>
    </cfRule>
  </conditionalFormatting>
  <conditionalFormatting sqref="A1:A17 A20:A125 A127:A128 A130:A131 A134:A181 A183:A201">
    <cfRule type="expression" dxfId="67" priority="358" stopIfTrue="1">
      <formula>AND(COUNTIF($A$183:$A$201, A1)+COUNTIF($A$127:$A$128, A1)+COUNTIF($A$130:$A$131, A1)+COUNTIF($A$134:$A$181, A1)+COUNTIF($A$20:$A$125, A1)+COUNTIF($A$1:$A$17, A1)&gt;1,NOT(ISBLANK(A1)))</formula>
    </cfRule>
  </conditionalFormatting>
  <conditionalFormatting sqref="A1:A17 A20:A131 A134:A181 A183:A201">
    <cfRule type="expression" dxfId="66" priority="359" stopIfTrue="1">
      <formula>AND(COUNTIF($A$183:$A$201, A1)+COUNTIF($A$134:$A$181, A1)+COUNTIF($A$20:$A$131, A1)+COUNTIF($A$1:$A$17, A1)&gt;1,NOT(ISBLANK(A1)))</formula>
    </cfRule>
  </conditionalFormatting>
  <conditionalFormatting sqref="A1:A17 A20:A131 A134:A201">
    <cfRule type="expression" dxfId="65" priority="365" stopIfTrue="1">
      <formula>AND(COUNTIF($A$134:$A$201, A1)+COUNTIF($A$20:$A$131, A1)+COUNTIF($A$1:$A$17, A1)&gt;1,NOT(ISBLANK(A1)))</formula>
    </cfRule>
  </conditionalFormatting>
  <conditionalFormatting sqref="A1:A201">
    <cfRule type="duplicateValues" dxfId="64" priority="297"/>
    <cfRule type="duplicateValues" dxfId="63" priority="299"/>
    <cfRule type="duplicateValues" dxfId="62" priority="300"/>
    <cfRule type="duplicateValues" dxfId="61" priority="303"/>
    <cfRule type="duplicateValues" dxfId="60" priority="305"/>
    <cfRule type="duplicateValues" dxfId="59" priority="306"/>
    <cfRule type="duplicateValues" dxfId="58" priority="307"/>
    <cfRule type="duplicateValues" dxfId="57" priority="308"/>
    <cfRule type="duplicateValues" dxfId="56" priority="309"/>
  </conditionalFormatting>
  <conditionalFormatting sqref="A18:A19">
    <cfRule type="duplicateValues" dxfId="55" priority="15"/>
    <cfRule type="duplicateValues" dxfId="54" priority="16"/>
    <cfRule type="duplicateValues" dxfId="53" priority="17"/>
    <cfRule type="duplicateValues" dxfId="52" priority="18"/>
    <cfRule type="duplicateValues" dxfId="51" priority="19"/>
    <cfRule type="duplicateValues" dxfId="50" priority="20"/>
    <cfRule type="duplicateValues" dxfId="49" priority="21"/>
    <cfRule type="duplicateValues" dxfId="48" priority="22"/>
    <cfRule type="duplicateValues" dxfId="47" priority="23"/>
    <cfRule type="duplicateValues" dxfId="46" priority="24"/>
    <cfRule type="duplicateValues" dxfId="45" priority="25"/>
    <cfRule type="duplicateValues" dxfId="44" priority="26"/>
    <cfRule type="duplicateValues" dxfId="43" priority="27"/>
    <cfRule type="duplicateValues" dxfId="42" priority="28"/>
  </conditionalFormatting>
  <conditionalFormatting sqref="A96 A99 A105">
    <cfRule type="expression" dxfId="41" priority="310" stopIfTrue="1">
      <formula>AND(COUNTIF($A$96:$A$96, A96)+COUNTIF($A$105:$A$105, A96)+COUNTIF($A$99:$A$99, A96)&gt;1,NOT(ISBLANK(A96)))</formula>
    </cfRule>
  </conditionalFormatting>
  <conditionalFormatting sqref="A132:A133">
    <cfRule type="duplicateValues" dxfId="40" priority="1"/>
    <cfRule type="duplicateValues" dxfId="39" priority="2"/>
    <cfRule type="duplicateValues" dxfId="38" priority="3"/>
    <cfRule type="duplicateValues" dxfId="37" priority="4"/>
    <cfRule type="duplicateValues" dxfId="36" priority="5"/>
    <cfRule type="duplicateValues" dxfId="35" priority="6"/>
    <cfRule type="duplicateValues" dxfId="34" priority="7"/>
    <cfRule type="duplicateValues" dxfId="33" priority="8"/>
    <cfRule type="duplicateValues" dxfId="32" priority="9"/>
    <cfRule type="duplicateValues" dxfId="31" priority="10"/>
    <cfRule type="duplicateValues" dxfId="30" priority="11"/>
    <cfRule type="duplicateValues" dxfId="29" priority="12"/>
    <cfRule type="duplicateValues" dxfId="28" priority="13"/>
    <cfRule type="duplicateValues" dxfId="27" priority="14"/>
  </conditionalFormatting>
  <conditionalFormatting sqref="A182">
    <cfRule type="duplicateValues" dxfId="26" priority="29"/>
    <cfRule type="duplicateValues" dxfId="25" priority="30"/>
    <cfRule type="duplicateValues" dxfId="24" priority="31"/>
    <cfRule type="duplicateValues" dxfId="23" priority="32"/>
    <cfRule type="duplicateValues" dxfId="22" priority="33"/>
    <cfRule type="duplicateValues" dxfId="21" priority="34"/>
    <cfRule type="duplicateValues" dxfId="20" priority="35"/>
    <cfRule type="duplicateValues" dxfId="19" priority="36"/>
    <cfRule type="duplicateValues" dxfId="18" priority="37"/>
    <cfRule type="duplicateValues" dxfId="17" priority="38"/>
    <cfRule type="duplicateValues" dxfId="16" priority="39"/>
    <cfRule type="duplicateValues" dxfId="15" priority="40"/>
    <cfRule type="duplicateValues" dxfId="14" priority="41"/>
    <cfRule type="duplicateValues" dxfId="13" priority="42"/>
  </conditionalFormatting>
  <conditionalFormatting sqref="A183:A201">
    <cfRule type="duplicateValues" dxfId="12" priority="216"/>
    <cfRule type="duplicateValues" dxfId="11" priority="226"/>
    <cfRule type="duplicateValues" dxfId="10" priority="227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A64E-9A1F-461C-9C14-499C56C62E1D}">
  <dimension ref="A1:K601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3.5703125" customWidth="1"/>
    <col min="3" max="3" width="15.42578125" customWidth="1"/>
    <col min="6" max="6" width="21.7109375" customWidth="1"/>
    <col min="7" max="7" width="16.140625" bestFit="1" customWidth="1"/>
    <col min="8" max="8" width="18.5703125" bestFit="1" customWidth="1"/>
    <col min="9" max="9" width="32" bestFit="1" customWidth="1"/>
    <col min="10" max="10" width="23" customWidth="1"/>
  </cols>
  <sheetData>
    <row r="1" spans="1:11" ht="15.75" x14ac:dyDescent="0.25">
      <c r="A1" s="152" t="s">
        <v>0</v>
      </c>
      <c r="B1" s="152" t="s">
        <v>885</v>
      </c>
      <c r="C1" s="153" t="s">
        <v>881</v>
      </c>
      <c r="D1" s="154" t="s">
        <v>886</v>
      </c>
      <c r="E1" s="154" t="s">
        <v>887</v>
      </c>
      <c r="F1" s="7" t="s">
        <v>888</v>
      </c>
      <c r="G1" s="151" t="s">
        <v>890</v>
      </c>
      <c r="H1" s="151" t="s">
        <v>891</v>
      </c>
      <c r="I1" s="151" t="s">
        <v>892</v>
      </c>
      <c r="J1" s="151" t="s">
        <v>893</v>
      </c>
    </row>
    <row r="2" spans="1:11" ht="15.75" x14ac:dyDescent="0.25">
      <c r="A2" s="152"/>
      <c r="B2" s="152"/>
      <c r="C2" s="153"/>
      <c r="D2" s="154"/>
      <c r="E2" s="154"/>
      <c r="F2" s="7" t="s">
        <v>889</v>
      </c>
      <c r="G2" s="151"/>
      <c r="H2" s="151"/>
      <c r="I2" s="151"/>
      <c r="J2" s="151"/>
    </row>
    <row r="3" spans="1:11" x14ac:dyDescent="0.25">
      <c r="A3" s="19">
        <v>1</v>
      </c>
      <c r="B3" s="18" t="s">
        <v>422</v>
      </c>
      <c r="C3" s="18" t="s">
        <v>884</v>
      </c>
      <c r="D3" s="20">
        <v>29</v>
      </c>
      <c r="E3" s="20" t="s">
        <v>843</v>
      </c>
      <c r="F3" s="20" t="s">
        <v>894</v>
      </c>
      <c r="G3" s="20"/>
      <c r="H3" s="20"/>
      <c r="I3" s="20"/>
      <c r="J3" s="20" t="s">
        <v>895</v>
      </c>
      <c r="K3" t="e">
        <f>VLOOKUP(B3,Site!$B$1:$B$5698,2,0)</f>
        <v>#REF!</v>
      </c>
    </row>
    <row r="4" spans="1:11" x14ac:dyDescent="0.25">
      <c r="A4" s="19">
        <v>2</v>
      </c>
      <c r="B4" s="18" t="s">
        <v>200</v>
      </c>
      <c r="C4" s="18" t="s">
        <v>884</v>
      </c>
      <c r="D4" s="20">
        <v>28</v>
      </c>
      <c r="E4" s="20" t="s">
        <v>843</v>
      </c>
      <c r="F4" s="20" t="s">
        <v>894</v>
      </c>
      <c r="G4" s="20"/>
      <c r="H4" s="20"/>
      <c r="I4" s="20"/>
      <c r="J4" s="20" t="s">
        <v>895</v>
      </c>
      <c r="K4" t="e">
        <f>VLOOKUP(B4,Site!$B$1:$B$5698,2,0)</f>
        <v>#REF!</v>
      </c>
    </row>
    <row r="5" spans="1:11" x14ac:dyDescent="0.25">
      <c r="A5" s="19">
        <v>3</v>
      </c>
      <c r="B5" s="18" t="s">
        <v>5</v>
      </c>
      <c r="C5" s="18" t="s">
        <v>882</v>
      </c>
      <c r="D5" s="20">
        <v>28</v>
      </c>
      <c r="E5" s="20" t="s">
        <v>843</v>
      </c>
      <c r="F5" s="20" t="s">
        <v>894</v>
      </c>
      <c r="G5" s="20"/>
      <c r="H5" s="20"/>
      <c r="I5" s="20"/>
      <c r="J5" s="20" t="s">
        <v>895</v>
      </c>
      <c r="K5" t="e">
        <f>VLOOKUP(B5,Site!$B$1:$B$5698,2,0)</f>
        <v>#REF!</v>
      </c>
    </row>
    <row r="6" spans="1:11" x14ac:dyDescent="0.25">
      <c r="A6" s="19">
        <v>4</v>
      </c>
      <c r="B6" s="18" t="s">
        <v>440</v>
      </c>
      <c r="C6" s="18" t="s">
        <v>884</v>
      </c>
      <c r="D6" s="20">
        <v>30</v>
      </c>
      <c r="E6" s="20" t="s">
        <v>843</v>
      </c>
      <c r="F6" s="20" t="s">
        <v>894</v>
      </c>
      <c r="G6" s="20"/>
      <c r="H6" s="20"/>
      <c r="I6" s="20"/>
      <c r="J6" s="20" t="s">
        <v>895</v>
      </c>
      <c r="K6" t="e">
        <f>VLOOKUP(B6,Site!$B$1:$B$5698,2,0)</f>
        <v>#REF!</v>
      </c>
    </row>
    <row r="7" spans="1:11" x14ac:dyDescent="0.25">
      <c r="A7" s="19">
        <v>5</v>
      </c>
      <c r="B7" s="18" t="s">
        <v>98</v>
      </c>
      <c r="C7" s="18" t="s">
        <v>884</v>
      </c>
      <c r="D7" s="20">
        <v>27</v>
      </c>
      <c r="E7" s="20" t="s">
        <v>765</v>
      </c>
      <c r="F7" s="20" t="s">
        <v>894</v>
      </c>
      <c r="G7" s="20"/>
      <c r="H7" s="20"/>
      <c r="I7" s="20"/>
      <c r="J7" s="20" t="s">
        <v>895</v>
      </c>
      <c r="K7" t="e">
        <f>VLOOKUP(B7,Site!$B$1:$B$5698,2,0)</f>
        <v>#REF!</v>
      </c>
    </row>
    <row r="8" spans="1:11" x14ac:dyDescent="0.25">
      <c r="A8" s="19">
        <v>6</v>
      </c>
      <c r="B8" s="18" t="s">
        <v>134</v>
      </c>
      <c r="C8" s="18" t="s">
        <v>882</v>
      </c>
      <c r="D8" s="20">
        <v>60</v>
      </c>
      <c r="E8" s="20" t="s">
        <v>760</v>
      </c>
      <c r="F8" s="20" t="s">
        <v>894</v>
      </c>
      <c r="G8" s="20"/>
      <c r="H8" s="20"/>
      <c r="I8" s="20"/>
      <c r="J8" s="20" t="s">
        <v>895</v>
      </c>
      <c r="K8" t="e">
        <f>VLOOKUP(B8,Site!$B$1:$B$5698,2,0)</f>
        <v>#REF!</v>
      </c>
    </row>
    <row r="9" spans="1:11" x14ac:dyDescent="0.25">
      <c r="A9" s="19">
        <v>7</v>
      </c>
      <c r="B9" s="18" t="s">
        <v>119</v>
      </c>
      <c r="C9" s="18" t="s">
        <v>884</v>
      </c>
      <c r="D9" s="20">
        <v>29</v>
      </c>
      <c r="E9" s="20" t="s">
        <v>843</v>
      </c>
      <c r="F9" s="20" t="s">
        <v>894</v>
      </c>
      <c r="G9" s="20"/>
      <c r="H9" s="20"/>
      <c r="I9" s="20"/>
      <c r="J9" s="20" t="s">
        <v>895</v>
      </c>
      <c r="K9" t="e">
        <f>VLOOKUP(B9,Site!$B$1:$B$5698,2,0)</f>
        <v>#REF!</v>
      </c>
    </row>
    <row r="10" spans="1:11" x14ac:dyDescent="0.25">
      <c r="A10" s="19">
        <v>8</v>
      </c>
      <c r="B10" s="18" t="s">
        <v>377</v>
      </c>
      <c r="C10" s="18" t="s">
        <v>884</v>
      </c>
      <c r="D10" s="20">
        <v>29</v>
      </c>
      <c r="E10" s="20" t="s">
        <v>843</v>
      </c>
      <c r="F10" s="20" t="s">
        <v>894</v>
      </c>
      <c r="G10" s="20"/>
      <c r="H10" s="20"/>
      <c r="I10" s="20"/>
      <c r="J10" s="20" t="s">
        <v>895</v>
      </c>
      <c r="K10" t="e">
        <f>VLOOKUP(B10,Site!$B$1:$B$5698,2,0)</f>
        <v>#REF!</v>
      </c>
    </row>
    <row r="11" spans="1:11" x14ac:dyDescent="0.25">
      <c r="A11" s="19">
        <v>9</v>
      </c>
      <c r="B11" s="18" t="s">
        <v>383</v>
      </c>
      <c r="C11" s="18" t="s">
        <v>884</v>
      </c>
      <c r="D11" s="20">
        <v>32</v>
      </c>
      <c r="E11" s="20" t="s">
        <v>843</v>
      </c>
      <c r="F11" s="20" t="s">
        <v>894</v>
      </c>
      <c r="G11" s="20"/>
      <c r="H11" s="20"/>
      <c r="I11" s="20"/>
      <c r="J11" s="20" t="s">
        <v>895</v>
      </c>
      <c r="K11" t="e">
        <f>VLOOKUP(B11,Site!$B$1:$B$5698,2,0)</f>
        <v>#REF!</v>
      </c>
    </row>
    <row r="12" spans="1:11" x14ac:dyDescent="0.25">
      <c r="A12" s="19">
        <v>10</v>
      </c>
      <c r="B12" s="18" t="s">
        <v>38</v>
      </c>
      <c r="C12" s="18" t="s">
        <v>884</v>
      </c>
      <c r="D12" s="20">
        <v>36</v>
      </c>
      <c r="E12" s="20" t="s">
        <v>843</v>
      </c>
      <c r="F12" s="20" t="s">
        <v>894</v>
      </c>
      <c r="G12" s="20"/>
      <c r="H12" s="20"/>
      <c r="I12" s="20"/>
      <c r="J12" s="20" t="s">
        <v>895</v>
      </c>
      <c r="K12" t="e">
        <f>VLOOKUP(B12,Site!$B$1:$B$5698,2,0)</f>
        <v>#REF!</v>
      </c>
    </row>
    <row r="13" spans="1:11" x14ac:dyDescent="0.25">
      <c r="A13" s="19">
        <v>11</v>
      </c>
      <c r="B13" s="18" t="s">
        <v>39</v>
      </c>
      <c r="C13" s="18" t="s">
        <v>882</v>
      </c>
      <c r="D13" s="20">
        <v>30</v>
      </c>
      <c r="E13" s="20" t="s">
        <v>760</v>
      </c>
      <c r="F13" s="20" t="s">
        <v>894</v>
      </c>
      <c r="G13" s="20"/>
      <c r="H13" s="20"/>
      <c r="I13" s="20"/>
      <c r="J13" s="20" t="s">
        <v>895</v>
      </c>
      <c r="K13" t="e">
        <f>VLOOKUP(B13,Site!$B$1:$B$5698,2,0)</f>
        <v>#REF!</v>
      </c>
    </row>
    <row r="14" spans="1:11" x14ac:dyDescent="0.25">
      <c r="A14" s="19">
        <v>12</v>
      </c>
      <c r="B14" s="18" t="s">
        <v>40</v>
      </c>
      <c r="C14" s="18" t="s">
        <v>884</v>
      </c>
      <c r="D14" s="20">
        <v>30</v>
      </c>
      <c r="E14" s="20" t="s">
        <v>843</v>
      </c>
      <c r="F14" s="20" t="s">
        <v>894</v>
      </c>
      <c r="G14" s="20"/>
      <c r="H14" s="20"/>
      <c r="I14" s="20"/>
      <c r="J14" s="20" t="s">
        <v>895</v>
      </c>
      <c r="K14" t="e">
        <f>VLOOKUP(B14,Site!$B$1:$B$5698,2,0)</f>
        <v>#REF!</v>
      </c>
    </row>
    <row r="15" spans="1:11" x14ac:dyDescent="0.25">
      <c r="A15" s="19">
        <v>13</v>
      </c>
      <c r="B15" s="18" t="s">
        <v>41</v>
      </c>
      <c r="C15" s="18" t="s">
        <v>884</v>
      </c>
      <c r="D15" s="20">
        <v>36</v>
      </c>
      <c r="E15" s="20" t="s">
        <v>765</v>
      </c>
      <c r="F15" s="20" t="s">
        <v>894</v>
      </c>
      <c r="G15" s="20"/>
      <c r="H15" s="20"/>
      <c r="I15" s="20"/>
      <c r="J15" s="20" t="s">
        <v>895</v>
      </c>
      <c r="K15" t="e">
        <f>VLOOKUP(B15,Site!$B$1:$B$5698,2,0)</f>
        <v>#REF!</v>
      </c>
    </row>
    <row r="16" spans="1:11" x14ac:dyDescent="0.25">
      <c r="A16" s="19">
        <v>14</v>
      </c>
      <c r="B16" s="18" t="s">
        <v>141</v>
      </c>
      <c r="C16" s="18" t="s">
        <v>884</v>
      </c>
      <c r="D16" s="20">
        <v>39</v>
      </c>
      <c r="E16" s="20" t="s">
        <v>843</v>
      </c>
      <c r="F16" s="20" t="s">
        <v>894</v>
      </c>
      <c r="G16" s="20"/>
      <c r="H16" s="20"/>
      <c r="I16" s="20"/>
      <c r="J16" s="20" t="s">
        <v>895</v>
      </c>
      <c r="K16" t="e">
        <f>VLOOKUP(B16,Site!$B$1:$B$5698,2,0)</f>
        <v>#REF!</v>
      </c>
    </row>
    <row r="17" spans="1:11" x14ac:dyDescent="0.25">
      <c r="A17" s="19">
        <v>15</v>
      </c>
      <c r="B17" s="18" t="s">
        <v>142</v>
      </c>
      <c r="C17" s="18" t="s">
        <v>884</v>
      </c>
      <c r="D17" s="20">
        <v>39</v>
      </c>
      <c r="E17" s="20" t="s">
        <v>765</v>
      </c>
      <c r="F17" s="20" t="s">
        <v>894</v>
      </c>
      <c r="G17" s="20"/>
      <c r="H17" s="20"/>
      <c r="I17" s="20"/>
      <c r="J17" s="20" t="s">
        <v>895</v>
      </c>
      <c r="K17" t="e">
        <f>VLOOKUP(B17,Site!$B$1:$B$5698,2,0)</f>
        <v>#REF!</v>
      </c>
    </row>
    <row r="18" spans="1:11" x14ac:dyDescent="0.25">
      <c r="A18" s="19">
        <v>16</v>
      </c>
      <c r="B18" s="18" t="s">
        <v>42</v>
      </c>
      <c r="C18" s="18" t="s">
        <v>884</v>
      </c>
      <c r="D18" s="20">
        <v>30</v>
      </c>
      <c r="E18" s="20" t="s">
        <v>765</v>
      </c>
      <c r="F18" s="20" t="s">
        <v>894</v>
      </c>
      <c r="G18" s="20"/>
      <c r="H18" s="20"/>
      <c r="I18" s="20"/>
      <c r="J18" s="20" t="s">
        <v>895</v>
      </c>
      <c r="K18" t="e">
        <f>VLOOKUP(B18,Site!$B$1:$B$5698,2,0)</f>
        <v>#REF!</v>
      </c>
    </row>
    <row r="19" spans="1:11" x14ac:dyDescent="0.25">
      <c r="A19" s="19">
        <v>17</v>
      </c>
      <c r="B19" s="18" t="s">
        <v>43</v>
      </c>
      <c r="C19" s="18" t="s">
        <v>884</v>
      </c>
      <c r="D19" s="20">
        <v>42</v>
      </c>
      <c r="E19" s="20" t="s">
        <v>765</v>
      </c>
      <c r="F19" s="20" t="s">
        <v>894</v>
      </c>
      <c r="G19" s="20"/>
      <c r="H19" s="20"/>
      <c r="I19" s="20"/>
      <c r="J19" s="20" t="s">
        <v>895</v>
      </c>
      <c r="K19" t="e">
        <f>VLOOKUP(B19,Site!$B$1:$B$5698,2,0)</f>
        <v>#REF!</v>
      </c>
    </row>
    <row r="20" spans="1:11" x14ac:dyDescent="0.25">
      <c r="A20" s="19">
        <v>18</v>
      </c>
      <c r="B20" s="18" t="s">
        <v>44</v>
      </c>
      <c r="C20" s="18" t="s">
        <v>884</v>
      </c>
      <c r="D20" s="20">
        <v>42</v>
      </c>
      <c r="E20" s="20" t="s">
        <v>843</v>
      </c>
      <c r="F20" s="20" t="s">
        <v>894</v>
      </c>
      <c r="G20" s="20"/>
      <c r="H20" s="20"/>
      <c r="I20" s="20"/>
      <c r="J20" s="20" t="s">
        <v>895</v>
      </c>
      <c r="K20" t="e">
        <f>VLOOKUP(B20,Site!$B$1:$B$5698,2,0)</f>
        <v>#REF!</v>
      </c>
    </row>
    <row r="21" spans="1:11" x14ac:dyDescent="0.25">
      <c r="A21" s="19">
        <v>19</v>
      </c>
      <c r="B21" s="18" t="s">
        <v>28</v>
      </c>
      <c r="C21" s="18" t="s">
        <v>884</v>
      </c>
      <c r="D21" s="20">
        <v>39</v>
      </c>
      <c r="E21" s="20" t="s">
        <v>843</v>
      </c>
      <c r="F21" s="20" t="s">
        <v>894</v>
      </c>
      <c r="G21" s="20"/>
      <c r="H21" s="20"/>
      <c r="I21" s="20"/>
      <c r="J21" s="20" t="s">
        <v>895</v>
      </c>
      <c r="K21" t="e">
        <f>VLOOKUP(B21,Site!$B$1:$B$5698,2,0)</f>
        <v>#REF!</v>
      </c>
    </row>
    <row r="22" spans="1:11" x14ac:dyDescent="0.25">
      <c r="A22" s="19">
        <v>20</v>
      </c>
      <c r="B22" s="18" t="s">
        <v>143</v>
      </c>
      <c r="C22" s="18" t="s">
        <v>884</v>
      </c>
      <c r="D22" s="20">
        <v>39</v>
      </c>
      <c r="E22" s="20" t="s">
        <v>765</v>
      </c>
      <c r="F22" s="20" t="s">
        <v>894</v>
      </c>
      <c r="G22" s="20"/>
      <c r="H22" s="20"/>
      <c r="I22" s="20"/>
      <c r="J22" s="20" t="s">
        <v>895</v>
      </c>
      <c r="K22" t="e">
        <f>VLOOKUP(B22,Site!$B$1:$B$5698,2,0)</f>
        <v>#REF!</v>
      </c>
    </row>
    <row r="23" spans="1:11" x14ac:dyDescent="0.25">
      <c r="A23" s="19">
        <v>21</v>
      </c>
      <c r="B23" s="18" t="s">
        <v>144</v>
      </c>
      <c r="C23" s="18" t="s">
        <v>884</v>
      </c>
      <c r="D23" s="20">
        <v>39</v>
      </c>
      <c r="E23" s="20" t="s">
        <v>765</v>
      </c>
      <c r="F23" s="20" t="s">
        <v>894</v>
      </c>
      <c r="G23" s="20"/>
      <c r="H23" s="20"/>
      <c r="I23" s="20"/>
      <c r="J23" s="20" t="s">
        <v>895</v>
      </c>
      <c r="K23" t="e">
        <f>VLOOKUP(B23,Site!$B$1:$B$5698,2,0)</f>
        <v>#REF!</v>
      </c>
    </row>
    <row r="24" spans="1:11" x14ac:dyDescent="0.25">
      <c r="A24" s="19">
        <v>22</v>
      </c>
      <c r="B24" s="18" t="s">
        <v>45</v>
      </c>
      <c r="C24" s="18" t="s">
        <v>884</v>
      </c>
      <c r="D24" s="20">
        <v>30</v>
      </c>
      <c r="E24" s="20" t="s">
        <v>765</v>
      </c>
      <c r="F24" s="20" t="s">
        <v>894</v>
      </c>
      <c r="G24" s="20"/>
      <c r="H24" s="20"/>
      <c r="I24" s="20"/>
      <c r="J24" s="20" t="s">
        <v>895</v>
      </c>
      <c r="K24" t="e">
        <f>VLOOKUP(B24,Site!$B$1:$B$5698,2,0)</f>
        <v>#REF!</v>
      </c>
    </row>
    <row r="25" spans="1:11" x14ac:dyDescent="0.25">
      <c r="A25" s="19">
        <v>23</v>
      </c>
      <c r="B25" s="18" t="s">
        <v>29</v>
      </c>
      <c r="C25" s="18" t="s">
        <v>884</v>
      </c>
      <c r="D25" s="20">
        <v>30</v>
      </c>
      <c r="E25" s="20" t="s">
        <v>765</v>
      </c>
      <c r="F25" s="20" t="s">
        <v>894</v>
      </c>
      <c r="G25" s="20"/>
      <c r="H25" s="20"/>
      <c r="I25" s="20"/>
      <c r="J25" s="20" t="s">
        <v>895</v>
      </c>
      <c r="K25" t="e">
        <f>VLOOKUP(B25,Site!$B$1:$B$5698,2,0)</f>
        <v>#REF!</v>
      </c>
    </row>
    <row r="26" spans="1:11" x14ac:dyDescent="0.25">
      <c r="A26" s="19">
        <v>24</v>
      </c>
      <c r="B26" s="18" t="s">
        <v>46</v>
      </c>
      <c r="C26" s="18" t="s">
        <v>884</v>
      </c>
      <c r="D26" s="20">
        <v>42</v>
      </c>
      <c r="E26" s="20" t="s">
        <v>765</v>
      </c>
      <c r="F26" s="20" t="s">
        <v>894</v>
      </c>
      <c r="G26" s="20"/>
      <c r="H26" s="20"/>
      <c r="I26" s="20"/>
      <c r="J26" s="20" t="s">
        <v>895</v>
      </c>
      <c r="K26" t="e">
        <f>VLOOKUP(B26,Site!$B$1:$B$5698,2,0)</f>
        <v>#REF!</v>
      </c>
    </row>
    <row r="27" spans="1:11" x14ac:dyDescent="0.25">
      <c r="A27" s="19">
        <v>25</v>
      </c>
      <c r="B27" s="18" t="s">
        <v>47</v>
      </c>
      <c r="C27" s="18" t="s">
        <v>884</v>
      </c>
      <c r="D27" s="20">
        <v>30</v>
      </c>
      <c r="E27" s="20" t="s">
        <v>765</v>
      </c>
      <c r="F27" s="20" t="s">
        <v>894</v>
      </c>
      <c r="G27" s="20"/>
      <c r="H27" s="20"/>
      <c r="I27" s="20"/>
      <c r="J27" s="20" t="s">
        <v>895</v>
      </c>
      <c r="K27" t="e">
        <f>VLOOKUP(B27,Site!$B$1:$B$5698,2,0)</f>
        <v>#REF!</v>
      </c>
    </row>
    <row r="28" spans="1:11" x14ac:dyDescent="0.25">
      <c r="A28" s="19">
        <v>26</v>
      </c>
      <c r="B28" s="18" t="s">
        <v>30</v>
      </c>
      <c r="C28" s="18" t="s">
        <v>882</v>
      </c>
      <c r="D28" s="20">
        <v>30</v>
      </c>
      <c r="E28" s="20" t="s">
        <v>843</v>
      </c>
      <c r="F28" s="20" t="s">
        <v>894</v>
      </c>
      <c r="G28" s="20"/>
      <c r="H28" s="20"/>
      <c r="I28" s="20"/>
      <c r="J28" s="20" t="s">
        <v>895</v>
      </c>
      <c r="K28" t="e">
        <f>VLOOKUP(B28,Site!$B$1:$B$5698,2,0)</f>
        <v>#REF!</v>
      </c>
    </row>
    <row r="29" spans="1:11" x14ac:dyDescent="0.25">
      <c r="A29" s="19">
        <v>27</v>
      </c>
      <c r="B29" s="18" t="s">
        <v>48</v>
      </c>
      <c r="C29" s="18" t="s">
        <v>884</v>
      </c>
      <c r="D29" s="20">
        <v>39</v>
      </c>
      <c r="E29" s="20" t="s">
        <v>843</v>
      </c>
      <c r="F29" s="20" t="s">
        <v>894</v>
      </c>
      <c r="G29" s="20"/>
      <c r="H29" s="20"/>
      <c r="I29" s="20"/>
      <c r="J29" s="20" t="s">
        <v>895</v>
      </c>
      <c r="K29" t="e">
        <f>VLOOKUP(B29,Site!$B$1:$B$5698,2,0)</f>
        <v>#REF!</v>
      </c>
    </row>
    <row r="30" spans="1:11" x14ac:dyDescent="0.25">
      <c r="A30" s="19">
        <v>28</v>
      </c>
      <c r="B30" s="18" t="s">
        <v>31</v>
      </c>
      <c r="C30" s="18" t="s">
        <v>884</v>
      </c>
      <c r="D30" s="20">
        <v>29</v>
      </c>
      <c r="E30" s="20" t="s">
        <v>843</v>
      </c>
      <c r="F30" s="20" t="s">
        <v>894</v>
      </c>
      <c r="G30" s="20"/>
      <c r="H30" s="20"/>
      <c r="I30" s="20"/>
      <c r="J30" s="20" t="s">
        <v>895</v>
      </c>
      <c r="K30" t="e">
        <f>VLOOKUP(B30,Site!$B$1:$B$5698,2,0)</f>
        <v>#REF!</v>
      </c>
    </row>
    <row r="31" spans="1:11" x14ac:dyDescent="0.25">
      <c r="A31" s="19">
        <v>29</v>
      </c>
      <c r="B31" s="18" t="s">
        <v>145</v>
      </c>
      <c r="C31" s="18" t="s">
        <v>884</v>
      </c>
      <c r="D31" s="20">
        <v>42</v>
      </c>
      <c r="E31" s="20" t="s">
        <v>896</v>
      </c>
      <c r="F31" s="20" t="s">
        <v>894</v>
      </c>
      <c r="G31" s="20"/>
      <c r="H31" s="20"/>
      <c r="I31" s="20"/>
      <c r="J31" s="20" t="s">
        <v>895</v>
      </c>
      <c r="K31" t="e">
        <f>VLOOKUP(B31,Site!$B$1:$B$5698,2,0)</f>
        <v>#REF!</v>
      </c>
    </row>
    <row r="32" spans="1:11" x14ac:dyDescent="0.25">
      <c r="A32" s="19">
        <v>30</v>
      </c>
      <c r="B32" s="18" t="s">
        <v>149</v>
      </c>
      <c r="C32" s="18" t="s">
        <v>884</v>
      </c>
      <c r="D32" s="20">
        <v>29</v>
      </c>
      <c r="E32" s="20" t="s">
        <v>843</v>
      </c>
      <c r="F32" s="20" t="s">
        <v>894</v>
      </c>
      <c r="G32" s="20"/>
      <c r="H32" s="20"/>
      <c r="I32" s="20"/>
      <c r="J32" s="20" t="s">
        <v>895</v>
      </c>
      <c r="K32" t="e">
        <f>VLOOKUP(B32,Site!$B$1:$B$5698,2,0)</f>
        <v>#REF!</v>
      </c>
    </row>
    <row r="33" spans="1:11" x14ac:dyDescent="0.25">
      <c r="A33" s="19">
        <v>31</v>
      </c>
      <c r="B33" s="18" t="s">
        <v>146</v>
      </c>
      <c r="C33" s="18" t="s">
        <v>884</v>
      </c>
      <c r="D33" s="20">
        <v>42</v>
      </c>
      <c r="E33" s="20" t="s">
        <v>843</v>
      </c>
      <c r="F33" s="20" t="s">
        <v>894</v>
      </c>
      <c r="G33" s="20"/>
      <c r="H33" s="20"/>
      <c r="I33" s="20"/>
      <c r="J33" s="20" t="s">
        <v>895</v>
      </c>
      <c r="K33" t="e">
        <f>VLOOKUP(B33,Site!$B$1:$B$5698,2,0)</f>
        <v>#REF!</v>
      </c>
    </row>
    <row r="34" spans="1:11" x14ac:dyDescent="0.25">
      <c r="A34" s="19">
        <v>32</v>
      </c>
      <c r="B34" s="18" t="s">
        <v>147</v>
      </c>
      <c r="C34" s="18" t="s">
        <v>884</v>
      </c>
      <c r="D34" s="20">
        <v>39</v>
      </c>
      <c r="E34" s="20" t="s">
        <v>765</v>
      </c>
      <c r="F34" s="20" t="s">
        <v>894</v>
      </c>
      <c r="G34" s="20"/>
      <c r="H34" s="20"/>
      <c r="I34" s="20"/>
      <c r="J34" s="20" t="s">
        <v>895</v>
      </c>
      <c r="K34" t="e">
        <f>VLOOKUP(B34,Site!$B$1:$B$5698,2,0)</f>
        <v>#REF!</v>
      </c>
    </row>
    <row r="35" spans="1:11" x14ac:dyDescent="0.25">
      <c r="A35" s="19">
        <v>33</v>
      </c>
      <c r="B35" s="18" t="s">
        <v>150</v>
      </c>
      <c r="C35" s="18" t="s">
        <v>884</v>
      </c>
      <c r="D35" s="20">
        <v>39</v>
      </c>
      <c r="E35" s="20" t="s">
        <v>765</v>
      </c>
      <c r="F35" s="20" t="s">
        <v>894</v>
      </c>
      <c r="G35" s="20"/>
      <c r="H35" s="20"/>
      <c r="I35" s="20"/>
      <c r="J35" s="20" t="s">
        <v>895</v>
      </c>
      <c r="K35" t="e">
        <f>VLOOKUP(B35,Site!$B$1:$B$5698,2,0)</f>
        <v>#REF!</v>
      </c>
    </row>
    <row r="36" spans="1:11" x14ac:dyDescent="0.25">
      <c r="A36" s="19">
        <v>34</v>
      </c>
      <c r="B36" s="18" t="s">
        <v>148</v>
      </c>
      <c r="C36" s="18" t="s">
        <v>884</v>
      </c>
      <c r="D36" s="20">
        <v>39</v>
      </c>
      <c r="E36" s="20" t="s">
        <v>765</v>
      </c>
      <c r="F36" s="20" t="s">
        <v>894</v>
      </c>
      <c r="G36" s="20"/>
      <c r="H36" s="20"/>
      <c r="I36" s="20"/>
      <c r="J36" s="20" t="s">
        <v>895</v>
      </c>
      <c r="K36" t="e">
        <f>VLOOKUP(B36,Site!$B$1:$B$5698,2,0)</f>
        <v>#REF!</v>
      </c>
    </row>
    <row r="37" spans="1:11" x14ac:dyDescent="0.25">
      <c r="A37" s="19">
        <v>35</v>
      </c>
      <c r="B37" s="18" t="s">
        <v>49</v>
      </c>
      <c r="C37" s="18" t="s">
        <v>882</v>
      </c>
      <c r="D37" s="20">
        <v>42</v>
      </c>
      <c r="E37" s="20" t="s">
        <v>760</v>
      </c>
      <c r="F37" s="20" t="s">
        <v>894</v>
      </c>
      <c r="G37" s="20"/>
      <c r="H37" s="20"/>
      <c r="I37" s="20"/>
      <c r="J37" s="20" t="s">
        <v>895</v>
      </c>
      <c r="K37" t="e">
        <f>VLOOKUP(B37,Site!$B$1:$B$5698,2,0)</f>
        <v>#REF!</v>
      </c>
    </row>
    <row r="38" spans="1:11" x14ac:dyDescent="0.25">
      <c r="A38" s="19">
        <v>36</v>
      </c>
      <c r="B38" s="18" t="s">
        <v>50</v>
      </c>
      <c r="C38" s="18" t="s">
        <v>884</v>
      </c>
      <c r="D38" s="20">
        <v>42</v>
      </c>
      <c r="E38" s="20" t="s">
        <v>765</v>
      </c>
      <c r="F38" s="20" t="s">
        <v>894</v>
      </c>
      <c r="G38" s="20"/>
      <c r="H38" s="20"/>
      <c r="I38" s="20"/>
      <c r="J38" s="20" t="s">
        <v>895</v>
      </c>
      <c r="K38" t="e">
        <f>VLOOKUP(B38,Site!$B$1:$B$5698,2,0)</f>
        <v>#REF!</v>
      </c>
    </row>
    <row r="39" spans="1:11" x14ac:dyDescent="0.25">
      <c r="A39" s="19">
        <v>37</v>
      </c>
      <c r="B39" s="18" t="s">
        <v>122</v>
      </c>
      <c r="C39" s="18" t="s">
        <v>884</v>
      </c>
      <c r="D39" s="20">
        <v>39</v>
      </c>
      <c r="E39" s="20" t="s">
        <v>765</v>
      </c>
      <c r="F39" s="20" t="s">
        <v>894</v>
      </c>
      <c r="G39" s="20"/>
      <c r="H39" s="20"/>
      <c r="I39" s="20"/>
      <c r="J39" s="20" t="s">
        <v>895</v>
      </c>
      <c r="K39" t="e">
        <f>VLOOKUP(B39,Site!$B$1:$B$5698,2,0)</f>
        <v>#REF!</v>
      </c>
    </row>
    <row r="40" spans="1:11" x14ac:dyDescent="0.25">
      <c r="A40" s="19">
        <v>38</v>
      </c>
      <c r="B40" s="18" t="s">
        <v>52</v>
      </c>
      <c r="C40" s="18" t="s">
        <v>884</v>
      </c>
      <c r="D40" s="20">
        <v>45</v>
      </c>
      <c r="E40" s="20" t="s">
        <v>765</v>
      </c>
      <c r="F40" s="20" t="s">
        <v>894</v>
      </c>
      <c r="G40" s="20"/>
      <c r="H40" s="20"/>
      <c r="I40" s="20"/>
      <c r="J40" s="20" t="s">
        <v>895</v>
      </c>
      <c r="K40" t="e">
        <f>VLOOKUP(B40,Site!$B$1:$B$5698,2,0)</f>
        <v>#REF!</v>
      </c>
    </row>
    <row r="41" spans="1:11" x14ac:dyDescent="0.25">
      <c r="A41" s="19">
        <v>39</v>
      </c>
      <c r="B41" s="18" t="s">
        <v>53</v>
      </c>
      <c r="C41" s="18" t="s">
        <v>884</v>
      </c>
      <c r="D41" s="20">
        <v>42</v>
      </c>
      <c r="E41" s="20" t="s">
        <v>765</v>
      </c>
      <c r="F41" s="20" t="s">
        <v>894</v>
      </c>
      <c r="G41" s="20"/>
      <c r="H41" s="20"/>
      <c r="I41" s="20"/>
      <c r="J41" s="20" t="s">
        <v>895</v>
      </c>
      <c r="K41" t="e">
        <f>VLOOKUP(B41,Site!$B$1:$B$5698,2,0)</f>
        <v>#REF!</v>
      </c>
    </row>
    <row r="42" spans="1:11" x14ac:dyDescent="0.25">
      <c r="A42" s="19">
        <v>40</v>
      </c>
      <c r="B42" s="18" t="s">
        <v>32</v>
      </c>
      <c r="C42" s="18" t="s">
        <v>884</v>
      </c>
      <c r="D42" s="20">
        <v>33</v>
      </c>
      <c r="E42" s="20" t="s">
        <v>765</v>
      </c>
      <c r="F42" s="20" t="s">
        <v>894</v>
      </c>
      <c r="G42" s="20"/>
      <c r="H42" s="20"/>
      <c r="I42" s="20"/>
      <c r="J42" s="20" t="s">
        <v>895</v>
      </c>
      <c r="K42" t="e">
        <f>VLOOKUP(B42,Site!$B$1:$B$5698,2,0)</f>
        <v>#REF!</v>
      </c>
    </row>
    <row r="43" spans="1:11" x14ac:dyDescent="0.25">
      <c r="A43" s="19">
        <v>41</v>
      </c>
      <c r="B43" s="18" t="s">
        <v>54</v>
      </c>
      <c r="C43" s="18" t="s">
        <v>884</v>
      </c>
      <c r="D43" s="20">
        <v>31</v>
      </c>
      <c r="E43" s="20" t="s">
        <v>765</v>
      </c>
      <c r="F43" s="20" t="s">
        <v>894</v>
      </c>
      <c r="G43" s="20"/>
      <c r="H43" s="20"/>
      <c r="I43" s="20"/>
      <c r="J43" s="20" t="s">
        <v>895</v>
      </c>
      <c r="K43" t="e">
        <f>VLOOKUP(B43,Site!$B$1:$B$5698,2,0)</f>
        <v>#REF!</v>
      </c>
    </row>
    <row r="44" spans="1:11" x14ac:dyDescent="0.25">
      <c r="A44" s="19">
        <v>42</v>
      </c>
      <c r="B44" s="18" t="s">
        <v>55</v>
      </c>
      <c r="C44" s="18" t="s">
        <v>884</v>
      </c>
      <c r="D44" s="20">
        <v>31</v>
      </c>
      <c r="E44" s="20" t="s">
        <v>765</v>
      </c>
      <c r="F44" s="20" t="s">
        <v>894</v>
      </c>
      <c r="G44" s="20"/>
      <c r="H44" s="20"/>
      <c r="I44" s="20"/>
      <c r="J44" s="20" t="s">
        <v>895</v>
      </c>
      <c r="K44" t="e">
        <f>VLOOKUP(B44,Site!$B$1:$B$5698,2,0)</f>
        <v>#REF!</v>
      </c>
    </row>
    <row r="45" spans="1:11" x14ac:dyDescent="0.25">
      <c r="A45" s="19">
        <v>43</v>
      </c>
      <c r="B45" s="18" t="s">
        <v>56</v>
      </c>
      <c r="C45" s="18" t="s">
        <v>884</v>
      </c>
      <c r="D45" s="20">
        <v>42</v>
      </c>
      <c r="E45" s="20" t="s">
        <v>765</v>
      </c>
      <c r="F45" s="20" t="s">
        <v>894</v>
      </c>
      <c r="G45" s="20"/>
      <c r="H45" s="20"/>
      <c r="I45" s="20"/>
      <c r="J45" s="20" t="s">
        <v>895</v>
      </c>
      <c r="K45" t="e">
        <f>VLOOKUP(B45,Site!$B$1:$B$5698,2,0)</f>
        <v>#REF!</v>
      </c>
    </row>
    <row r="46" spans="1:11" x14ac:dyDescent="0.25">
      <c r="A46" s="19">
        <v>44</v>
      </c>
      <c r="B46" s="18" t="s">
        <v>57</v>
      </c>
      <c r="C46" s="18" t="s">
        <v>884</v>
      </c>
      <c r="D46" s="20">
        <v>34</v>
      </c>
      <c r="E46" s="20" t="s">
        <v>765</v>
      </c>
      <c r="F46" s="20" t="s">
        <v>894</v>
      </c>
      <c r="G46" s="20"/>
      <c r="H46" s="20"/>
      <c r="I46" s="20"/>
      <c r="J46" s="20" t="s">
        <v>895</v>
      </c>
      <c r="K46" t="e">
        <f>VLOOKUP(B46,Site!$B$1:$B$5698,2,0)</f>
        <v>#REF!</v>
      </c>
    </row>
    <row r="47" spans="1:11" x14ac:dyDescent="0.25">
      <c r="A47" s="19">
        <v>45</v>
      </c>
      <c r="B47" s="18" t="s">
        <v>33</v>
      </c>
      <c r="C47" s="18" t="s">
        <v>884</v>
      </c>
      <c r="D47" s="20">
        <v>30</v>
      </c>
      <c r="E47" s="20" t="s">
        <v>843</v>
      </c>
      <c r="F47" s="20" t="s">
        <v>894</v>
      </c>
      <c r="G47" s="20"/>
      <c r="H47" s="20"/>
      <c r="I47" s="20"/>
      <c r="J47" s="20" t="s">
        <v>895</v>
      </c>
      <c r="K47" t="e">
        <f>VLOOKUP(B47,Site!$B$1:$B$5698,2,0)</f>
        <v>#REF!</v>
      </c>
    </row>
    <row r="48" spans="1:11" x14ac:dyDescent="0.25">
      <c r="A48" s="19">
        <v>46</v>
      </c>
      <c r="B48" s="18" t="s">
        <v>34</v>
      </c>
      <c r="C48" s="18" t="s">
        <v>884</v>
      </c>
      <c r="D48" s="20">
        <v>30</v>
      </c>
      <c r="E48" s="20" t="s">
        <v>843</v>
      </c>
      <c r="F48" s="20" t="s">
        <v>894</v>
      </c>
      <c r="G48" s="20"/>
      <c r="H48" s="20"/>
      <c r="I48" s="20"/>
      <c r="J48" s="20" t="s">
        <v>895</v>
      </c>
      <c r="K48" t="e">
        <f>VLOOKUP(B48,Site!$B$1:$B$5698,2,0)</f>
        <v>#REF!</v>
      </c>
    </row>
    <row r="49" spans="1:11" x14ac:dyDescent="0.25">
      <c r="A49" s="19">
        <v>47</v>
      </c>
      <c r="B49" s="18" t="s">
        <v>59</v>
      </c>
      <c r="C49" s="18" t="s">
        <v>884</v>
      </c>
      <c r="D49" s="20">
        <v>30</v>
      </c>
      <c r="E49" s="20" t="s">
        <v>896</v>
      </c>
      <c r="F49" s="20" t="s">
        <v>894</v>
      </c>
      <c r="G49" s="20"/>
      <c r="H49" s="20"/>
      <c r="I49" s="20"/>
      <c r="J49" s="20" t="s">
        <v>895</v>
      </c>
      <c r="K49" t="e">
        <f>VLOOKUP(B49,Site!$B$1:$B$5698,2,0)</f>
        <v>#REF!</v>
      </c>
    </row>
    <row r="50" spans="1:11" x14ac:dyDescent="0.25">
      <c r="A50" s="19">
        <v>48</v>
      </c>
      <c r="B50" s="18" t="s">
        <v>151</v>
      </c>
      <c r="C50" s="18" t="s">
        <v>884</v>
      </c>
      <c r="D50" s="20">
        <v>39</v>
      </c>
      <c r="E50" s="20" t="s">
        <v>843</v>
      </c>
      <c r="F50" s="20" t="s">
        <v>894</v>
      </c>
      <c r="G50" s="20"/>
      <c r="H50" s="20"/>
      <c r="I50" s="20"/>
      <c r="J50" s="20" t="s">
        <v>895</v>
      </c>
      <c r="K50" t="e">
        <f>VLOOKUP(B50,Site!$B$1:$B$5698,2,0)</f>
        <v>#REF!</v>
      </c>
    </row>
    <row r="51" spans="1:11" x14ac:dyDescent="0.25">
      <c r="A51" s="19">
        <v>49</v>
      </c>
      <c r="B51" s="18" t="s">
        <v>60</v>
      </c>
      <c r="C51" s="18" t="s">
        <v>884</v>
      </c>
      <c r="D51" s="20">
        <v>30</v>
      </c>
      <c r="E51" s="20" t="s">
        <v>843</v>
      </c>
      <c r="F51" s="20" t="s">
        <v>894</v>
      </c>
      <c r="G51" s="20"/>
      <c r="H51" s="20"/>
      <c r="I51" s="20"/>
      <c r="J51" s="20" t="s">
        <v>895</v>
      </c>
      <c r="K51" t="e">
        <f>VLOOKUP(B51,Site!$B$1:$B$5698,2,0)</f>
        <v>#REF!</v>
      </c>
    </row>
    <row r="52" spans="1:11" x14ac:dyDescent="0.25">
      <c r="A52" s="19">
        <v>50</v>
      </c>
      <c r="B52" s="18" t="s">
        <v>61</v>
      </c>
      <c r="C52" s="18" t="s">
        <v>884</v>
      </c>
      <c r="D52" s="20">
        <v>45</v>
      </c>
      <c r="E52" s="20" t="s">
        <v>896</v>
      </c>
      <c r="F52" s="20" t="s">
        <v>894</v>
      </c>
      <c r="G52" s="20"/>
      <c r="H52" s="20"/>
      <c r="I52" s="20"/>
      <c r="J52" s="20" t="s">
        <v>895</v>
      </c>
      <c r="K52" t="e">
        <f>VLOOKUP(B52,Site!$B$1:$B$5698,2,0)</f>
        <v>#REF!</v>
      </c>
    </row>
    <row r="53" spans="1:11" x14ac:dyDescent="0.25">
      <c r="A53" s="19">
        <v>51</v>
      </c>
      <c r="B53" s="18" t="s">
        <v>152</v>
      </c>
      <c r="C53" s="18" t="s">
        <v>884</v>
      </c>
      <c r="D53" s="20">
        <v>45</v>
      </c>
      <c r="E53" s="20" t="s">
        <v>896</v>
      </c>
      <c r="F53" s="20" t="s">
        <v>894</v>
      </c>
      <c r="G53" s="20"/>
      <c r="H53" s="20"/>
      <c r="I53" s="20"/>
      <c r="J53" s="20" t="s">
        <v>895</v>
      </c>
      <c r="K53" t="e">
        <f>VLOOKUP(B53,Site!$B$1:$B$5698,2,0)</f>
        <v>#REF!</v>
      </c>
    </row>
    <row r="54" spans="1:11" x14ac:dyDescent="0.25">
      <c r="A54" s="19">
        <v>52</v>
      </c>
      <c r="B54" s="18" t="s">
        <v>62</v>
      </c>
      <c r="C54" s="18" t="s">
        <v>884</v>
      </c>
      <c r="D54" s="20">
        <v>45</v>
      </c>
      <c r="E54" s="20" t="s">
        <v>896</v>
      </c>
      <c r="F54" s="20" t="s">
        <v>894</v>
      </c>
      <c r="G54" s="20"/>
      <c r="H54" s="20"/>
      <c r="I54" s="20"/>
      <c r="J54" s="20" t="s">
        <v>895</v>
      </c>
      <c r="K54" t="e">
        <f>VLOOKUP(B54,Site!$B$1:$B$5698,2,0)</f>
        <v>#REF!</v>
      </c>
    </row>
    <row r="55" spans="1:11" x14ac:dyDescent="0.25">
      <c r="A55" s="19">
        <v>53</v>
      </c>
      <c r="B55" s="18" t="s">
        <v>421</v>
      </c>
      <c r="C55" s="18" t="s">
        <v>884</v>
      </c>
      <c r="D55" s="20">
        <v>29</v>
      </c>
      <c r="E55" s="20" t="s">
        <v>760</v>
      </c>
      <c r="F55" s="20" t="s">
        <v>894</v>
      </c>
      <c r="G55" s="20"/>
      <c r="H55" s="20"/>
      <c r="I55" s="20"/>
      <c r="J55" s="20" t="s">
        <v>895</v>
      </c>
      <c r="K55" t="e">
        <f>VLOOKUP(B55,Site!$B$1:$B$5698,2,0)</f>
        <v>#REF!</v>
      </c>
    </row>
    <row r="56" spans="1:11" x14ac:dyDescent="0.25">
      <c r="A56" s="19">
        <v>54</v>
      </c>
      <c r="B56" s="18" t="s">
        <v>448</v>
      </c>
      <c r="C56" s="18" t="s">
        <v>884</v>
      </c>
      <c r="D56" s="20">
        <v>36</v>
      </c>
      <c r="E56" s="20" t="s">
        <v>843</v>
      </c>
      <c r="F56" s="20" t="s">
        <v>894</v>
      </c>
      <c r="G56" s="20"/>
      <c r="H56" s="20"/>
      <c r="I56" s="20"/>
      <c r="J56" s="20" t="s">
        <v>895</v>
      </c>
      <c r="K56" t="e">
        <f>VLOOKUP(B56,Site!$B$1:$B$5698,2,0)</f>
        <v>#REF!</v>
      </c>
    </row>
    <row r="57" spans="1:11" x14ac:dyDescent="0.25">
      <c r="A57" s="19">
        <v>55</v>
      </c>
      <c r="B57" s="18" t="s">
        <v>454</v>
      </c>
      <c r="C57" s="18" t="s">
        <v>884</v>
      </c>
      <c r="D57" s="20">
        <v>36</v>
      </c>
      <c r="E57" s="20" t="s">
        <v>843</v>
      </c>
      <c r="F57" s="20" t="s">
        <v>894</v>
      </c>
      <c r="G57" s="20"/>
      <c r="H57" s="20"/>
      <c r="I57" s="20"/>
      <c r="J57" s="20" t="s">
        <v>895</v>
      </c>
      <c r="K57" t="e">
        <f>VLOOKUP(B57,Site!$B$1:$B$5698,2,0)</f>
        <v>#REF!</v>
      </c>
    </row>
    <row r="58" spans="1:11" x14ac:dyDescent="0.25">
      <c r="A58" s="19">
        <v>56</v>
      </c>
      <c r="B58" s="18" t="s">
        <v>453</v>
      </c>
      <c r="C58" s="18" t="s">
        <v>884</v>
      </c>
      <c r="D58" s="20">
        <v>36</v>
      </c>
      <c r="E58" s="20" t="s">
        <v>843</v>
      </c>
      <c r="F58" s="20" t="s">
        <v>894</v>
      </c>
      <c r="G58" s="20"/>
      <c r="H58" s="20"/>
      <c r="I58" s="20"/>
      <c r="J58" s="20" t="s">
        <v>895</v>
      </c>
      <c r="K58" t="e">
        <f>VLOOKUP(B58,Site!$B$1:$B$5698,2,0)</f>
        <v>#REF!</v>
      </c>
    </row>
    <row r="59" spans="1:11" x14ac:dyDescent="0.25">
      <c r="A59" s="19">
        <v>57</v>
      </c>
      <c r="B59" s="18" t="s">
        <v>442</v>
      </c>
      <c r="C59" s="18" t="s">
        <v>884</v>
      </c>
      <c r="D59" s="20">
        <v>39</v>
      </c>
      <c r="E59" s="20" t="s">
        <v>843</v>
      </c>
      <c r="F59" s="20" t="s">
        <v>894</v>
      </c>
      <c r="G59" s="20"/>
      <c r="H59" s="20"/>
      <c r="I59" s="20"/>
      <c r="J59" s="20" t="s">
        <v>895</v>
      </c>
      <c r="K59" t="e">
        <f>VLOOKUP(B59,Site!$B$1:$B$5698,2,0)</f>
        <v>#REF!</v>
      </c>
    </row>
    <row r="60" spans="1:11" x14ac:dyDescent="0.25">
      <c r="A60" s="19">
        <v>58</v>
      </c>
      <c r="B60" s="18" t="s">
        <v>459</v>
      </c>
      <c r="C60" s="18" t="s">
        <v>884</v>
      </c>
      <c r="D60" s="20">
        <v>42</v>
      </c>
      <c r="E60" s="20" t="s">
        <v>843</v>
      </c>
      <c r="F60" s="20" t="s">
        <v>894</v>
      </c>
      <c r="G60" s="20"/>
      <c r="H60" s="20"/>
      <c r="I60" s="20"/>
      <c r="J60" s="20" t="s">
        <v>895</v>
      </c>
      <c r="K60" t="e">
        <f>VLOOKUP(B60,Site!$B$1:$B$5698,2,0)</f>
        <v>#REF!</v>
      </c>
    </row>
    <row r="61" spans="1:11" x14ac:dyDescent="0.25">
      <c r="A61" s="19">
        <v>59</v>
      </c>
      <c r="B61" s="18" t="s">
        <v>460</v>
      </c>
      <c r="C61" s="18" t="s">
        <v>884</v>
      </c>
      <c r="D61" s="20">
        <v>42</v>
      </c>
      <c r="E61" s="20" t="s">
        <v>843</v>
      </c>
      <c r="F61" s="20" t="s">
        <v>894</v>
      </c>
      <c r="G61" s="20"/>
      <c r="H61" s="20"/>
      <c r="I61" s="20"/>
      <c r="J61" s="20" t="s">
        <v>895</v>
      </c>
      <c r="K61" t="e">
        <f>VLOOKUP(B61,Site!$B$1:$B$5698,2,0)</f>
        <v>#REF!</v>
      </c>
    </row>
    <row r="62" spans="1:11" x14ac:dyDescent="0.25">
      <c r="A62" s="19">
        <v>60</v>
      </c>
      <c r="B62" s="18" t="s">
        <v>461</v>
      </c>
      <c r="C62" s="18" t="s">
        <v>884</v>
      </c>
      <c r="D62" s="20">
        <v>42</v>
      </c>
      <c r="E62" s="20" t="s">
        <v>843</v>
      </c>
      <c r="F62" s="20" t="s">
        <v>894</v>
      </c>
      <c r="G62" s="20"/>
      <c r="H62" s="20"/>
      <c r="I62" s="20"/>
      <c r="J62" s="20" t="s">
        <v>895</v>
      </c>
      <c r="K62" t="e">
        <f>VLOOKUP(B62,Site!$B$1:$B$5698,2,0)</f>
        <v>#REF!</v>
      </c>
    </row>
    <row r="63" spans="1:11" x14ac:dyDescent="0.25">
      <c r="A63" s="19">
        <v>61</v>
      </c>
      <c r="B63" s="18" t="s">
        <v>462</v>
      </c>
      <c r="C63" s="18" t="s">
        <v>884</v>
      </c>
      <c r="D63" s="20">
        <v>42</v>
      </c>
      <c r="E63" s="20" t="s">
        <v>843</v>
      </c>
      <c r="F63" s="20" t="s">
        <v>894</v>
      </c>
      <c r="G63" s="20"/>
      <c r="H63" s="20"/>
      <c r="I63" s="20"/>
      <c r="J63" s="20" t="s">
        <v>895</v>
      </c>
      <c r="K63" t="e">
        <f>VLOOKUP(B63,Site!$B$1:$B$5698,2,0)</f>
        <v>#REF!</v>
      </c>
    </row>
    <row r="64" spans="1:11" x14ac:dyDescent="0.25">
      <c r="A64" s="19">
        <v>62</v>
      </c>
      <c r="B64" s="18" t="s">
        <v>463</v>
      </c>
      <c r="C64" s="18" t="s">
        <v>884</v>
      </c>
      <c r="D64" s="20">
        <v>42</v>
      </c>
      <c r="E64" s="20" t="s">
        <v>843</v>
      </c>
      <c r="F64" s="20" t="s">
        <v>894</v>
      </c>
      <c r="G64" s="20"/>
      <c r="H64" s="20"/>
      <c r="I64" s="20"/>
      <c r="J64" s="20" t="s">
        <v>895</v>
      </c>
      <c r="K64" t="e">
        <f>VLOOKUP(B64,Site!$B$1:$B$5698,2,0)</f>
        <v>#REF!</v>
      </c>
    </row>
    <row r="65" spans="1:11" x14ac:dyDescent="0.25">
      <c r="A65" s="19">
        <v>63</v>
      </c>
      <c r="B65" s="18" t="s">
        <v>467</v>
      </c>
      <c r="C65" s="18" t="s">
        <v>884</v>
      </c>
      <c r="D65" s="20">
        <v>30</v>
      </c>
      <c r="E65" s="20" t="s">
        <v>843</v>
      </c>
      <c r="F65" s="20" t="s">
        <v>897</v>
      </c>
      <c r="G65" s="20"/>
      <c r="H65" s="20"/>
      <c r="I65" s="20"/>
      <c r="J65" s="20" t="s">
        <v>898</v>
      </c>
      <c r="K65" t="e">
        <f>VLOOKUP(B65,Site!$B$1:$B$5698,2,0)</f>
        <v>#REF!</v>
      </c>
    </row>
    <row r="66" spans="1:11" x14ac:dyDescent="0.25">
      <c r="A66" s="19">
        <v>64</v>
      </c>
      <c r="B66" s="18" t="s">
        <v>468</v>
      </c>
      <c r="C66" s="18" t="s">
        <v>884</v>
      </c>
      <c r="D66" s="20">
        <v>42</v>
      </c>
      <c r="E66" s="20" t="s">
        <v>843</v>
      </c>
      <c r="F66" s="20" t="s">
        <v>897</v>
      </c>
      <c r="G66" s="20"/>
      <c r="H66" s="20"/>
      <c r="I66" s="20"/>
      <c r="J66" s="20" t="s">
        <v>898</v>
      </c>
      <c r="K66" t="e">
        <f>VLOOKUP(B66,Site!$B$1:$B$5698,2,0)</f>
        <v>#REF!</v>
      </c>
    </row>
    <row r="67" spans="1:11" x14ac:dyDescent="0.25">
      <c r="A67" s="19">
        <v>65</v>
      </c>
      <c r="B67" s="18" t="s">
        <v>535</v>
      </c>
      <c r="C67" s="18" t="s">
        <v>884</v>
      </c>
      <c r="D67" s="20">
        <v>42</v>
      </c>
      <c r="E67" s="20" t="s">
        <v>843</v>
      </c>
      <c r="F67" s="20" t="s">
        <v>897</v>
      </c>
      <c r="G67" s="20"/>
      <c r="H67" s="20"/>
      <c r="I67" s="20"/>
      <c r="J67" s="20" t="s">
        <v>898</v>
      </c>
      <c r="K67" t="e">
        <f>VLOOKUP(B67,Site!$B$1:$B$5698,2,0)</f>
        <v>#N/A</v>
      </c>
    </row>
    <row r="68" spans="1:11" x14ac:dyDescent="0.25">
      <c r="A68" s="19">
        <v>66</v>
      </c>
      <c r="B68" s="18" t="s">
        <v>540</v>
      </c>
      <c r="C68" s="18" t="s">
        <v>884</v>
      </c>
      <c r="D68" s="20">
        <v>42</v>
      </c>
      <c r="E68" s="20" t="s">
        <v>877</v>
      </c>
      <c r="F68" s="20" t="s">
        <v>897</v>
      </c>
      <c r="G68" s="20"/>
      <c r="H68" s="20"/>
      <c r="I68" s="20"/>
      <c r="J68" s="20" t="s">
        <v>898</v>
      </c>
      <c r="K68" t="e">
        <f>VLOOKUP(B68,Site!$B$1:$B$5698,2,0)</f>
        <v>#REF!</v>
      </c>
    </row>
    <row r="69" spans="1:11" x14ac:dyDescent="0.25">
      <c r="A69" s="19">
        <v>67</v>
      </c>
      <c r="B69" s="18" t="s">
        <v>469</v>
      </c>
      <c r="C69" s="18" t="s">
        <v>884</v>
      </c>
      <c r="D69" s="20">
        <v>36</v>
      </c>
      <c r="E69" s="20" t="s">
        <v>843</v>
      </c>
      <c r="F69" s="20" t="s">
        <v>897</v>
      </c>
      <c r="G69" s="20"/>
      <c r="H69" s="20"/>
      <c r="I69" s="20"/>
      <c r="J69" s="20" t="s">
        <v>898</v>
      </c>
      <c r="K69" t="e">
        <f>VLOOKUP(B69,Site!$B$1:$B$5698,2,0)</f>
        <v>#REF!</v>
      </c>
    </row>
    <row r="70" spans="1:11" x14ac:dyDescent="0.25">
      <c r="A70" s="19">
        <v>68</v>
      </c>
      <c r="B70" s="18" t="s">
        <v>470</v>
      </c>
      <c r="C70" s="18" t="s">
        <v>884</v>
      </c>
      <c r="D70" s="20">
        <v>36</v>
      </c>
      <c r="E70" s="20" t="s">
        <v>843</v>
      </c>
      <c r="F70" s="20" t="s">
        <v>897</v>
      </c>
      <c r="G70" s="20"/>
      <c r="H70" s="20"/>
      <c r="I70" s="20"/>
      <c r="J70" s="20" t="s">
        <v>898</v>
      </c>
      <c r="K70" t="e">
        <f>VLOOKUP(B70,Site!$B$1:$B$5698,2,0)</f>
        <v>#REF!</v>
      </c>
    </row>
    <row r="71" spans="1:11" x14ac:dyDescent="0.25">
      <c r="A71" s="19">
        <v>69</v>
      </c>
      <c r="B71" s="18" t="s">
        <v>483</v>
      </c>
      <c r="C71" s="18" t="s">
        <v>884</v>
      </c>
      <c r="D71" s="20">
        <v>30</v>
      </c>
      <c r="E71" s="20" t="s">
        <v>877</v>
      </c>
      <c r="F71" s="20" t="s">
        <v>897</v>
      </c>
      <c r="G71" s="20"/>
      <c r="H71" s="20"/>
      <c r="I71" s="20"/>
      <c r="J71" s="20" t="s">
        <v>898</v>
      </c>
      <c r="K71" t="e">
        <f>VLOOKUP(B71,Site!$B$1:$B$5698,2,0)</f>
        <v>#REF!</v>
      </c>
    </row>
    <row r="72" spans="1:11" x14ac:dyDescent="0.25">
      <c r="A72" s="19">
        <v>70</v>
      </c>
      <c r="B72" s="18" t="s">
        <v>541</v>
      </c>
      <c r="C72" s="18" t="s">
        <v>884</v>
      </c>
      <c r="D72" s="20">
        <v>42</v>
      </c>
      <c r="E72" s="20" t="s">
        <v>843</v>
      </c>
      <c r="F72" s="20" t="s">
        <v>897</v>
      </c>
      <c r="G72" s="20"/>
      <c r="H72" s="20"/>
      <c r="I72" s="20"/>
      <c r="J72" s="20" t="s">
        <v>898</v>
      </c>
      <c r="K72" t="e">
        <f>VLOOKUP(B72,Site!$B$1:$B$5698,2,0)</f>
        <v>#REF!</v>
      </c>
    </row>
    <row r="73" spans="1:11" x14ac:dyDescent="0.25">
      <c r="A73" s="19">
        <v>71</v>
      </c>
      <c r="B73" s="18" t="s">
        <v>533</v>
      </c>
      <c r="C73" s="18" t="s">
        <v>884</v>
      </c>
      <c r="D73" s="20">
        <v>39</v>
      </c>
      <c r="E73" s="20" t="s">
        <v>843</v>
      </c>
      <c r="F73" s="20" t="s">
        <v>897</v>
      </c>
      <c r="G73" s="20"/>
      <c r="H73" s="20"/>
      <c r="I73" s="20"/>
      <c r="J73" s="20" t="s">
        <v>898</v>
      </c>
      <c r="K73" t="e">
        <f>VLOOKUP(B73,Site!$B$1:$B$5698,2,0)</f>
        <v>#REF!</v>
      </c>
    </row>
    <row r="74" spans="1:11" x14ac:dyDescent="0.25">
      <c r="A74" s="19">
        <v>72</v>
      </c>
      <c r="B74" s="18" t="s">
        <v>534</v>
      </c>
      <c r="C74" s="18" t="s">
        <v>884</v>
      </c>
      <c r="D74" s="20">
        <v>30</v>
      </c>
      <c r="E74" s="20" t="s">
        <v>843</v>
      </c>
      <c r="F74" s="20" t="s">
        <v>897</v>
      </c>
      <c r="G74" s="20"/>
      <c r="H74" s="20"/>
      <c r="I74" s="20"/>
      <c r="J74" s="20" t="s">
        <v>898</v>
      </c>
      <c r="K74" t="e">
        <f>VLOOKUP(B74,Site!$B$1:$B$5698,2,0)</f>
        <v>#REF!</v>
      </c>
    </row>
    <row r="75" spans="1:11" x14ac:dyDescent="0.25">
      <c r="A75" s="19">
        <v>73</v>
      </c>
      <c r="B75" s="18" t="s">
        <v>505</v>
      </c>
      <c r="C75" s="18" t="s">
        <v>884</v>
      </c>
      <c r="D75" s="20">
        <v>30</v>
      </c>
      <c r="E75" s="20" t="s">
        <v>843</v>
      </c>
      <c r="F75" s="20" t="s">
        <v>897</v>
      </c>
      <c r="G75" s="20"/>
      <c r="H75" s="20"/>
      <c r="I75" s="20"/>
      <c r="J75" s="20" t="s">
        <v>898</v>
      </c>
      <c r="K75" t="e">
        <f>VLOOKUP(B75,Site!$B$1:$B$5698,2,0)</f>
        <v>#REF!</v>
      </c>
    </row>
    <row r="76" spans="1:11" x14ac:dyDescent="0.25">
      <c r="A76" s="19">
        <v>74</v>
      </c>
      <c r="B76" s="18" t="s">
        <v>506</v>
      </c>
      <c r="C76" s="18" t="s">
        <v>884</v>
      </c>
      <c r="D76" s="20">
        <v>30</v>
      </c>
      <c r="E76" s="20" t="s">
        <v>843</v>
      </c>
      <c r="F76" s="20" t="s">
        <v>897</v>
      </c>
      <c r="G76" s="20"/>
      <c r="H76" s="20"/>
      <c r="I76" s="20"/>
      <c r="J76" s="20" t="s">
        <v>898</v>
      </c>
      <c r="K76" t="e">
        <f>VLOOKUP(B76,Site!$B$1:$B$5698,2,0)</f>
        <v>#REF!</v>
      </c>
    </row>
    <row r="77" spans="1:11" x14ac:dyDescent="0.25">
      <c r="A77" s="19">
        <v>75</v>
      </c>
      <c r="B77" s="18" t="s">
        <v>507</v>
      </c>
      <c r="C77" s="18" t="s">
        <v>884</v>
      </c>
      <c r="D77" s="20">
        <v>39</v>
      </c>
      <c r="E77" s="20" t="s">
        <v>843</v>
      </c>
      <c r="F77" s="20" t="s">
        <v>897</v>
      </c>
      <c r="G77" s="20"/>
      <c r="H77" s="20"/>
      <c r="I77" s="20"/>
      <c r="J77" s="20" t="s">
        <v>898</v>
      </c>
      <c r="K77" t="e">
        <f>VLOOKUP(B77,Site!$B$1:$B$5698,2,0)</f>
        <v>#REF!</v>
      </c>
    </row>
    <row r="78" spans="1:11" x14ac:dyDescent="0.25">
      <c r="A78" s="19">
        <v>76</v>
      </c>
      <c r="B78" s="18" t="s">
        <v>515</v>
      </c>
      <c r="C78" s="18" t="s">
        <v>884</v>
      </c>
      <c r="D78" s="20">
        <v>42</v>
      </c>
      <c r="E78" s="20" t="s">
        <v>877</v>
      </c>
      <c r="F78" s="20" t="s">
        <v>897</v>
      </c>
      <c r="G78" s="20"/>
      <c r="H78" s="20"/>
      <c r="I78" s="20"/>
      <c r="J78" s="20" t="s">
        <v>898</v>
      </c>
      <c r="K78" t="e">
        <f>VLOOKUP(B78,Site!$B$1:$B$5698,2,0)</f>
        <v>#REF!</v>
      </c>
    </row>
    <row r="79" spans="1:11" x14ac:dyDescent="0.25">
      <c r="A79" s="19">
        <v>77</v>
      </c>
      <c r="B79" s="18" t="s">
        <v>9</v>
      </c>
      <c r="C79" s="18" t="s">
        <v>884</v>
      </c>
      <c r="D79" s="20">
        <v>45</v>
      </c>
      <c r="E79" s="20" t="s">
        <v>896</v>
      </c>
      <c r="F79" s="20" t="s">
        <v>899</v>
      </c>
      <c r="G79" s="20"/>
      <c r="H79" s="20"/>
      <c r="I79" s="20" t="s">
        <v>900</v>
      </c>
      <c r="J79" s="20" t="s">
        <v>901</v>
      </c>
      <c r="K79" t="e">
        <f>VLOOKUP(B79,Site!$B$1:$B$5698,2,0)</f>
        <v>#REF!</v>
      </c>
    </row>
    <row r="80" spans="1:11" x14ac:dyDescent="0.25">
      <c r="A80" s="19">
        <v>78</v>
      </c>
      <c r="B80" s="18" t="s">
        <v>216</v>
      </c>
      <c r="C80" s="18" t="s">
        <v>884</v>
      </c>
      <c r="D80" s="20">
        <v>29</v>
      </c>
      <c r="E80" s="20" t="s">
        <v>765</v>
      </c>
      <c r="F80" s="20" t="s">
        <v>894</v>
      </c>
      <c r="G80" s="20"/>
      <c r="H80" s="20"/>
      <c r="I80" s="20"/>
      <c r="J80" s="20" t="s">
        <v>895</v>
      </c>
      <c r="K80" t="e">
        <f>VLOOKUP(B80,Site!$B$1:$B$5698,2,0)</f>
        <v>#REF!</v>
      </c>
    </row>
    <row r="81" spans="1:11" x14ac:dyDescent="0.25">
      <c r="A81" s="19">
        <v>79</v>
      </c>
      <c r="B81" s="18" t="s">
        <v>217</v>
      </c>
      <c r="C81" s="18" t="s">
        <v>884</v>
      </c>
      <c r="D81" s="20">
        <v>42</v>
      </c>
      <c r="E81" s="20" t="s">
        <v>843</v>
      </c>
      <c r="F81" s="20" t="s">
        <v>894</v>
      </c>
      <c r="G81" s="20"/>
      <c r="H81" s="20"/>
      <c r="I81" s="20"/>
      <c r="J81" s="20" t="s">
        <v>895</v>
      </c>
      <c r="K81" t="e">
        <f>VLOOKUP(B81,Site!$B$1:$B$5698,2,0)</f>
        <v>#REF!</v>
      </c>
    </row>
    <row r="82" spans="1:11" x14ac:dyDescent="0.25">
      <c r="A82" s="19">
        <v>80</v>
      </c>
      <c r="B82" s="18" t="s">
        <v>218</v>
      </c>
      <c r="C82" s="18" t="s">
        <v>884</v>
      </c>
      <c r="D82" s="20">
        <v>45</v>
      </c>
      <c r="E82" s="20" t="s">
        <v>765</v>
      </c>
      <c r="F82" s="20" t="s">
        <v>894</v>
      </c>
      <c r="G82" s="20"/>
      <c r="H82" s="20"/>
      <c r="I82" s="20"/>
      <c r="J82" s="20" t="s">
        <v>895</v>
      </c>
      <c r="K82" t="e">
        <f>VLOOKUP(B82,Site!$B$1:$B$5698,2,0)</f>
        <v>#REF!</v>
      </c>
    </row>
    <row r="83" spans="1:11" x14ac:dyDescent="0.25">
      <c r="A83" s="19">
        <v>81</v>
      </c>
      <c r="B83" s="18" t="s">
        <v>219</v>
      </c>
      <c r="C83" s="18" t="s">
        <v>884</v>
      </c>
      <c r="D83" s="20">
        <v>45</v>
      </c>
      <c r="E83" s="20" t="s">
        <v>765</v>
      </c>
      <c r="F83" s="20" t="s">
        <v>894</v>
      </c>
      <c r="G83" s="20"/>
      <c r="H83" s="20"/>
      <c r="I83" s="20"/>
      <c r="J83" s="20" t="s">
        <v>895</v>
      </c>
      <c r="K83" t="e">
        <f>VLOOKUP(B83,Site!$B$1:$B$5698,2,0)</f>
        <v>#REF!</v>
      </c>
    </row>
    <row r="84" spans="1:11" x14ac:dyDescent="0.25">
      <c r="A84" s="19">
        <v>82</v>
      </c>
      <c r="B84" s="18" t="s">
        <v>220</v>
      </c>
      <c r="C84" s="18" t="s">
        <v>884</v>
      </c>
      <c r="D84" s="20">
        <v>42</v>
      </c>
      <c r="E84" s="20" t="s">
        <v>765</v>
      </c>
      <c r="F84" s="20" t="s">
        <v>894</v>
      </c>
      <c r="G84" s="20"/>
      <c r="H84" s="20"/>
      <c r="I84" s="20"/>
      <c r="J84" s="20" t="s">
        <v>895</v>
      </c>
      <c r="K84" t="e">
        <f>VLOOKUP(B84,Site!$B$1:$B$5698,2,0)</f>
        <v>#REF!</v>
      </c>
    </row>
    <row r="85" spans="1:11" x14ac:dyDescent="0.25">
      <c r="A85" s="19">
        <v>83</v>
      </c>
      <c r="B85" s="18" t="s">
        <v>221</v>
      </c>
      <c r="C85" s="18" t="s">
        <v>884</v>
      </c>
      <c r="D85" s="20">
        <v>42</v>
      </c>
      <c r="E85" s="20" t="s">
        <v>765</v>
      </c>
      <c r="F85" s="20" t="s">
        <v>894</v>
      </c>
      <c r="G85" s="20"/>
      <c r="H85" s="20"/>
      <c r="I85" s="20"/>
      <c r="J85" s="20" t="s">
        <v>895</v>
      </c>
      <c r="K85" t="e">
        <f>VLOOKUP(B85,Site!$B$1:$B$5698,2,0)</f>
        <v>#REF!</v>
      </c>
    </row>
    <row r="86" spans="1:11" x14ac:dyDescent="0.25">
      <c r="A86" s="19">
        <v>84</v>
      </c>
      <c r="B86" s="18" t="s">
        <v>222</v>
      </c>
      <c r="C86" s="18" t="s">
        <v>884</v>
      </c>
      <c r="D86" s="20">
        <v>42</v>
      </c>
      <c r="E86" s="20" t="s">
        <v>765</v>
      </c>
      <c r="F86" s="20" t="s">
        <v>894</v>
      </c>
      <c r="G86" s="20"/>
      <c r="H86" s="20"/>
      <c r="I86" s="20"/>
      <c r="J86" s="20" t="s">
        <v>895</v>
      </c>
      <c r="K86" t="e">
        <f>VLOOKUP(B86,Site!$B$1:$B$5698,2,0)</f>
        <v>#REF!</v>
      </c>
    </row>
    <row r="87" spans="1:11" x14ac:dyDescent="0.25">
      <c r="A87" s="19">
        <v>85</v>
      </c>
      <c r="B87" s="18" t="s">
        <v>223</v>
      </c>
      <c r="C87" s="18" t="s">
        <v>884</v>
      </c>
      <c r="D87" s="20">
        <v>45</v>
      </c>
      <c r="E87" s="20" t="s">
        <v>765</v>
      </c>
      <c r="F87" s="20" t="s">
        <v>894</v>
      </c>
      <c r="G87" s="20"/>
      <c r="H87" s="20"/>
      <c r="I87" s="20"/>
      <c r="J87" s="20" t="s">
        <v>895</v>
      </c>
      <c r="K87" t="e">
        <f>VLOOKUP(B87,Site!$B$1:$B$5698,2,0)</f>
        <v>#REF!</v>
      </c>
    </row>
    <row r="88" spans="1:11" x14ac:dyDescent="0.25">
      <c r="A88" s="19">
        <v>86</v>
      </c>
      <c r="B88" s="18" t="s">
        <v>224</v>
      </c>
      <c r="C88" s="18" t="s">
        <v>884</v>
      </c>
      <c r="D88" s="20">
        <v>45</v>
      </c>
      <c r="E88" s="20" t="s">
        <v>765</v>
      </c>
      <c r="F88" s="20" t="s">
        <v>894</v>
      </c>
      <c r="G88" s="20"/>
      <c r="H88" s="20"/>
      <c r="I88" s="20"/>
      <c r="J88" s="20" t="s">
        <v>895</v>
      </c>
      <c r="K88" t="e">
        <f>VLOOKUP(B88,Site!$B$1:$B$5698,2,0)</f>
        <v>#REF!</v>
      </c>
    </row>
    <row r="89" spans="1:11" x14ac:dyDescent="0.25">
      <c r="A89" s="19">
        <v>87</v>
      </c>
      <c r="B89" s="18" t="s">
        <v>225</v>
      </c>
      <c r="C89" s="18" t="s">
        <v>884</v>
      </c>
      <c r="D89" s="20">
        <v>45</v>
      </c>
      <c r="E89" s="20" t="s">
        <v>765</v>
      </c>
      <c r="F89" s="20" t="s">
        <v>894</v>
      </c>
      <c r="G89" s="20"/>
      <c r="H89" s="20"/>
      <c r="I89" s="20"/>
      <c r="J89" s="20" t="s">
        <v>895</v>
      </c>
      <c r="K89" t="e">
        <f>VLOOKUP(B89,Site!$B$1:$B$5698,2,0)</f>
        <v>#REF!</v>
      </c>
    </row>
    <row r="90" spans="1:11" x14ac:dyDescent="0.25">
      <c r="A90" s="19">
        <v>88</v>
      </c>
      <c r="B90" s="18" t="s">
        <v>226</v>
      </c>
      <c r="C90" s="18" t="s">
        <v>884</v>
      </c>
      <c r="D90" s="20">
        <v>42</v>
      </c>
      <c r="E90" s="20" t="s">
        <v>765</v>
      </c>
      <c r="F90" s="20" t="s">
        <v>894</v>
      </c>
      <c r="G90" s="20"/>
      <c r="H90" s="20"/>
      <c r="I90" s="20"/>
      <c r="J90" s="20" t="s">
        <v>895</v>
      </c>
      <c r="K90" t="e">
        <f>VLOOKUP(B90,Site!$B$1:$B$5698,2,0)</f>
        <v>#REF!</v>
      </c>
    </row>
    <row r="91" spans="1:11" x14ac:dyDescent="0.25">
      <c r="A91" s="19">
        <v>89</v>
      </c>
      <c r="B91" s="18" t="s">
        <v>227</v>
      </c>
      <c r="C91" s="18" t="s">
        <v>884</v>
      </c>
      <c r="D91" s="20">
        <v>45</v>
      </c>
      <c r="E91" s="20" t="s">
        <v>896</v>
      </c>
      <c r="F91" s="20" t="s">
        <v>902</v>
      </c>
      <c r="G91" s="20"/>
      <c r="H91" s="20"/>
      <c r="I91" s="20" t="s">
        <v>900</v>
      </c>
      <c r="J91" s="20" t="s">
        <v>901</v>
      </c>
      <c r="K91" t="e">
        <f>VLOOKUP(B91,Site!$B$1:$B$5698,2,0)</f>
        <v>#REF!</v>
      </c>
    </row>
    <row r="92" spans="1:11" x14ac:dyDescent="0.25">
      <c r="A92" s="19">
        <v>90</v>
      </c>
      <c r="B92" s="18" t="s">
        <v>412</v>
      </c>
      <c r="C92" s="18" t="s">
        <v>884</v>
      </c>
      <c r="D92" s="20">
        <v>42</v>
      </c>
      <c r="E92" s="20" t="s">
        <v>896</v>
      </c>
      <c r="F92" s="20" t="s">
        <v>894</v>
      </c>
      <c r="G92" s="20"/>
      <c r="H92" s="20"/>
      <c r="I92" s="20"/>
      <c r="J92" s="20" t="s">
        <v>895</v>
      </c>
      <c r="K92" t="e">
        <f>VLOOKUP(B92,Site!$B$1:$B$5698,2,0)</f>
        <v>#REF!</v>
      </c>
    </row>
    <row r="93" spans="1:11" x14ac:dyDescent="0.25">
      <c r="A93" s="19">
        <v>91</v>
      </c>
      <c r="B93" s="18" t="s">
        <v>228</v>
      </c>
      <c r="C93" s="18" t="s">
        <v>884</v>
      </c>
      <c r="D93" s="20">
        <v>42</v>
      </c>
      <c r="E93" s="20" t="s">
        <v>765</v>
      </c>
      <c r="F93" s="20" t="s">
        <v>894</v>
      </c>
      <c r="G93" s="20"/>
      <c r="H93" s="20"/>
      <c r="I93" s="20"/>
      <c r="J93" s="20" t="s">
        <v>895</v>
      </c>
      <c r="K93" t="e">
        <f>VLOOKUP(B93,Site!$B$1:$B$5698,2,0)</f>
        <v>#REF!</v>
      </c>
    </row>
    <row r="94" spans="1:11" x14ac:dyDescent="0.25">
      <c r="A94" s="19">
        <v>92</v>
      </c>
      <c r="B94" s="18" t="s">
        <v>229</v>
      </c>
      <c r="C94" s="18" t="s">
        <v>884</v>
      </c>
      <c r="D94" s="20">
        <v>42</v>
      </c>
      <c r="E94" s="20" t="s">
        <v>765</v>
      </c>
      <c r="F94" s="20" t="s">
        <v>894</v>
      </c>
      <c r="G94" s="20"/>
      <c r="H94" s="20"/>
      <c r="I94" s="20"/>
      <c r="J94" s="20" t="s">
        <v>895</v>
      </c>
      <c r="K94" t="e">
        <f>VLOOKUP(B94,Site!$B$1:$B$5698,2,0)</f>
        <v>#REF!</v>
      </c>
    </row>
    <row r="95" spans="1:11" x14ac:dyDescent="0.25">
      <c r="A95" s="19">
        <v>93</v>
      </c>
      <c r="B95" s="18" t="s">
        <v>230</v>
      </c>
      <c r="C95" s="18" t="s">
        <v>884</v>
      </c>
      <c r="D95" s="20">
        <v>45</v>
      </c>
      <c r="E95" s="20" t="s">
        <v>765</v>
      </c>
      <c r="F95" s="20" t="s">
        <v>894</v>
      </c>
      <c r="G95" s="20"/>
      <c r="H95" s="20"/>
      <c r="I95" s="20"/>
      <c r="J95" s="20" t="s">
        <v>895</v>
      </c>
      <c r="K95" t="e">
        <f>VLOOKUP(B95,Site!$B$1:$B$5698,2,0)</f>
        <v>#REF!</v>
      </c>
    </row>
    <row r="96" spans="1:11" x14ac:dyDescent="0.25">
      <c r="A96" s="19">
        <v>94</v>
      </c>
      <c r="B96" s="18" t="s">
        <v>231</v>
      </c>
      <c r="C96" s="18" t="s">
        <v>884</v>
      </c>
      <c r="D96" s="20">
        <v>45</v>
      </c>
      <c r="E96" s="20" t="s">
        <v>765</v>
      </c>
      <c r="F96" s="20" t="s">
        <v>894</v>
      </c>
      <c r="G96" s="20"/>
      <c r="H96" s="20"/>
      <c r="I96" s="20"/>
      <c r="J96" s="20" t="s">
        <v>895</v>
      </c>
      <c r="K96" t="e">
        <f>VLOOKUP(B96,Site!$B$1:$B$5698,2,0)</f>
        <v>#REF!</v>
      </c>
    </row>
    <row r="97" spans="1:11" x14ac:dyDescent="0.25">
      <c r="A97" s="19">
        <v>95</v>
      </c>
      <c r="B97" s="18" t="s">
        <v>232</v>
      </c>
      <c r="C97" s="18" t="s">
        <v>884</v>
      </c>
      <c r="D97" s="20">
        <v>45</v>
      </c>
      <c r="E97" s="20" t="s">
        <v>896</v>
      </c>
      <c r="F97" s="20" t="s">
        <v>894</v>
      </c>
      <c r="G97" s="20"/>
      <c r="H97" s="20"/>
      <c r="I97" s="20"/>
      <c r="J97" s="20" t="s">
        <v>895</v>
      </c>
      <c r="K97" t="e">
        <f>VLOOKUP(B97,Site!$B$1:$B$5698,2,0)</f>
        <v>#REF!</v>
      </c>
    </row>
    <row r="98" spans="1:11" x14ac:dyDescent="0.25">
      <c r="A98" s="19">
        <v>96</v>
      </c>
      <c r="B98" s="18" t="s">
        <v>233</v>
      </c>
      <c r="C98" s="18" t="s">
        <v>884</v>
      </c>
      <c r="D98" s="20">
        <v>30</v>
      </c>
      <c r="E98" s="20" t="s">
        <v>765</v>
      </c>
      <c r="F98" s="20" t="s">
        <v>894</v>
      </c>
      <c r="G98" s="20"/>
      <c r="H98" s="20"/>
      <c r="I98" s="20"/>
      <c r="J98" s="20" t="s">
        <v>895</v>
      </c>
      <c r="K98" t="e">
        <f>VLOOKUP(B98,Site!$B$1:$B$5698,2,0)</f>
        <v>#REF!</v>
      </c>
    </row>
    <row r="99" spans="1:11" x14ac:dyDescent="0.25">
      <c r="A99" s="19">
        <v>97</v>
      </c>
      <c r="B99" s="18" t="s">
        <v>234</v>
      </c>
      <c r="C99" s="18" t="s">
        <v>884</v>
      </c>
      <c r="D99" s="20">
        <v>42</v>
      </c>
      <c r="E99" s="20" t="s">
        <v>843</v>
      </c>
      <c r="F99" s="20" t="s">
        <v>894</v>
      </c>
      <c r="G99" s="20"/>
      <c r="H99" s="20"/>
      <c r="I99" s="20"/>
      <c r="J99" s="20" t="s">
        <v>895</v>
      </c>
      <c r="K99" t="e">
        <f>VLOOKUP(B99,Site!$B$1:$B$5698,2,0)</f>
        <v>#REF!</v>
      </c>
    </row>
    <row r="100" spans="1:11" x14ac:dyDescent="0.25">
      <c r="A100" s="19">
        <v>98</v>
      </c>
      <c r="B100" s="18" t="s">
        <v>235</v>
      </c>
      <c r="C100" s="18" t="s">
        <v>884</v>
      </c>
      <c r="D100" s="20">
        <v>42</v>
      </c>
      <c r="E100" s="20" t="s">
        <v>765</v>
      </c>
      <c r="F100" s="20" t="s">
        <v>894</v>
      </c>
      <c r="G100" s="20"/>
      <c r="H100" s="20"/>
      <c r="I100" s="20"/>
      <c r="J100" s="20" t="s">
        <v>895</v>
      </c>
      <c r="K100" t="e">
        <f>VLOOKUP(B100,Site!$B$1:$B$5698,2,0)</f>
        <v>#REF!</v>
      </c>
    </row>
    <row r="101" spans="1:11" x14ac:dyDescent="0.25">
      <c r="A101" s="19">
        <v>99</v>
      </c>
      <c r="B101" s="18" t="s">
        <v>236</v>
      </c>
      <c r="C101" s="18" t="s">
        <v>884</v>
      </c>
      <c r="D101" s="20">
        <v>42</v>
      </c>
      <c r="E101" s="20" t="s">
        <v>765</v>
      </c>
      <c r="F101" s="20" t="s">
        <v>894</v>
      </c>
      <c r="G101" s="20"/>
      <c r="H101" s="20"/>
      <c r="I101" s="20"/>
      <c r="J101" s="20" t="s">
        <v>895</v>
      </c>
      <c r="K101" t="e">
        <f>VLOOKUP(B101,Site!$B$1:$B$5698,2,0)</f>
        <v>#REF!</v>
      </c>
    </row>
    <row r="102" spans="1:11" x14ac:dyDescent="0.25">
      <c r="A102" s="19">
        <v>100</v>
      </c>
      <c r="B102" s="18" t="s">
        <v>237</v>
      </c>
      <c r="C102" s="18" t="s">
        <v>884</v>
      </c>
      <c r="D102" s="20">
        <v>42</v>
      </c>
      <c r="E102" s="20" t="s">
        <v>765</v>
      </c>
      <c r="F102" s="20" t="s">
        <v>894</v>
      </c>
      <c r="G102" s="20"/>
      <c r="H102" s="20"/>
      <c r="I102" s="20"/>
      <c r="J102" s="20" t="s">
        <v>895</v>
      </c>
      <c r="K102" t="e">
        <f>VLOOKUP(B102,Site!$B$1:$B$5698,2,0)</f>
        <v>#REF!</v>
      </c>
    </row>
    <row r="103" spans="1:11" x14ac:dyDescent="0.25">
      <c r="A103" s="19">
        <v>101</v>
      </c>
      <c r="B103" s="18" t="s">
        <v>238</v>
      </c>
      <c r="C103" s="18" t="s">
        <v>884</v>
      </c>
      <c r="D103" s="20">
        <v>42</v>
      </c>
      <c r="E103" s="20" t="s">
        <v>765</v>
      </c>
      <c r="F103" s="20" t="s">
        <v>894</v>
      </c>
      <c r="G103" s="20"/>
      <c r="H103" s="20"/>
      <c r="I103" s="20"/>
      <c r="J103" s="20" t="s">
        <v>895</v>
      </c>
      <c r="K103" t="e">
        <f>VLOOKUP(B103,Site!$B$1:$B$5698,2,0)</f>
        <v>#REF!</v>
      </c>
    </row>
    <row r="104" spans="1:11" x14ac:dyDescent="0.25">
      <c r="A104" s="19">
        <v>102</v>
      </c>
      <c r="B104" s="18" t="s">
        <v>334</v>
      </c>
      <c r="C104" s="18" t="s">
        <v>884</v>
      </c>
      <c r="D104" s="20">
        <v>42</v>
      </c>
      <c r="E104" s="20" t="s">
        <v>843</v>
      </c>
      <c r="F104" s="20" t="s">
        <v>894</v>
      </c>
      <c r="G104" s="20"/>
      <c r="H104" s="20"/>
      <c r="I104" s="20"/>
      <c r="J104" s="20" t="s">
        <v>895</v>
      </c>
      <c r="K104" t="e">
        <f>VLOOKUP(B104,Site!$B$1:$B$5698,2,0)</f>
        <v>#REF!</v>
      </c>
    </row>
    <row r="105" spans="1:11" x14ac:dyDescent="0.25">
      <c r="A105" s="19">
        <v>103</v>
      </c>
      <c r="B105" s="18" t="s">
        <v>335</v>
      </c>
      <c r="C105" s="18" t="s">
        <v>884</v>
      </c>
      <c r="D105" s="20">
        <v>42</v>
      </c>
      <c r="E105" s="20" t="s">
        <v>843</v>
      </c>
      <c r="F105" s="20" t="s">
        <v>894</v>
      </c>
      <c r="G105" s="20"/>
      <c r="H105" s="20"/>
      <c r="I105" s="20"/>
      <c r="J105" s="20" t="s">
        <v>895</v>
      </c>
      <c r="K105" t="e">
        <f>VLOOKUP(B105,Site!$B$1:$B$5698,2,0)</f>
        <v>#REF!</v>
      </c>
    </row>
    <row r="106" spans="1:11" x14ac:dyDescent="0.25">
      <c r="A106" s="19">
        <v>104</v>
      </c>
      <c r="B106" s="18" t="s">
        <v>336</v>
      </c>
      <c r="C106" s="18" t="s">
        <v>884</v>
      </c>
      <c r="D106" s="20">
        <v>42</v>
      </c>
      <c r="E106" s="20" t="s">
        <v>843</v>
      </c>
      <c r="F106" s="20" t="s">
        <v>894</v>
      </c>
      <c r="G106" s="20"/>
      <c r="H106" s="20"/>
      <c r="I106" s="20"/>
      <c r="J106" s="20" t="s">
        <v>895</v>
      </c>
      <c r="K106" t="e">
        <f>VLOOKUP(B106,Site!$B$1:$B$5698,2,0)</f>
        <v>#REF!</v>
      </c>
    </row>
    <row r="107" spans="1:11" x14ac:dyDescent="0.25">
      <c r="A107" s="19">
        <v>105</v>
      </c>
      <c r="B107" s="18" t="s">
        <v>333</v>
      </c>
      <c r="C107" s="18" t="s">
        <v>884</v>
      </c>
      <c r="D107" s="20">
        <v>45</v>
      </c>
      <c r="E107" s="20" t="s">
        <v>896</v>
      </c>
      <c r="F107" s="20" t="s">
        <v>902</v>
      </c>
      <c r="G107" s="20"/>
      <c r="H107" s="20"/>
      <c r="I107" s="20" t="s">
        <v>900</v>
      </c>
      <c r="J107" s="20" t="s">
        <v>901</v>
      </c>
      <c r="K107" t="e">
        <f>VLOOKUP(B107,Site!$B$1:$B$5698,2,0)</f>
        <v>#REF!</v>
      </c>
    </row>
    <row r="108" spans="1:11" x14ac:dyDescent="0.25">
      <c r="A108" s="19">
        <v>106</v>
      </c>
      <c r="B108" s="18" t="s">
        <v>337</v>
      </c>
      <c r="C108" s="18" t="s">
        <v>884</v>
      </c>
      <c r="D108" s="20">
        <v>45</v>
      </c>
      <c r="E108" s="20" t="s">
        <v>896</v>
      </c>
      <c r="F108" s="20" t="s">
        <v>894</v>
      </c>
      <c r="G108" s="20"/>
      <c r="H108" s="20"/>
      <c r="I108" s="20"/>
      <c r="J108" s="20" t="s">
        <v>895</v>
      </c>
      <c r="K108" t="e">
        <f>VLOOKUP(B108,Site!$B$1:$B$5698,2,0)</f>
        <v>#REF!</v>
      </c>
    </row>
    <row r="109" spans="1:11" x14ac:dyDescent="0.25">
      <c r="A109" s="19">
        <v>107</v>
      </c>
      <c r="B109" s="18" t="s">
        <v>328</v>
      </c>
      <c r="C109" s="18" t="s">
        <v>884</v>
      </c>
      <c r="D109" s="20">
        <v>45</v>
      </c>
      <c r="E109" s="20" t="s">
        <v>896</v>
      </c>
      <c r="F109" s="20" t="s">
        <v>894</v>
      </c>
      <c r="G109" s="20"/>
      <c r="H109" s="20"/>
      <c r="I109" s="20"/>
      <c r="J109" s="20" t="s">
        <v>895</v>
      </c>
      <c r="K109" t="e">
        <f>VLOOKUP(B109,Site!$B$1:$B$5698,2,0)</f>
        <v>#REF!</v>
      </c>
    </row>
    <row r="110" spans="1:11" x14ac:dyDescent="0.25">
      <c r="A110" s="19">
        <v>108</v>
      </c>
      <c r="B110" s="18" t="s">
        <v>325</v>
      </c>
      <c r="C110" s="18" t="s">
        <v>884</v>
      </c>
      <c r="D110" s="20">
        <v>42</v>
      </c>
      <c r="E110" s="20" t="s">
        <v>765</v>
      </c>
      <c r="F110" s="20" t="s">
        <v>894</v>
      </c>
      <c r="G110" s="20"/>
      <c r="H110" s="20"/>
      <c r="I110" s="20"/>
      <c r="J110" s="20" t="s">
        <v>895</v>
      </c>
      <c r="K110" t="e">
        <f>VLOOKUP(B110,Site!$B$1:$B$5698,2,0)</f>
        <v>#REF!</v>
      </c>
    </row>
    <row r="111" spans="1:11" x14ac:dyDescent="0.25">
      <c r="A111" s="19">
        <v>109</v>
      </c>
      <c r="B111" s="18" t="s">
        <v>542</v>
      </c>
      <c r="C111" s="18" t="s">
        <v>884</v>
      </c>
      <c r="D111" s="20">
        <v>42</v>
      </c>
      <c r="E111" s="20" t="s">
        <v>843</v>
      </c>
      <c r="F111" s="20" t="s">
        <v>897</v>
      </c>
      <c r="G111" s="20"/>
      <c r="H111" s="20"/>
      <c r="I111" s="20"/>
      <c r="J111" s="20" t="s">
        <v>898</v>
      </c>
      <c r="K111" t="e">
        <f>VLOOKUP(B111,Site!$B$1:$B$5698,2,0)</f>
        <v>#REF!</v>
      </c>
    </row>
    <row r="112" spans="1:11" x14ac:dyDescent="0.25">
      <c r="A112" s="19">
        <v>110</v>
      </c>
      <c r="B112" s="18" t="s">
        <v>496</v>
      </c>
      <c r="C112" s="18" t="s">
        <v>884</v>
      </c>
      <c r="D112" s="20">
        <v>42</v>
      </c>
      <c r="E112" s="20" t="s">
        <v>843</v>
      </c>
      <c r="F112" s="20" t="s">
        <v>897</v>
      </c>
      <c r="G112" s="20"/>
      <c r="H112" s="20"/>
      <c r="I112" s="20"/>
      <c r="J112" s="20" t="s">
        <v>898</v>
      </c>
      <c r="K112" t="e">
        <f>VLOOKUP(B112,Site!$B$1:$B$5698,2,0)</f>
        <v>#REF!</v>
      </c>
    </row>
    <row r="113" spans="1:11" x14ac:dyDescent="0.25">
      <c r="A113" s="19">
        <v>111</v>
      </c>
      <c r="B113" s="18" t="s">
        <v>497</v>
      </c>
      <c r="C113" s="18" t="s">
        <v>884</v>
      </c>
      <c r="D113" s="20">
        <v>42</v>
      </c>
      <c r="E113" s="20" t="s">
        <v>843</v>
      </c>
      <c r="F113" s="20" t="s">
        <v>897</v>
      </c>
      <c r="G113" s="20"/>
      <c r="H113" s="20"/>
      <c r="I113" s="20"/>
      <c r="J113" s="20" t="s">
        <v>898</v>
      </c>
      <c r="K113" t="e">
        <f>VLOOKUP(B113,Site!$B$1:$B$5698,2,0)</f>
        <v>#REF!</v>
      </c>
    </row>
    <row r="114" spans="1:11" x14ac:dyDescent="0.25">
      <c r="A114" s="19">
        <v>112</v>
      </c>
      <c r="B114" s="18" t="s">
        <v>517</v>
      </c>
      <c r="C114" s="18" t="s">
        <v>884</v>
      </c>
      <c r="D114" s="20">
        <v>42</v>
      </c>
      <c r="E114" s="20" t="s">
        <v>843</v>
      </c>
      <c r="F114" s="20" t="s">
        <v>897</v>
      </c>
      <c r="G114" s="20"/>
      <c r="H114" s="20"/>
      <c r="I114" s="20"/>
      <c r="J114" s="20" t="s">
        <v>898</v>
      </c>
      <c r="K114" t="e">
        <f>VLOOKUP(B114,Site!$B$1:$B$5698,2,0)</f>
        <v>#REF!</v>
      </c>
    </row>
    <row r="115" spans="1:11" x14ac:dyDescent="0.25">
      <c r="A115" s="19">
        <v>113</v>
      </c>
      <c r="B115" s="18" t="s">
        <v>518</v>
      </c>
      <c r="C115" s="18" t="s">
        <v>884</v>
      </c>
      <c r="D115" s="20">
        <v>42</v>
      </c>
      <c r="E115" s="20" t="s">
        <v>843</v>
      </c>
      <c r="F115" s="20" t="s">
        <v>897</v>
      </c>
      <c r="G115" s="20"/>
      <c r="H115" s="20"/>
      <c r="I115" s="20"/>
      <c r="J115" s="20" t="s">
        <v>898</v>
      </c>
      <c r="K115" t="e">
        <f>VLOOKUP(B115,Site!$B$1:$B$5698,2,0)</f>
        <v>#REF!</v>
      </c>
    </row>
    <row r="116" spans="1:11" x14ac:dyDescent="0.25">
      <c r="A116" s="19">
        <v>114</v>
      </c>
      <c r="B116" s="18" t="s">
        <v>519</v>
      </c>
      <c r="C116" s="18" t="s">
        <v>884</v>
      </c>
      <c r="D116" s="20">
        <v>42</v>
      </c>
      <c r="E116" s="20" t="s">
        <v>843</v>
      </c>
      <c r="F116" s="20" t="s">
        <v>897</v>
      </c>
      <c r="G116" s="20"/>
      <c r="H116" s="20"/>
      <c r="I116" s="20"/>
      <c r="J116" s="20" t="s">
        <v>898</v>
      </c>
      <c r="K116" t="e">
        <f>VLOOKUP(B116,Site!$B$1:$B$5698,2,0)</f>
        <v>#REF!</v>
      </c>
    </row>
    <row r="117" spans="1:11" x14ac:dyDescent="0.25">
      <c r="A117" s="19">
        <v>115</v>
      </c>
      <c r="B117" s="18" t="s">
        <v>516</v>
      </c>
      <c r="C117" s="18" t="s">
        <v>884</v>
      </c>
      <c r="D117" s="20">
        <v>42</v>
      </c>
      <c r="E117" s="20" t="s">
        <v>843</v>
      </c>
      <c r="F117" s="20" t="s">
        <v>897</v>
      </c>
      <c r="G117" s="20"/>
      <c r="H117" s="20"/>
      <c r="I117" s="20"/>
      <c r="J117" s="20" t="s">
        <v>898</v>
      </c>
      <c r="K117" t="e">
        <f>VLOOKUP(B117,Site!$B$1:$B$5698,2,0)</f>
        <v>#REF!</v>
      </c>
    </row>
    <row r="118" spans="1:11" x14ac:dyDescent="0.25">
      <c r="A118" s="19">
        <v>116</v>
      </c>
      <c r="B118" s="18" t="s">
        <v>520</v>
      </c>
      <c r="C118" s="18" t="s">
        <v>884</v>
      </c>
      <c r="D118" s="20">
        <v>42</v>
      </c>
      <c r="E118" s="20" t="s">
        <v>843</v>
      </c>
      <c r="F118" s="20" t="s">
        <v>897</v>
      </c>
      <c r="G118" s="20"/>
      <c r="H118" s="20"/>
      <c r="I118" s="20"/>
      <c r="J118" s="20" t="s">
        <v>898</v>
      </c>
      <c r="K118" t="e">
        <f>VLOOKUP(B118,Site!$B$1:$B$5698,2,0)</f>
        <v>#REF!</v>
      </c>
    </row>
    <row r="119" spans="1:11" x14ac:dyDescent="0.25">
      <c r="A119" s="19">
        <v>117</v>
      </c>
      <c r="B119" s="18" t="s">
        <v>187</v>
      </c>
      <c r="C119" s="18" t="s">
        <v>884</v>
      </c>
      <c r="D119" s="20">
        <v>30</v>
      </c>
      <c r="E119" s="20" t="s">
        <v>843</v>
      </c>
      <c r="F119" s="20" t="s">
        <v>894</v>
      </c>
      <c r="G119" s="20"/>
      <c r="H119" s="20"/>
      <c r="I119" s="20"/>
      <c r="J119" s="20" t="s">
        <v>895</v>
      </c>
      <c r="K119" t="e">
        <f>VLOOKUP(B119,Site!$B$1:$B$5698,2,0)</f>
        <v>#REF!</v>
      </c>
    </row>
    <row r="120" spans="1:11" x14ac:dyDescent="0.25">
      <c r="A120" s="19">
        <v>118</v>
      </c>
      <c r="B120" s="18" t="s">
        <v>127</v>
      </c>
      <c r="C120" s="18" t="s">
        <v>884</v>
      </c>
      <c r="D120" s="20">
        <v>48</v>
      </c>
      <c r="E120" s="20" t="s">
        <v>765</v>
      </c>
      <c r="F120" s="20" t="s">
        <v>894</v>
      </c>
      <c r="G120" s="20"/>
      <c r="H120" s="20"/>
      <c r="I120" s="20"/>
      <c r="J120" s="20" t="s">
        <v>895</v>
      </c>
      <c r="K120" t="e">
        <f>VLOOKUP(B120,Site!$B$1:$B$5698,2,0)</f>
        <v>#REF!</v>
      </c>
    </row>
    <row r="121" spans="1:11" x14ac:dyDescent="0.25">
      <c r="A121" s="19">
        <v>119</v>
      </c>
      <c r="B121" s="18" t="s">
        <v>188</v>
      </c>
      <c r="C121" s="18" t="s">
        <v>884</v>
      </c>
      <c r="D121" s="20">
        <v>42</v>
      </c>
      <c r="E121" s="20" t="s">
        <v>765</v>
      </c>
      <c r="F121" s="20" t="s">
        <v>894</v>
      </c>
      <c r="G121" s="20"/>
      <c r="H121" s="20"/>
      <c r="I121" s="20"/>
      <c r="J121" s="20" t="s">
        <v>895</v>
      </c>
      <c r="K121" t="e">
        <f>VLOOKUP(B121,Site!$B$1:$B$5698,2,0)</f>
        <v>#REF!</v>
      </c>
    </row>
    <row r="122" spans="1:11" x14ac:dyDescent="0.25">
      <c r="A122" s="19">
        <v>120</v>
      </c>
      <c r="B122" s="18" t="s">
        <v>189</v>
      </c>
      <c r="C122" s="18" t="s">
        <v>884</v>
      </c>
      <c r="D122" s="20">
        <v>42</v>
      </c>
      <c r="E122" s="20" t="s">
        <v>760</v>
      </c>
      <c r="F122" s="20" t="s">
        <v>894</v>
      </c>
      <c r="G122" s="20"/>
      <c r="H122" s="20"/>
      <c r="I122" s="20"/>
      <c r="J122" s="20" t="s">
        <v>895</v>
      </c>
      <c r="K122" t="e">
        <f>VLOOKUP(B122,Site!$B$1:$B$5698,2,0)</f>
        <v>#REF!</v>
      </c>
    </row>
    <row r="123" spans="1:11" x14ac:dyDescent="0.25">
      <c r="A123" s="19">
        <v>121</v>
      </c>
      <c r="B123" s="18" t="s">
        <v>190</v>
      </c>
      <c r="C123" s="18" t="s">
        <v>884</v>
      </c>
      <c r="D123" s="20">
        <v>48</v>
      </c>
      <c r="E123" s="20" t="s">
        <v>765</v>
      </c>
      <c r="F123" s="20" t="s">
        <v>894</v>
      </c>
      <c r="G123" s="20"/>
      <c r="H123" s="20"/>
      <c r="I123" s="20"/>
      <c r="J123" s="20" t="s">
        <v>895</v>
      </c>
      <c r="K123" t="e">
        <f>VLOOKUP(B123,Site!$B$1:$B$5698,2,0)</f>
        <v>#REF!</v>
      </c>
    </row>
    <row r="124" spans="1:11" x14ac:dyDescent="0.25">
      <c r="A124" s="19">
        <v>122</v>
      </c>
      <c r="B124" s="18" t="s">
        <v>128</v>
      </c>
      <c r="C124" s="18" t="s">
        <v>882</v>
      </c>
      <c r="D124" s="20">
        <v>35</v>
      </c>
      <c r="E124" s="20" t="s">
        <v>760</v>
      </c>
      <c r="F124" s="20" t="s">
        <v>894</v>
      </c>
      <c r="G124" s="20"/>
      <c r="H124" s="20"/>
      <c r="I124" s="20"/>
      <c r="J124" s="20" t="s">
        <v>895</v>
      </c>
      <c r="K124" t="e">
        <f>VLOOKUP(B124,Site!$B$1:$B$5698,2,0)</f>
        <v>#REF!</v>
      </c>
    </row>
    <row r="125" spans="1:11" x14ac:dyDescent="0.25">
      <c r="A125" s="19">
        <v>123</v>
      </c>
      <c r="B125" s="18" t="s">
        <v>123</v>
      </c>
      <c r="C125" s="18" t="s">
        <v>884</v>
      </c>
      <c r="D125" s="20">
        <v>45</v>
      </c>
      <c r="E125" s="20" t="s">
        <v>765</v>
      </c>
      <c r="F125" s="20" t="s">
        <v>894</v>
      </c>
      <c r="G125" s="20"/>
      <c r="H125" s="20"/>
      <c r="I125" s="20"/>
      <c r="J125" s="20" t="s">
        <v>895</v>
      </c>
      <c r="K125" t="e">
        <f>VLOOKUP(B125,Site!$B$1:$B$5698,2,0)</f>
        <v>#REF!</v>
      </c>
    </row>
    <row r="126" spans="1:11" x14ac:dyDescent="0.25">
      <c r="A126" s="19">
        <v>124</v>
      </c>
      <c r="B126" s="18" t="s">
        <v>191</v>
      </c>
      <c r="C126" s="18" t="s">
        <v>884</v>
      </c>
      <c r="D126" s="20">
        <v>48</v>
      </c>
      <c r="E126" s="20" t="s">
        <v>765</v>
      </c>
      <c r="F126" s="20" t="s">
        <v>894</v>
      </c>
      <c r="G126" s="20"/>
      <c r="H126" s="20"/>
      <c r="I126" s="20"/>
      <c r="J126" s="20" t="s">
        <v>895</v>
      </c>
      <c r="K126" t="e">
        <f>VLOOKUP(B126,Site!$B$1:$B$5698,2,0)</f>
        <v>#REF!</v>
      </c>
    </row>
    <row r="127" spans="1:11" x14ac:dyDescent="0.25">
      <c r="A127" s="19">
        <v>125</v>
      </c>
      <c r="B127" s="18" t="s">
        <v>192</v>
      </c>
      <c r="C127" s="18" t="s">
        <v>884</v>
      </c>
      <c r="D127" s="20">
        <v>45</v>
      </c>
      <c r="E127" s="20" t="s">
        <v>765</v>
      </c>
      <c r="F127" s="20" t="s">
        <v>894</v>
      </c>
      <c r="G127" s="20"/>
      <c r="H127" s="20"/>
      <c r="I127" s="20"/>
      <c r="J127" s="20" t="s">
        <v>895</v>
      </c>
      <c r="K127" t="e">
        <f>VLOOKUP(B127,Site!$B$1:$B$5698,2,0)</f>
        <v>#REF!</v>
      </c>
    </row>
    <row r="128" spans="1:11" x14ac:dyDescent="0.25">
      <c r="A128" s="19">
        <v>126</v>
      </c>
      <c r="B128" s="18" t="s">
        <v>193</v>
      </c>
      <c r="C128" s="18" t="s">
        <v>884</v>
      </c>
      <c r="D128" s="20">
        <v>45</v>
      </c>
      <c r="E128" s="20" t="s">
        <v>765</v>
      </c>
      <c r="F128" s="20" t="s">
        <v>894</v>
      </c>
      <c r="G128" s="20"/>
      <c r="H128" s="20"/>
      <c r="I128" s="20"/>
      <c r="J128" s="20" t="s">
        <v>895</v>
      </c>
      <c r="K128" t="e">
        <f>VLOOKUP(B128,Site!$B$1:$B$5698,2,0)</f>
        <v>#REF!</v>
      </c>
    </row>
    <row r="129" spans="1:11" x14ac:dyDescent="0.25">
      <c r="A129" s="19">
        <v>127</v>
      </c>
      <c r="B129" s="18" t="s">
        <v>194</v>
      </c>
      <c r="C129" s="18" t="s">
        <v>884</v>
      </c>
      <c r="D129" s="20">
        <v>45</v>
      </c>
      <c r="E129" s="20" t="s">
        <v>765</v>
      </c>
      <c r="F129" s="20" t="s">
        <v>894</v>
      </c>
      <c r="G129" s="20"/>
      <c r="H129" s="20"/>
      <c r="I129" s="20"/>
      <c r="J129" s="20" t="s">
        <v>895</v>
      </c>
      <c r="K129" t="e">
        <f>VLOOKUP(B129,Site!$B$1:$B$5698,2,0)</f>
        <v>#REF!</v>
      </c>
    </row>
    <row r="130" spans="1:11" x14ac:dyDescent="0.25">
      <c r="A130" s="19">
        <v>128</v>
      </c>
      <c r="B130" s="18" t="s">
        <v>195</v>
      </c>
      <c r="C130" s="18" t="s">
        <v>884</v>
      </c>
      <c r="D130" s="20">
        <v>42</v>
      </c>
      <c r="E130" s="20" t="s">
        <v>765</v>
      </c>
      <c r="F130" s="20" t="s">
        <v>894</v>
      </c>
      <c r="G130" s="20"/>
      <c r="H130" s="20"/>
      <c r="I130" s="20"/>
      <c r="J130" s="20" t="s">
        <v>895</v>
      </c>
      <c r="K130" t="e">
        <f>VLOOKUP(B130,Site!$B$1:$B$5698,2,0)</f>
        <v>#REF!</v>
      </c>
    </row>
    <row r="131" spans="1:11" x14ac:dyDescent="0.25">
      <c r="A131" s="19">
        <v>129</v>
      </c>
      <c r="B131" s="18" t="s">
        <v>196</v>
      </c>
      <c r="C131" s="18" t="s">
        <v>884</v>
      </c>
      <c r="D131" s="20">
        <v>45</v>
      </c>
      <c r="E131" s="20" t="s">
        <v>765</v>
      </c>
      <c r="F131" s="20" t="s">
        <v>894</v>
      </c>
      <c r="G131" s="20"/>
      <c r="H131" s="20"/>
      <c r="I131" s="20"/>
      <c r="J131" s="20" t="s">
        <v>895</v>
      </c>
      <c r="K131" t="e">
        <f>VLOOKUP(B131,Site!$B$1:$B$5698,2,0)</f>
        <v>#REF!</v>
      </c>
    </row>
    <row r="132" spans="1:11" x14ac:dyDescent="0.25">
      <c r="A132" s="19">
        <v>130</v>
      </c>
      <c r="B132" s="18" t="s">
        <v>197</v>
      </c>
      <c r="C132" s="18" t="s">
        <v>884</v>
      </c>
      <c r="D132" s="20">
        <v>33</v>
      </c>
      <c r="E132" s="20" t="s">
        <v>843</v>
      </c>
      <c r="F132" s="20" t="s">
        <v>894</v>
      </c>
      <c r="G132" s="20"/>
      <c r="H132" s="20"/>
      <c r="I132" s="20"/>
      <c r="J132" s="20" t="s">
        <v>895</v>
      </c>
      <c r="K132" t="e">
        <f>VLOOKUP(B132,Site!$B$1:$B$5698,2,0)</f>
        <v>#REF!</v>
      </c>
    </row>
    <row r="133" spans="1:11" x14ac:dyDescent="0.25">
      <c r="A133" s="19">
        <v>131</v>
      </c>
      <c r="B133" s="18" t="s">
        <v>198</v>
      </c>
      <c r="C133" s="18" t="s">
        <v>884</v>
      </c>
      <c r="D133" s="20">
        <v>30</v>
      </c>
      <c r="E133" s="20" t="s">
        <v>843</v>
      </c>
      <c r="F133" s="20" t="s">
        <v>894</v>
      </c>
      <c r="G133" s="20"/>
      <c r="H133" s="20"/>
      <c r="I133" s="20"/>
      <c r="J133" s="20" t="s">
        <v>895</v>
      </c>
      <c r="K133" t="e">
        <f>VLOOKUP(B133,Site!$B$1:$B$5698,2,0)</f>
        <v>#REF!</v>
      </c>
    </row>
    <row r="134" spans="1:11" x14ac:dyDescent="0.25">
      <c r="A134" s="19">
        <v>132</v>
      </c>
      <c r="B134" s="18" t="s">
        <v>199</v>
      </c>
      <c r="C134" s="18" t="s">
        <v>884</v>
      </c>
      <c r="D134" s="20">
        <v>30</v>
      </c>
      <c r="E134" s="20" t="s">
        <v>843</v>
      </c>
      <c r="F134" s="20" t="s">
        <v>894</v>
      </c>
      <c r="G134" s="20"/>
      <c r="H134" s="20"/>
      <c r="I134" s="20"/>
      <c r="J134" s="20" t="s">
        <v>895</v>
      </c>
      <c r="K134" t="e">
        <f>VLOOKUP(B134,Site!$B$1:$B$5698,2,0)</f>
        <v>#REF!</v>
      </c>
    </row>
    <row r="135" spans="1:11" x14ac:dyDescent="0.25">
      <c r="A135" s="19">
        <v>133</v>
      </c>
      <c r="B135" s="18" t="s">
        <v>80</v>
      </c>
      <c r="C135" s="18" t="s">
        <v>884</v>
      </c>
      <c r="D135" s="20">
        <v>30</v>
      </c>
      <c r="E135" s="20" t="s">
        <v>765</v>
      </c>
      <c r="F135" s="20" t="s">
        <v>894</v>
      </c>
      <c r="G135" s="20"/>
      <c r="H135" s="20"/>
      <c r="I135" s="20"/>
      <c r="J135" s="20" t="s">
        <v>895</v>
      </c>
      <c r="K135" t="e">
        <f>VLOOKUP(B135,Site!$B$1:$B$5698,2,0)</f>
        <v>#REF!</v>
      </c>
    </row>
    <row r="136" spans="1:11" x14ac:dyDescent="0.25">
      <c r="A136" s="19">
        <v>134</v>
      </c>
      <c r="B136" s="18" t="s">
        <v>81</v>
      </c>
      <c r="C136" s="18" t="s">
        <v>884</v>
      </c>
      <c r="D136" s="20">
        <v>32</v>
      </c>
      <c r="E136" s="20" t="s">
        <v>765</v>
      </c>
      <c r="F136" s="20" t="s">
        <v>894</v>
      </c>
      <c r="G136" s="20"/>
      <c r="H136" s="20"/>
      <c r="I136" s="20"/>
      <c r="J136" s="20" t="s">
        <v>895</v>
      </c>
      <c r="K136" t="e">
        <f>VLOOKUP(B136,Site!$B$1:$B$5698,2,0)</f>
        <v>#REF!</v>
      </c>
    </row>
    <row r="137" spans="1:11" x14ac:dyDescent="0.25">
      <c r="A137" s="19">
        <v>135</v>
      </c>
      <c r="B137" s="18" t="s">
        <v>82</v>
      </c>
      <c r="C137" s="18" t="s">
        <v>884</v>
      </c>
      <c r="D137" s="20">
        <v>39</v>
      </c>
      <c r="E137" s="20" t="s">
        <v>765</v>
      </c>
      <c r="F137" s="20" t="s">
        <v>894</v>
      </c>
      <c r="G137" s="20"/>
      <c r="H137" s="20"/>
      <c r="I137" s="20"/>
      <c r="J137" s="20" t="s">
        <v>895</v>
      </c>
      <c r="K137" t="e">
        <f>VLOOKUP(B137,Site!$B$1:$B$5698,2,0)</f>
        <v>#REF!</v>
      </c>
    </row>
    <row r="138" spans="1:11" x14ac:dyDescent="0.25">
      <c r="A138" s="19">
        <v>136</v>
      </c>
      <c r="B138" s="18" t="s">
        <v>201</v>
      </c>
      <c r="C138" s="18" t="s">
        <v>884</v>
      </c>
      <c r="D138" s="20">
        <v>45</v>
      </c>
      <c r="E138" s="20" t="s">
        <v>896</v>
      </c>
      <c r="F138" s="20" t="s">
        <v>902</v>
      </c>
      <c r="G138" s="20"/>
      <c r="H138" s="20"/>
      <c r="I138" s="20" t="s">
        <v>900</v>
      </c>
      <c r="J138" s="20" t="s">
        <v>901</v>
      </c>
      <c r="K138" t="e">
        <f>VLOOKUP(B138,Site!$B$1:$B$5698,2,0)</f>
        <v>#REF!</v>
      </c>
    </row>
    <row r="139" spans="1:11" x14ac:dyDescent="0.25">
      <c r="A139" s="19">
        <v>137</v>
      </c>
      <c r="B139" s="18" t="s">
        <v>202</v>
      </c>
      <c r="C139" s="18" t="s">
        <v>884</v>
      </c>
      <c r="D139" s="20">
        <v>45</v>
      </c>
      <c r="E139" s="20" t="s">
        <v>896</v>
      </c>
      <c r="F139" s="20" t="s">
        <v>894</v>
      </c>
      <c r="G139" s="20"/>
      <c r="H139" s="20"/>
      <c r="I139" s="20"/>
      <c r="J139" s="20" t="s">
        <v>895</v>
      </c>
      <c r="K139" t="e">
        <f>VLOOKUP(B139,Site!$B$1:$B$5698,2,0)</f>
        <v>#REF!</v>
      </c>
    </row>
    <row r="140" spans="1:11" x14ac:dyDescent="0.25">
      <c r="A140" s="19">
        <v>138</v>
      </c>
      <c r="B140" s="18" t="s">
        <v>203</v>
      </c>
      <c r="C140" s="18" t="s">
        <v>884</v>
      </c>
      <c r="D140" s="20">
        <v>42</v>
      </c>
      <c r="E140" s="20" t="s">
        <v>765</v>
      </c>
      <c r="F140" s="20" t="s">
        <v>894</v>
      </c>
      <c r="G140" s="20"/>
      <c r="H140" s="20"/>
      <c r="I140" s="20"/>
      <c r="J140" s="20" t="s">
        <v>895</v>
      </c>
      <c r="K140" t="e">
        <f>VLOOKUP(B140,Site!$B$1:$B$5698,2,0)</f>
        <v>#REF!</v>
      </c>
    </row>
    <row r="141" spans="1:11" x14ac:dyDescent="0.25">
      <c r="A141" s="19">
        <v>139</v>
      </c>
      <c r="B141" s="18" t="s">
        <v>204</v>
      </c>
      <c r="C141" s="18" t="s">
        <v>884</v>
      </c>
      <c r="D141" s="20">
        <v>28</v>
      </c>
      <c r="E141" s="20" t="s">
        <v>765</v>
      </c>
      <c r="F141" s="20" t="s">
        <v>894</v>
      </c>
      <c r="G141" s="20"/>
      <c r="H141" s="20"/>
      <c r="I141" s="20"/>
      <c r="J141" s="20" t="s">
        <v>895</v>
      </c>
      <c r="K141" t="e">
        <f>VLOOKUP(B141,Site!$B$1:$B$5698,2,0)</f>
        <v>#REF!</v>
      </c>
    </row>
    <row r="142" spans="1:11" x14ac:dyDescent="0.25">
      <c r="A142" s="19">
        <v>140</v>
      </c>
      <c r="B142" s="18" t="s">
        <v>129</v>
      </c>
      <c r="C142" s="18" t="s">
        <v>884</v>
      </c>
      <c r="D142" s="20">
        <v>29</v>
      </c>
      <c r="E142" s="20" t="s">
        <v>765</v>
      </c>
      <c r="F142" s="20" t="s">
        <v>894</v>
      </c>
      <c r="G142" s="20"/>
      <c r="H142" s="20"/>
      <c r="I142" s="20"/>
      <c r="J142" s="20" t="s">
        <v>895</v>
      </c>
      <c r="K142" t="e">
        <f>VLOOKUP(B142,Site!$B$1:$B$5698,2,0)</f>
        <v>#REF!</v>
      </c>
    </row>
    <row r="143" spans="1:11" x14ac:dyDescent="0.25">
      <c r="A143" s="19">
        <v>141</v>
      </c>
      <c r="B143" s="18" t="s">
        <v>205</v>
      </c>
      <c r="C143" s="18" t="s">
        <v>884</v>
      </c>
      <c r="D143" s="20">
        <v>42</v>
      </c>
      <c r="E143" s="20" t="s">
        <v>765</v>
      </c>
      <c r="F143" s="20" t="s">
        <v>894</v>
      </c>
      <c r="G143" s="20"/>
      <c r="H143" s="20"/>
      <c r="I143" s="20"/>
      <c r="J143" s="20" t="s">
        <v>895</v>
      </c>
      <c r="K143" t="e">
        <f>VLOOKUP(B143,Site!$B$1:$B$5698,2,0)</f>
        <v>#REF!</v>
      </c>
    </row>
    <row r="144" spans="1:11" x14ac:dyDescent="0.25">
      <c r="A144" s="19">
        <v>142</v>
      </c>
      <c r="B144" s="18" t="s">
        <v>206</v>
      </c>
      <c r="C144" s="18" t="s">
        <v>884</v>
      </c>
      <c r="D144" s="20">
        <v>42</v>
      </c>
      <c r="E144" s="20" t="s">
        <v>765</v>
      </c>
      <c r="F144" s="20" t="s">
        <v>894</v>
      </c>
      <c r="G144" s="20"/>
      <c r="H144" s="20"/>
      <c r="I144" s="20"/>
      <c r="J144" s="20" t="s">
        <v>895</v>
      </c>
      <c r="K144" t="e">
        <f>VLOOKUP(B144,Site!$B$1:$B$5698,2,0)</f>
        <v>#REF!</v>
      </c>
    </row>
    <row r="145" spans="1:11" x14ac:dyDescent="0.25">
      <c r="A145" s="19">
        <v>143</v>
      </c>
      <c r="B145" s="18" t="s">
        <v>207</v>
      </c>
      <c r="C145" s="18" t="s">
        <v>884</v>
      </c>
      <c r="D145" s="20">
        <v>29</v>
      </c>
      <c r="E145" s="20" t="s">
        <v>765</v>
      </c>
      <c r="F145" s="20" t="s">
        <v>894</v>
      </c>
      <c r="G145" s="20"/>
      <c r="H145" s="20"/>
      <c r="I145" s="20"/>
      <c r="J145" s="20" t="s">
        <v>895</v>
      </c>
      <c r="K145" t="e">
        <f>VLOOKUP(B145,Site!$B$1:$B$5698,2,0)</f>
        <v>#REF!</v>
      </c>
    </row>
    <row r="146" spans="1:11" x14ac:dyDescent="0.25">
      <c r="A146" s="19">
        <v>144</v>
      </c>
      <c r="B146" s="18" t="s">
        <v>208</v>
      </c>
      <c r="C146" s="18" t="s">
        <v>884</v>
      </c>
      <c r="D146" s="20">
        <v>30</v>
      </c>
      <c r="E146" s="20" t="s">
        <v>843</v>
      </c>
      <c r="F146" s="20" t="s">
        <v>894</v>
      </c>
      <c r="G146" s="20"/>
      <c r="H146" s="20"/>
      <c r="I146" s="20"/>
      <c r="J146" s="20" t="s">
        <v>895</v>
      </c>
      <c r="K146" t="e">
        <f>VLOOKUP(B146,Site!$B$1:$B$5698,2,0)</f>
        <v>#REF!</v>
      </c>
    </row>
    <row r="147" spans="1:11" x14ac:dyDescent="0.25">
      <c r="A147" s="19">
        <v>145</v>
      </c>
      <c r="B147" s="18" t="s">
        <v>83</v>
      </c>
      <c r="C147" s="18" t="s">
        <v>884</v>
      </c>
      <c r="D147" s="20">
        <v>45</v>
      </c>
      <c r="E147" s="20" t="s">
        <v>896</v>
      </c>
      <c r="F147" s="20" t="s">
        <v>894</v>
      </c>
      <c r="G147" s="20"/>
      <c r="H147" s="20"/>
      <c r="I147" s="20"/>
      <c r="J147" s="20" t="s">
        <v>895</v>
      </c>
      <c r="K147" t="e">
        <f>VLOOKUP(B147,Site!$B$1:$B$5698,2,0)</f>
        <v>#REF!</v>
      </c>
    </row>
    <row r="148" spans="1:11" x14ac:dyDescent="0.25">
      <c r="A148" s="19">
        <v>146</v>
      </c>
      <c r="B148" s="18" t="s">
        <v>209</v>
      </c>
      <c r="C148" s="18" t="s">
        <v>884</v>
      </c>
      <c r="D148" s="20">
        <v>30</v>
      </c>
      <c r="E148" s="20" t="s">
        <v>843</v>
      </c>
      <c r="F148" s="20" t="s">
        <v>894</v>
      </c>
      <c r="G148" s="20"/>
      <c r="H148" s="20"/>
      <c r="I148" s="20"/>
      <c r="J148" s="20" t="s">
        <v>895</v>
      </c>
      <c r="K148" t="e">
        <f>VLOOKUP(B148,Site!$B$1:$B$5698,2,0)</f>
        <v>#REF!</v>
      </c>
    </row>
    <row r="149" spans="1:11" x14ac:dyDescent="0.25">
      <c r="A149" s="19">
        <v>147</v>
      </c>
      <c r="B149" s="18" t="s">
        <v>89</v>
      </c>
      <c r="C149" s="18" t="s">
        <v>884</v>
      </c>
      <c r="D149" s="20">
        <v>45</v>
      </c>
      <c r="E149" s="20" t="s">
        <v>760</v>
      </c>
      <c r="F149" s="20" t="s">
        <v>894</v>
      </c>
      <c r="G149" s="20"/>
      <c r="H149" s="20"/>
      <c r="I149" s="20"/>
      <c r="J149" s="20" t="s">
        <v>895</v>
      </c>
      <c r="K149" t="e">
        <f>VLOOKUP(B149,Site!$B$1:$B$5698,2,0)</f>
        <v>#REF!</v>
      </c>
    </row>
    <row r="150" spans="1:11" x14ac:dyDescent="0.25">
      <c r="A150" s="19">
        <v>148</v>
      </c>
      <c r="B150" s="18" t="s">
        <v>130</v>
      </c>
      <c r="C150" s="18" t="s">
        <v>884</v>
      </c>
      <c r="D150" s="20">
        <v>45</v>
      </c>
      <c r="E150" s="20" t="s">
        <v>843</v>
      </c>
      <c r="F150" s="20" t="s">
        <v>894</v>
      </c>
      <c r="G150" s="20"/>
      <c r="H150" s="20"/>
      <c r="I150" s="20"/>
      <c r="J150" s="20" t="s">
        <v>895</v>
      </c>
      <c r="K150" t="e">
        <f>VLOOKUP(B150,Site!$B$1:$B$5698,2,0)</f>
        <v>#REF!</v>
      </c>
    </row>
    <row r="151" spans="1:11" x14ac:dyDescent="0.25">
      <c r="A151" s="19">
        <v>149</v>
      </c>
      <c r="B151" s="18" t="s">
        <v>210</v>
      </c>
      <c r="C151" s="18" t="s">
        <v>884</v>
      </c>
      <c r="D151" s="20">
        <v>45</v>
      </c>
      <c r="E151" s="20" t="s">
        <v>896</v>
      </c>
      <c r="F151" s="20" t="s">
        <v>894</v>
      </c>
      <c r="G151" s="20"/>
      <c r="H151" s="20"/>
      <c r="I151" s="20"/>
      <c r="J151" s="20" t="s">
        <v>895</v>
      </c>
      <c r="K151" t="e">
        <f>VLOOKUP(B151,Site!$B$1:$B$5698,2,0)</f>
        <v>#REF!</v>
      </c>
    </row>
    <row r="152" spans="1:11" x14ac:dyDescent="0.25">
      <c r="A152" s="19">
        <v>150</v>
      </c>
      <c r="B152" s="18" t="s">
        <v>211</v>
      </c>
      <c r="C152" s="18" t="s">
        <v>884</v>
      </c>
      <c r="D152" s="20">
        <v>42</v>
      </c>
      <c r="E152" s="20" t="s">
        <v>843</v>
      </c>
      <c r="F152" s="20" t="s">
        <v>894</v>
      </c>
      <c r="G152" s="20"/>
      <c r="H152" s="20"/>
      <c r="I152" s="20"/>
      <c r="J152" s="20" t="s">
        <v>895</v>
      </c>
      <c r="K152" t="e">
        <f>VLOOKUP(B152,Site!$B$1:$B$5698,2,0)</f>
        <v>#REF!</v>
      </c>
    </row>
    <row r="153" spans="1:11" x14ac:dyDescent="0.25">
      <c r="A153" s="19">
        <v>151</v>
      </c>
      <c r="B153" s="18" t="s">
        <v>212</v>
      </c>
      <c r="C153" s="18" t="s">
        <v>884</v>
      </c>
      <c r="D153" s="20">
        <v>45</v>
      </c>
      <c r="E153" s="20" t="s">
        <v>896</v>
      </c>
      <c r="F153" s="20" t="s">
        <v>894</v>
      </c>
      <c r="G153" s="20"/>
      <c r="H153" s="20"/>
      <c r="I153" s="20"/>
      <c r="J153" s="20" t="s">
        <v>895</v>
      </c>
      <c r="K153" t="e">
        <f>VLOOKUP(B153,Site!$B$1:$B$5698,2,0)</f>
        <v>#REF!</v>
      </c>
    </row>
    <row r="154" spans="1:11" x14ac:dyDescent="0.25">
      <c r="A154" s="19">
        <v>152</v>
      </c>
      <c r="B154" s="18" t="s">
        <v>385</v>
      </c>
      <c r="C154" s="18" t="s">
        <v>884</v>
      </c>
      <c r="D154" s="20">
        <v>36</v>
      </c>
      <c r="E154" s="20" t="s">
        <v>843</v>
      </c>
      <c r="F154" s="20" t="s">
        <v>894</v>
      </c>
      <c r="G154" s="20"/>
      <c r="H154" s="20"/>
      <c r="I154" s="20"/>
      <c r="J154" s="20" t="s">
        <v>895</v>
      </c>
      <c r="K154" t="e">
        <f>VLOOKUP(B154,Site!$B$1:$B$5698,2,0)</f>
        <v>#REF!</v>
      </c>
    </row>
    <row r="155" spans="1:11" x14ac:dyDescent="0.25">
      <c r="A155" s="19">
        <v>153</v>
      </c>
      <c r="B155" s="18" t="s">
        <v>388</v>
      </c>
      <c r="C155" s="18" t="s">
        <v>884</v>
      </c>
      <c r="D155" s="20">
        <v>36</v>
      </c>
      <c r="E155" s="20" t="s">
        <v>896</v>
      </c>
      <c r="F155" s="20" t="s">
        <v>894</v>
      </c>
      <c r="G155" s="20"/>
      <c r="H155" s="20"/>
      <c r="I155" s="20"/>
      <c r="J155" s="20" t="s">
        <v>895</v>
      </c>
      <c r="K155" t="e">
        <f>VLOOKUP(B155,Site!$B$1:$B$5698,2,0)</f>
        <v>#REF!</v>
      </c>
    </row>
    <row r="156" spans="1:11" x14ac:dyDescent="0.25">
      <c r="A156" s="19">
        <v>154</v>
      </c>
      <c r="B156" s="18" t="s">
        <v>423</v>
      </c>
      <c r="C156" s="18" t="s">
        <v>884</v>
      </c>
      <c r="D156" s="20">
        <v>36</v>
      </c>
      <c r="E156" s="20" t="s">
        <v>843</v>
      </c>
      <c r="F156" s="20" t="s">
        <v>894</v>
      </c>
      <c r="G156" s="20"/>
      <c r="H156" s="20"/>
      <c r="I156" s="20"/>
      <c r="J156" s="20" t="s">
        <v>895</v>
      </c>
      <c r="K156" t="e">
        <f>VLOOKUP(B156,Site!$B$1:$B$5698,2,0)</f>
        <v>#REF!</v>
      </c>
    </row>
    <row r="157" spans="1:11" x14ac:dyDescent="0.25">
      <c r="A157" s="19">
        <v>155</v>
      </c>
      <c r="B157" s="18" t="s">
        <v>447</v>
      </c>
      <c r="C157" s="18" t="s">
        <v>884</v>
      </c>
      <c r="D157" s="20">
        <v>30</v>
      </c>
      <c r="E157" s="20" t="s">
        <v>843</v>
      </c>
      <c r="F157" s="20" t="s">
        <v>894</v>
      </c>
      <c r="G157" s="20"/>
      <c r="H157" s="20"/>
      <c r="I157" s="20"/>
      <c r="J157" s="20" t="s">
        <v>895</v>
      </c>
      <c r="K157" t="e">
        <f>VLOOKUP(B157,Site!$B$1:$B$5698,2,0)</f>
        <v>#REF!</v>
      </c>
    </row>
    <row r="158" spans="1:11" x14ac:dyDescent="0.25">
      <c r="A158" s="19">
        <v>156</v>
      </c>
      <c r="B158" s="18" t="s">
        <v>452</v>
      </c>
      <c r="C158" s="18" t="s">
        <v>884</v>
      </c>
      <c r="D158" s="20">
        <v>30</v>
      </c>
      <c r="E158" s="20" t="s">
        <v>843</v>
      </c>
      <c r="F158" s="20" t="s">
        <v>894</v>
      </c>
      <c r="G158" s="20"/>
      <c r="H158" s="20"/>
      <c r="I158" s="20"/>
      <c r="J158" s="20" t="s">
        <v>895</v>
      </c>
      <c r="K158" t="e">
        <f>VLOOKUP(B158,Site!$B$1:$B$5698,2,0)</f>
        <v>#REF!</v>
      </c>
    </row>
    <row r="159" spans="1:11" x14ac:dyDescent="0.25">
      <c r="A159" s="19">
        <v>157</v>
      </c>
      <c r="B159" s="18" t="s">
        <v>456</v>
      </c>
      <c r="C159" s="18" t="s">
        <v>884</v>
      </c>
      <c r="D159" s="20">
        <v>39</v>
      </c>
      <c r="E159" s="20" t="s">
        <v>843</v>
      </c>
      <c r="F159" s="20" t="s">
        <v>894</v>
      </c>
      <c r="G159" s="20"/>
      <c r="H159" s="20"/>
      <c r="I159" s="20"/>
      <c r="J159" s="20" t="s">
        <v>895</v>
      </c>
      <c r="K159" t="e">
        <f>VLOOKUP(B159,Site!$B$1:$B$5698,2,0)</f>
        <v>#REF!</v>
      </c>
    </row>
    <row r="160" spans="1:11" x14ac:dyDescent="0.25">
      <c r="A160" s="19">
        <v>158</v>
      </c>
      <c r="B160" s="18" t="s">
        <v>457</v>
      </c>
      <c r="C160" s="18" t="s">
        <v>884</v>
      </c>
      <c r="D160" s="20">
        <v>39</v>
      </c>
      <c r="E160" s="20" t="s">
        <v>843</v>
      </c>
      <c r="F160" s="20" t="s">
        <v>894</v>
      </c>
      <c r="G160" s="20"/>
      <c r="H160" s="20"/>
      <c r="I160" s="20"/>
      <c r="J160" s="20" t="s">
        <v>895</v>
      </c>
      <c r="K160" t="e">
        <f>VLOOKUP(B160,Site!$B$1:$B$5698,2,0)</f>
        <v>#REF!</v>
      </c>
    </row>
    <row r="161" spans="1:11" x14ac:dyDescent="0.25">
      <c r="A161" s="19">
        <v>159</v>
      </c>
      <c r="B161" s="18" t="s">
        <v>458</v>
      </c>
      <c r="C161" s="18" t="s">
        <v>884</v>
      </c>
      <c r="D161" s="20">
        <v>39</v>
      </c>
      <c r="E161" s="20" t="s">
        <v>843</v>
      </c>
      <c r="F161" s="20" t="s">
        <v>894</v>
      </c>
      <c r="G161" s="20"/>
      <c r="H161" s="20"/>
      <c r="I161" s="20"/>
      <c r="J161" s="20" t="s">
        <v>895</v>
      </c>
      <c r="K161" t="e">
        <f>VLOOKUP(B161,Site!$B$1:$B$5698,2,0)</f>
        <v>#REF!</v>
      </c>
    </row>
    <row r="162" spans="1:11" x14ac:dyDescent="0.25">
      <c r="A162" s="19">
        <v>160</v>
      </c>
      <c r="B162" s="18" t="s">
        <v>455</v>
      </c>
      <c r="C162" s="18" t="s">
        <v>884</v>
      </c>
      <c r="D162" s="20">
        <v>39</v>
      </c>
      <c r="E162" s="20" t="s">
        <v>843</v>
      </c>
      <c r="F162" s="20" t="s">
        <v>894</v>
      </c>
      <c r="G162" s="20"/>
      <c r="H162" s="20"/>
      <c r="I162" s="20"/>
      <c r="J162" s="20" t="s">
        <v>895</v>
      </c>
      <c r="K162" t="e">
        <f>VLOOKUP(B162,Site!$B$1:$B$5698,2,0)</f>
        <v>#REF!</v>
      </c>
    </row>
    <row r="163" spans="1:11" x14ac:dyDescent="0.25">
      <c r="A163" s="19">
        <v>161</v>
      </c>
      <c r="B163" s="18" t="s">
        <v>536</v>
      </c>
      <c r="C163" s="18" t="s">
        <v>884</v>
      </c>
      <c r="D163" s="20">
        <v>30</v>
      </c>
      <c r="E163" s="20" t="s">
        <v>843</v>
      </c>
      <c r="F163" s="20" t="s">
        <v>894</v>
      </c>
      <c r="G163" s="20"/>
      <c r="H163" s="20"/>
      <c r="I163" s="20"/>
      <c r="J163" s="20" t="s">
        <v>895</v>
      </c>
      <c r="K163" t="e">
        <f>VLOOKUP(B163,Site!$B$1:$B$5698,2,0)</f>
        <v>#REF!</v>
      </c>
    </row>
    <row r="164" spans="1:11" x14ac:dyDescent="0.25">
      <c r="A164" s="19">
        <v>162</v>
      </c>
      <c r="B164" s="18" t="s">
        <v>522</v>
      </c>
      <c r="C164" s="18" t="s">
        <v>884</v>
      </c>
      <c r="D164" s="20">
        <v>32</v>
      </c>
      <c r="E164" s="20" t="s">
        <v>843</v>
      </c>
      <c r="F164" s="20" t="s">
        <v>897</v>
      </c>
      <c r="G164" s="20"/>
      <c r="H164" s="20"/>
      <c r="I164" s="20"/>
      <c r="J164" s="20" t="s">
        <v>898</v>
      </c>
      <c r="K164" t="e">
        <f>VLOOKUP(B164,Site!$B$1:$B$5698,2,0)</f>
        <v>#REF!</v>
      </c>
    </row>
    <row r="165" spans="1:11" x14ac:dyDescent="0.25">
      <c r="A165" s="19">
        <v>163</v>
      </c>
      <c r="B165" s="18" t="s">
        <v>524</v>
      </c>
      <c r="C165" s="18" t="s">
        <v>884</v>
      </c>
      <c r="D165" s="20">
        <v>42</v>
      </c>
      <c r="E165" s="20" t="s">
        <v>843</v>
      </c>
      <c r="F165" s="20" t="s">
        <v>897</v>
      </c>
      <c r="G165" s="20"/>
      <c r="H165" s="20"/>
      <c r="I165" s="20"/>
      <c r="J165" s="20" t="s">
        <v>898</v>
      </c>
      <c r="K165" t="e">
        <f>VLOOKUP(B165,Site!$B$1:$B$5698,2,0)</f>
        <v>#REF!</v>
      </c>
    </row>
    <row r="166" spans="1:11" x14ac:dyDescent="0.25">
      <c r="A166" s="19">
        <v>164</v>
      </c>
      <c r="B166" s="18" t="s">
        <v>523</v>
      </c>
      <c r="C166" s="18" t="s">
        <v>884</v>
      </c>
      <c r="D166" s="20">
        <v>36</v>
      </c>
      <c r="E166" s="20" t="s">
        <v>843</v>
      </c>
      <c r="F166" s="20" t="s">
        <v>897</v>
      </c>
      <c r="G166" s="20"/>
      <c r="H166" s="20"/>
      <c r="I166" s="20"/>
      <c r="J166" s="20" t="s">
        <v>898</v>
      </c>
      <c r="K166" t="e">
        <f>VLOOKUP(B166,Site!$B$1:$B$5698,2,0)</f>
        <v>#REF!</v>
      </c>
    </row>
    <row r="167" spans="1:11" x14ac:dyDescent="0.25">
      <c r="A167" s="19">
        <v>165</v>
      </c>
      <c r="B167" s="18" t="s">
        <v>84</v>
      </c>
      <c r="C167" s="18" t="s">
        <v>884</v>
      </c>
      <c r="D167" s="20">
        <v>28</v>
      </c>
      <c r="E167" s="20" t="s">
        <v>765</v>
      </c>
      <c r="F167" s="20" t="s">
        <v>894</v>
      </c>
      <c r="G167" s="20"/>
      <c r="H167" s="20"/>
      <c r="I167" s="20"/>
      <c r="J167" s="20" t="s">
        <v>895</v>
      </c>
      <c r="K167" t="e">
        <f>VLOOKUP(B167,Site!$B$1:$B$5698,2,0)</f>
        <v>#REF!</v>
      </c>
    </row>
    <row r="168" spans="1:11" x14ac:dyDescent="0.25">
      <c r="A168" s="19">
        <v>166</v>
      </c>
      <c r="B168" s="18" t="s">
        <v>63</v>
      </c>
      <c r="C168" s="18" t="s">
        <v>884</v>
      </c>
      <c r="D168" s="20">
        <v>30</v>
      </c>
      <c r="E168" s="20" t="s">
        <v>843</v>
      </c>
      <c r="F168" s="20" t="s">
        <v>894</v>
      </c>
      <c r="G168" s="20"/>
      <c r="H168" s="20"/>
      <c r="I168" s="20"/>
      <c r="J168" s="20" t="s">
        <v>895</v>
      </c>
      <c r="K168" t="e">
        <f>VLOOKUP(B168,Site!$B$1:$B$5698,2,0)</f>
        <v>#REF!</v>
      </c>
    </row>
    <row r="169" spans="1:11" x14ac:dyDescent="0.25">
      <c r="A169" s="19">
        <v>167</v>
      </c>
      <c r="B169" s="18" t="s">
        <v>90</v>
      </c>
      <c r="C169" s="18" t="s">
        <v>884</v>
      </c>
      <c r="D169" s="20">
        <v>33</v>
      </c>
      <c r="E169" s="20" t="s">
        <v>765</v>
      </c>
      <c r="F169" s="20" t="s">
        <v>894</v>
      </c>
      <c r="G169" s="20"/>
      <c r="H169" s="20"/>
      <c r="I169" s="20"/>
      <c r="J169" s="20" t="s">
        <v>895</v>
      </c>
      <c r="K169" t="e">
        <f>VLOOKUP(B169,Site!$B$1:$B$5698,2,0)</f>
        <v>#REF!</v>
      </c>
    </row>
    <row r="170" spans="1:11" x14ac:dyDescent="0.25">
      <c r="A170" s="19">
        <v>168</v>
      </c>
      <c r="B170" s="18" t="s">
        <v>65</v>
      </c>
      <c r="C170" s="18" t="s">
        <v>884</v>
      </c>
      <c r="D170" s="20">
        <v>30</v>
      </c>
      <c r="E170" s="20" t="s">
        <v>765</v>
      </c>
      <c r="F170" s="20" t="s">
        <v>894</v>
      </c>
      <c r="G170" s="20"/>
      <c r="H170" s="20"/>
      <c r="I170" s="20"/>
      <c r="J170" s="20" t="s">
        <v>895</v>
      </c>
      <c r="K170" t="e">
        <f>VLOOKUP(B170,Site!$B$1:$B$5698,2,0)</f>
        <v>#REF!</v>
      </c>
    </row>
    <row r="171" spans="1:11" x14ac:dyDescent="0.25">
      <c r="A171" s="19">
        <v>169</v>
      </c>
      <c r="B171" s="18" t="s">
        <v>91</v>
      </c>
      <c r="C171" s="18" t="s">
        <v>884</v>
      </c>
      <c r="D171" s="20">
        <v>31</v>
      </c>
      <c r="E171" s="20" t="s">
        <v>765</v>
      </c>
      <c r="F171" s="20" t="s">
        <v>894</v>
      </c>
      <c r="G171" s="20"/>
      <c r="H171" s="20"/>
      <c r="I171" s="20"/>
      <c r="J171" s="20" t="s">
        <v>895</v>
      </c>
      <c r="K171" t="e">
        <f>VLOOKUP(B171,Site!$B$1:$B$5698,2,0)</f>
        <v>#REF!</v>
      </c>
    </row>
    <row r="172" spans="1:11" x14ac:dyDescent="0.25">
      <c r="A172" s="19">
        <v>170</v>
      </c>
      <c r="B172" s="18" t="s">
        <v>10</v>
      </c>
      <c r="C172" s="18" t="s">
        <v>884</v>
      </c>
      <c r="D172" s="20">
        <v>39</v>
      </c>
      <c r="E172" s="20" t="s">
        <v>765</v>
      </c>
      <c r="F172" s="20" t="s">
        <v>894</v>
      </c>
      <c r="G172" s="20"/>
      <c r="H172" s="20"/>
      <c r="I172" s="20"/>
      <c r="J172" s="20" t="s">
        <v>895</v>
      </c>
      <c r="K172" t="e">
        <f>VLOOKUP(B172,Site!$B$1:$B$5698,2,0)</f>
        <v>#REF!</v>
      </c>
    </row>
    <row r="173" spans="1:11" x14ac:dyDescent="0.25">
      <c r="A173" s="19">
        <v>171</v>
      </c>
      <c r="B173" s="18" t="s">
        <v>92</v>
      </c>
      <c r="C173" s="18" t="s">
        <v>884</v>
      </c>
      <c r="D173" s="20">
        <v>30</v>
      </c>
      <c r="E173" s="20" t="s">
        <v>765</v>
      </c>
      <c r="F173" s="20" t="s">
        <v>894</v>
      </c>
      <c r="G173" s="20"/>
      <c r="H173" s="20"/>
      <c r="I173" s="20"/>
      <c r="J173" s="20" t="s">
        <v>895</v>
      </c>
      <c r="K173" t="e">
        <f>VLOOKUP(B173,Site!$B$1:$B$5698,2,0)</f>
        <v>#REF!</v>
      </c>
    </row>
    <row r="174" spans="1:11" x14ac:dyDescent="0.25">
      <c r="A174" s="19">
        <v>172</v>
      </c>
      <c r="B174" s="18" t="s">
        <v>93</v>
      </c>
      <c r="C174" s="18" t="s">
        <v>884</v>
      </c>
      <c r="D174" s="20">
        <v>42</v>
      </c>
      <c r="E174" s="20" t="s">
        <v>843</v>
      </c>
      <c r="F174" s="20" t="s">
        <v>902</v>
      </c>
      <c r="G174" s="20"/>
      <c r="H174" s="20"/>
      <c r="I174" s="20" t="s">
        <v>900</v>
      </c>
      <c r="J174" s="20" t="s">
        <v>901</v>
      </c>
      <c r="K174" t="e">
        <f>VLOOKUP(B174,Site!$B$1:$B$5698,2,0)</f>
        <v>#REF!</v>
      </c>
    </row>
    <row r="175" spans="1:11" x14ac:dyDescent="0.25">
      <c r="A175" s="19">
        <v>173</v>
      </c>
      <c r="B175" s="18" t="s">
        <v>94</v>
      </c>
      <c r="C175" s="18" t="s">
        <v>884</v>
      </c>
      <c r="D175" s="20">
        <v>30</v>
      </c>
      <c r="E175" s="20" t="s">
        <v>843</v>
      </c>
      <c r="F175" s="20" t="s">
        <v>894</v>
      </c>
      <c r="G175" s="20"/>
      <c r="H175" s="20"/>
      <c r="I175" s="20"/>
      <c r="J175" s="20" t="s">
        <v>895</v>
      </c>
      <c r="K175" t="e">
        <f>VLOOKUP(B175,Site!$B$1:$B$5698,2,0)</f>
        <v>#REF!</v>
      </c>
    </row>
    <row r="176" spans="1:11" x14ac:dyDescent="0.25">
      <c r="A176" s="19">
        <v>174</v>
      </c>
      <c r="B176" s="18" t="s">
        <v>131</v>
      </c>
      <c r="C176" s="18" t="s">
        <v>882</v>
      </c>
      <c r="D176" s="20">
        <v>30</v>
      </c>
      <c r="E176" s="20" t="s">
        <v>843</v>
      </c>
      <c r="F176" s="20" t="s">
        <v>894</v>
      </c>
      <c r="G176" s="20"/>
      <c r="H176" s="20"/>
      <c r="I176" s="20"/>
      <c r="J176" s="20" t="s">
        <v>895</v>
      </c>
      <c r="K176" t="e">
        <f>VLOOKUP(B176,Site!$B$1:$B$5698,2,0)</f>
        <v>#REF!</v>
      </c>
    </row>
    <row r="177" spans="1:11" x14ac:dyDescent="0.25">
      <c r="A177" s="19">
        <v>175</v>
      </c>
      <c r="B177" s="18" t="s">
        <v>66</v>
      </c>
      <c r="C177" s="18" t="s">
        <v>884</v>
      </c>
      <c r="D177" s="20">
        <v>30</v>
      </c>
      <c r="E177" s="20" t="s">
        <v>765</v>
      </c>
      <c r="F177" s="20" t="s">
        <v>894</v>
      </c>
      <c r="G177" s="20"/>
      <c r="H177" s="20"/>
      <c r="I177" s="20"/>
      <c r="J177" s="20" t="s">
        <v>895</v>
      </c>
      <c r="K177" t="e">
        <f>VLOOKUP(B177,Site!$B$1:$B$5698,2,0)</f>
        <v>#REF!</v>
      </c>
    </row>
    <row r="178" spans="1:11" x14ac:dyDescent="0.25">
      <c r="A178" s="19">
        <v>176</v>
      </c>
      <c r="B178" s="18" t="s">
        <v>85</v>
      </c>
      <c r="C178" s="18" t="s">
        <v>882</v>
      </c>
      <c r="D178" s="20">
        <v>30</v>
      </c>
      <c r="E178" s="20" t="s">
        <v>896</v>
      </c>
      <c r="F178" s="20" t="s">
        <v>894</v>
      </c>
      <c r="G178" s="20"/>
      <c r="H178" s="20"/>
      <c r="I178" s="21"/>
      <c r="J178" s="20" t="s">
        <v>895</v>
      </c>
      <c r="K178" t="e">
        <f>VLOOKUP(B178,Site!$B$1:$B$5698,2,0)</f>
        <v>#REF!</v>
      </c>
    </row>
    <row r="179" spans="1:11" x14ac:dyDescent="0.25">
      <c r="A179" s="19">
        <v>177</v>
      </c>
      <c r="B179" s="18" t="s">
        <v>95</v>
      </c>
      <c r="C179" s="18" t="s">
        <v>884</v>
      </c>
      <c r="D179" s="20">
        <v>36</v>
      </c>
      <c r="E179" s="20" t="s">
        <v>765</v>
      </c>
      <c r="F179" s="20" t="s">
        <v>894</v>
      </c>
      <c r="G179" s="20"/>
      <c r="H179" s="20"/>
      <c r="I179" s="20"/>
      <c r="J179" s="20" t="s">
        <v>895</v>
      </c>
      <c r="K179" t="e">
        <f>VLOOKUP(B179,Site!$B$1:$B$5698,2,0)</f>
        <v>#REF!</v>
      </c>
    </row>
    <row r="180" spans="1:11" x14ac:dyDescent="0.25">
      <c r="A180" s="19">
        <v>178</v>
      </c>
      <c r="B180" s="18" t="s">
        <v>67</v>
      </c>
      <c r="C180" s="18" t="s">
        <v>884</v>
      </c>
      <c r="D180" s="20">
        <v>30</v>
      </c>
      <c r="E180" s="20" t="s">
        <v>765</v>
      </c>
      <c r="F180" s="20" t="s">
        <v>894</v>
      </c>
      <c r="G180" s="20"/>
      <c r="H180" s="20"/>
      <c r="I180" s="20"/>
      <c r="J180" s="20" t="s">
        <v>895</v>
      </c>
      <c r="K180" t="e">
        <f>VLOOKUP(B180,Site!$B$1:$B$5698,2,0)</f>
        <v>#REF!</v>
      </c>
    </row>
    <row r="181" spans="1:11" x14ac:dyDescent="0.25">
      <c r="A181" s="19">
        <v>179</v>
      </c>
      <c r="B181" s="18" t="s">
        <v>68</v>
      </c>
      <c r="C181" s="18" t="s">
        <v>884</v>
      </c>
      <c r="D181" s="20">
        <v>31</v>
      </c>
      <c r="E181" s="20" t="s">
        <v>765</v>
      </c>
      <c r="F181" s="20" t="s">
        <v>894</v>
      </c>
      <c r="G181" s="20"/>
      <c r="H181" s="20"/>
      <c r="I181" s="20"/>
      <c r="J181" s="20" t="s">
        <v>895</v>
      </c>
      <c r="K181" t="e">
        <f>VLOOKUP(B181,Site!$B$1:$B$5698,2,0)</f>
        <v>#REF!</v>
      </c>
    </row>
    <row r="182" spans="1:11" x14ac:dyDescent="0.25">
      <c r="A182" s="19">
        <v>180</v>
      </c>
      <c r="B182" s="18" t="s">
        <v>96</v>
      </c>
      <c r="C182" s="18" t="s">
        <v>884</v>
      </c>
      <c r="D182" s="20">
        <v>30</v>
      </c>
      <c r="E182" s="20" t="s">
        <v>765</v>
      </c>
      <c r="F182" s="20" t="s">
        <v>894</v>
      </c>
      <c r="G182" s="20"/>
      <c r="H182" s="20"/>
      <c r="I182" s="20"/>
      <c r="J182" s="20" t="s">
        <v>895</v>
      </c>
      <c r="K182" t="e">
        <f>VLOOKUP(B182,Site!$B$1:$B$5698,2,0)</f>
        <v>#REF!</v>
      </c>
    </row>
    <row r="183" spans="1:11" x14ac:dyDescent="0.25">
      <c r="A183" s="19">
        <v>181</v>
      </c>
      <c r="B183" s="18" t="s">
        <v>97</v>
      </c>
      <c r="C183" s="18" t="s">
        <v>882</v>
      </c>
      <c r="D183" s="20">
        <v>30</v>
      </c>
      <c r="E183" s="20" t="s">
        <v>765</v>
      </c>
      <c r="F183" s="20" t="s">
        <v>894</v>
      </c>
      <c r="G183" s="20"/>
      <c r="H183" s="20"/>
      <c r="I183" s="20"/>
      <c r="J183" s="20" t="s">
        <v>895</v>
      </c>
      <c r="K183" t="e">
        <f>VLOOKUP(B183,Site!$B$1:$B$5698,2,0)</f>
        <v>#REF!</v>
      </c>
    </row>
    <row r="184" spans="1:11" x14ac:dyDescent="0.25">
      <c r="A184" s="19">
        <v>182</v>
      </c>
      <c r="B184" s="18" t="s">
        <v>11</v>
      </c>
      <c r="C184" s="18" t="s">
        <v>884</v>
      </c>
      <c r="D184" s="20">
        <v>30</v>
      </c>
      <c r="E184" s="20" t="s">
        <v>765</v>
      </c>
      <c r="F184" s="20" t="s">
        <v>894</v>
      </c>
      <c r="G184" s="20"/>
      <c r="H184" s="20"/>
      <c r="I184" s="20"/>
      <c r="J184" s="20" t="s">
        <v>895</v>
      </c>
      <c r="K184" t="e">
        <f>VLOOKUP(B184,Site!$B$1:$B$5698,2,0)</f>
        <v>#REF!</v>
      </c>
    </row>
    <row r="185" spans="1:11" x14ac:dyDescent="0.25">
      <c r="A185" s="19">
        <v>183</v>
      </c>
      <c r="B185" s="18" t="s">
        <v>12</v>
      </c>
      <c r="C185" s="18" t="s">
        <v>884</v>
      </c>
      <c r="D185" s="20">
        <v>28</v>
      </c>
      <c r="E185" s="20" t="s">
        <v>765</v>
      </c>
      <c r="F185" s="20" t="s">
        <v>894</v>
      </c>
      <c r="G185" s="20"/>
      <c r="H185" s="20"/>
      <c r="I185" s="20"/>
      <c r="J185" s="20" t="s">
        <v>895</v>
      </c>
      <c r="K185" t="e">
        <f>VLOOKUP(B185,Site!$B$1:$B$5698,2,0)</f>
        <v>#REF!</v>
      </c>
    </row>
    <row r="186" spans="1:11" x14ac:dyDescent="0.25">
      <c r="A186" s="19">
        <v>184</v>
      </c>
      <c r="B186" s="18" t="s">
        <v>69</v>
      </c>
      <c r="C186" s="18" t="s">
        <v>884</v>
      </c>
      <c r="D186" s="20">
        <v>30</v>
      </c>
      <c r="E186" s="20" t="s">
        <v>765</v>
      </c>
      <c r="F186" s="20" t="s">
        <v>894</v>
      </c>
      <c r="G186" s="20"/>
      <c r="H186" s="20"/>
      <c r="I186" s="20"/>
      <c r="J186" s="20" t="s">
        <v>895</v>
      </c>
      <c r="K186" t="e">
        <f>VLOOKUP(B186,Site!$B$1:$B$5698,2,0)</f>
        <v>#REF!</v>
      </c>
    </row>
    <row r="187" spans="1:11" x14ac:dyDescent="0.25">
      <c r="A187" s="19">
        <v>185</v>
      </c>
      <c r="B187" s="18" t="s">
        <v>70</v>
      </c>
      <c r="C187" s="18" t="s">
        <v>884</v>
      </c>
      <c r="D187" s="20">
        <v>30</v>
      </c>
      <c r="E187" s="20" t="s">
        <v>765</v>
      </c>
      <c r="F187" s="20" t="s">
        <v>894</v>
      </c>
      <c r="G187" s="20"/>
      <c r="H187" s="20"/>
      <c r="I187" s="20"/>
      <c r="J187" s="20" t="s">
        <v>895</v>
      </c>
      <c r="K187" t="e">
        <f>VLOOKUP(B187,Site!$B$1:$B$5698,2,0)</f>
        <v>#REF!</v>
      </c>
    </row>
    <row r="188" spans="1:11" x14ac:dyDescent="0.25">
      <c r="A188" s="19">
        <v>186</v>
      </c>
      <c r="B188" s="18" t="s">
        <v>71</v>
      </c>
      <c r="C188" s="18" t="s">
        <v>884</v>
      </c>
      <c r="D188" s="20">
        <v>29</v>
      </c>
      <c r="E188" s="20" t="s">
        <v>765</v>
      </c>
      <c r="F188" s="20" t="s">
        <v>894</v>
      </c>
      <c r="G188" s="20"/>
      <c r="H188" s="20"/>
      <c r="I188" s="20"/>
      <c r="J188" s="20" t="s">
        <v>895</v>
      </c>
      <c r="K188" t="e">
        <f>VLOOKUP(B188,Site!$B$1:$B$5698,2,0)</f>
        <v>#REF!</v>
      </c>
    </row>
    <row r="189" spans="1:11" x14ac:dyDescent="0.25">
      <c r="A189" s="19">
        <v>187</v>
      </c>
      <c r="B189" s="18" t="s">
        <v>24</v>
      </c>
      <c r="C189" s="18" t="s">
        <v>884</v>
      </c>
      <c r="D189" s="20">
        <v>34</v>
      </c>
      <c r="E189" s="20" t="s">
        <v>765</v>
      </c>
      <c r="F189" s="20" t="s">
        <v>894</v>
      </c>
      <c r="G189" s="20"/>
      <c r="H189" s="20"/>
      <c r="I189" s="20"/>
      <c r="J189" s="20" t="s">
        <v>895</v>
      </c>
      <c r="K189" t="e">
        <f>VLOOKUP(B189,Site!$B$1:$B$5698,2,0)</f>
        <v>#REF!</v>
      </c>
    </row>
    <row r="190" spans="1:11" x14ac:dyDescent="0.25">
      <c r="A190" s="19">
        <v>188</v>
      </c>
      <c r="B190" s="18" t="s">
        <v>25</v>
      </c>
      <c r="C190" s="18" t="s">
        <v>884</v>
      </c>
      <c r="D190" s="20">
        <v>30</v>
      </c>
      <c r="E190" s="20" t="s">
        <v>765</v>
      </c>
      <c r="F190" s="20" t="s">
        <v>894</v>
      </c>
      <c r="G190" s="20"/>
      <c r="H190" s="20"/>
      <c r="I190" s="20"/>
      <c r="J190" s="20" t="s">
        <v>895</v>
      </c>
      <c r="K190" t="e">
        <f>VLOOKUP(B190,Site!$B$1:$B$5698,2,0)</f>
        <v>#REF!</v>
      </c>
    </row>
    <row r="191" spans="1:11" x14ac:dyDescent="0.25">
      <c r="A191" s="19">
        <v>189</v>
      </c>
      <c r="B191" s="18" t="s">
        <v>72</v>
      </c>
      <c r="C191" s="18" t="s">
        <v>884</v>
      </c>
      <c r="D191" s="20">
        <v>30</v>
      </c>
      <c r="E191" s="20" t="s">
        <v>765</v>
      </c>
      <c r="F191" s="20" t="s">
        <v>894</v>
      </c>
      <c r="G191" s="20"/>
      <c r="H191" s="20"/>
      <c r="I191" s="20"/>
      <c r="J191" s="20" t="s">
        <v>895</v>
      </c>
      <c r="K191" t="e">
        <f>VLOOKUP(B191,Site!$B$1:$B$5698,2,0)</f>
        <v>#REF!</v>
      </c>
    </row>
    <row r="192" spans="1:11" x14ac:dyDescent="0.25">
      <c r="A192" s="19">
        <v>190</v>
      </c>
      <c r="B192" s="18" t="s">
        <v>86</v>
      </c>
      <c r="C192" s="18" t="s">
        <v>884</v>
      </c>
      <c r="D192" s="20">
        <v>28</v>
      </c>
      <c r="E192" s="20" t="s">
        <v>765</v>
      </c>
      <c r="F192" s="20" t="s">
        <v>894</v>
      </c>
      <c r="G192" s="20"/>
      <c r="H192" s="20"/>
      <c r="I192" s="20"/>
      <c r="J192" s="20" t="s">
        <v>895</v>
      </c>
      <c r="K192" t="e">
        <f>VLOOKUP(B192,Site!$B$1:$B$5698,2,0)</f>
        <v>#REF!</v>
      </c>
    </row>
    <row r="193" spans="1:11" x14ac:dyDescent="0.25">
      <c r="A193" s="19">
        <v>191</v>
      </c>
      <c r="B193" s="18" t="s">
        <v>124</v>
      </c>
      <c r="C193" s="18" t="s">
        <v>884</v>
      </c>
      <c r="D193" s="20">
        <v>27</v>
      </c>
      <c r="E193" s="20" t="s">
        <v>765</v>
      </c>
      <c r="F193" s="20" t="s">
        <v>894</v>
      </c>
      <c r="G193" s="20"/>
      <c r="H193" s="20"/>
      <c r="I193" s="20"/>
      <c r="J193" s="20" t="s">
        <v>895</v>
      </c>
      <c r="K193" t="e">
        <f>VLOOKUP(B193,Site!$B$1:$B$5698,2,0)</f>
        <v>#REF!</v>
      </c>
    </row>
    <row r="194" spans="1:11" x14ac:dyDescent="0.25">
      <c r="A194" s="19">
        <v>192</v>
      </c>
      <c r="B194" s="18" t="s">
        <v>117</v>
      </c>
      <c r="C194" s="18" t="s">
        <v>884</v>
      </c>
      <c r="D194" s="20">
        <v>30</v>
      </c>
      <c r="E194" s="20" t="s">
        <v>765</v>
      </c>
      <c r="F194" s="20" t="s">
        <v>894</v>
      </c>
      <c r="G194" s="20"/>
      <c r="H194" s="20"/>
      <c r="I194" s="20"/>
      <c r="J194" s="20" t="s">
        <v>895</v>
      </c>
      <c r="K194" t="e">
        <f>VLOOKUP(B194,Site!$B$1:$B$5698,2,0)</f>
        <v>#REF!</v>
      </c>
    </row>
    <row r="195" spans="1:11" x14ac:dyDescent="0.25">
      <c r="A195" s="19">
        <v>193</v>
      </c>
      <c r="B195" s="18" t="s">
        <v>99</v>
      </c>
      <c r="C195" s="18" t="s">
        <v>884</v>
      </c>
      <c r="D195" s="20">
        <v>30</v>
      </c>
      <c r="E195" s="20" t="s">
        <v>843</v>
      </c>
      <c r="F195" s="20" t="s">
        <v>894</v>
      </c>
      <c r="G195" s="20"/>
      <c r="H195" s="20"/>
      <c r="I195" s="20"/>
      <c r="J195" s="20" t="s">
        <v>895</v>
      </c>
      <c r="K195" t="e">
        <f>VLOOKUP(B195,Site!$B$1:$B$5698,2,0)</f>
        <v>#REF!</v>
      </c>
    </row>
    <row r="196" spans="1:11" x14ac:dyDescent="0.25">
      <c r="A196" s="19">
        <v>194</v>
      </c>
      <c r="B196" s="18" t="s">
        <v>100</v>
      </c>
      <c r="C196" s="18" t="s">
        <v>884</v>
      </c>
      <c r="D196" s="20">
        <v>30</v>
      </c>
      <c r="E196" s="20" t="s">
        <v>896</v>
      </c>
      <c r="F196" s="20" t="s">
        <v>894</v>
      </c>
      <c r="G196" s="20"/>
      <c r="H196" s="20"/>
      <c r="I196" s="20"/>
      <c r="J196" s="20" t="s">
        <v>895</v>
      </c>
      <c r="K196" t="e">
        <f>VLOOKUP(B196,Site!$B$1:$B$5698,2,0)</f>
        <v>#REF!</v>
      </c>
    </row>
    <row r="197" spans="1:11" x14ac:dyDescent="0.25">
      <c r="A197" s="19">
        <v>195</v>
      </c>
      <c r="B197" s="18" t="s">
        <v>118</v>
      </c>
      <c r="C197" s="18" t="s">
        <v>884</v>
      </c>
      <c r="D197" s="20">
        <v>45</v>
      </c>
      <c r="E197" s="20" t="s">
        <v>765</v>
      </c>
      <c r="F197" s="20" t="s">
        <v>894</v>
      </c>
      <c r="G197" s="20"/>
      <c r="H197" s="20"/>
      <c r="I197" s="20"/>
      <c r="J197" s="20" t="s">
        <v>895</v>
      </c>
      <c r="K197" t="e">
        <f>VLOOKUP(B197,Site!$B$1:$B$5698,2,0)</f>
        <v>#REF!</v>
      </c>
    </row>
    <row r="198" spans="1:11" x14ac:dyDescent="0.25">
      <c r="A198" s="19">
        <v>196</v>
      </c>
      <c r="B198" s="18" t="s">
        <v>101</v>
      </c>
      <c r="C198" s="18" t="s">
        <v>884</v>
      </c>
      <c r="D198" s="20">
        <v>27</v>
      </c>
      <c r="E198" s="20" t="s">
        <v>843</v>
      </c>
      <c r="F198" s="20" t="s">
        <v>894</v>
      </c>
      <c r="G198" s="20"/>
      <c r="H198" s="20"/>
      <c r="I198" s="20"/>
      <c r="J198" s="20" t="s">
        <v>895</v>
      </c>
      <c r="K198" t="e">
        <f>VLOOKUP(B198,Site!$B$1:$B$5698,2,0)</f>
        <v>#REF!</v>
      </c>
    </row>
    <row r="199" spans="1:11" x14ac:dyDescent="0.25">
      <c r="A199" s="19">
        <v>197</v>
      </c>
      <c r="B199" s="18" t="s">
        <v>102</v>
      </c>
      <c r="C199" s="18" t="s">
        <v>884</v>
      </c>
      <c r="D199" s="20">
        <v>30</v>
      </c>
      <c r="E199" s="20" t="s">
        <v>843</v>
      </c>
      <c r="F199" s="20" t="s">
        <v>894</v>
      </c>
      <c r="G199" s="20"/>
      <c r="H199" s="20"/>
      <c r="I199" s="20"/>
      <c r="J199" s="20" t="s">
        <v>895</v>
      </c>
      <c r="K199" t="e">
        <f>VLOOKUP(B199,Site!$B$1:$B$5698,2,0)</f>
        <v>#REF!</v>
      </c>
    </row>
    <row r="200" spans="1:11" x14ac:dyDescent="0.25">
      <c r="A200" s="19">
        <v>198</v>
      </c>
      <c r="B200" s="18" t="s">
        <v>13</v>
      </c>
      <c r="C200" s="18" t="s">
        <v>884</v>
      </c>
      <c r="D200" s="20">
        <v>30</v>
      </c>
      <c r="E200" s="20" t="s">
        <v>843</v>
      </c>
      <c r="F200" s="20" t="s">
        <v>894</v>
      </c>
      <c r="G200" s="20"/>
      <c r="H200" s="20"/>
      <c r="I200" s="20"/>
      <c r="J200" s="20" t="s">
        <v>895</v>
      </c>
      <c r="K200" t="e">
        <f>VLOOKUP(B200,Site!$B$1:$B$5698,2,0)</f>
        <v>#REF!</v>
      </c>
    </row>
    <row r="201" spans="1:11" x14ac:dyDescent="0.25">
      <c r="A201" s="19">
        <v>199</v>
      </c>
      <c r="B201" s="18" t="s">
        <v>73</v>
      </c>
      <c r="C201" s="18" t="s">
        <v>884</v>
      </c>
      <c r="D201" s="20">
        <v>30</v>
      </c>
      <c r="E201" s="20" t="s">
        <v>843</v>
      </c>
      <c r="F201" s="20" t="s">
        <v>894</v>
      </c>
      <c r="G201" s="20"/>
      <c r="H201" s="20"/>
      <c r="I201" s="20"/>
      <c r="J201" s="20" t="s">
        <v>895</v>
      </c>
      <c r="K201" t="e">
        <f>VLOOKUP(B201,Site!$B$1:$B$5698,2,0)</f>
        <v>#REF!</v>
      </c>
    </row>
    <row r="202" spans="1:11" x14ac:dyDescent="0.25">
      <c r="A202" s="19">
        <v>200</v>
      </c>
      <c r="B202" s="18" t="s">
        <v>87</v>
      </c>
      <c r="C202" s="18" t="s">
        <v>884</v>
      </c>
      <c r="D202" s="20">
        <v>34</v>
      </c>
      <c r="E202" s="20" t="s">
        <v>765</v>
      </c>
      <c r="F202" s="20" t="s">
        <v>894</v>
      </c>
      <c r="G202" s="20"/>
      <c r="H202" s="20"/>
      <c r="I202" s="20"/>
      <c r="J202" s="20" t="s">
        <v>895</v>
      </c>
      <c r="K202" t="e">
        <f>VLOOKUP(B202,Site!$B$1:$B$5698,2,0)</f>
        <v>#REF!</v>
      </c>
    </row>
    <row r="203" spans="1:11" x14ac:dyDescent="0.25">
      <c r="A203" s="19">
        <v>201</v>
      </c>
      <c r="B203" s="18" t="s">
        <v>74</v>
      </c>
      <c r="C203" s="18" t="s">
        <v>884</v>
      </c>
      <c r="D203" s="20">
        <v>30</v>
      </c>
      <c r="E203" s="20" t="s">
        <v>896</v>
      </c>
      <c r="F203" s="20" t="s">
        <v>894</v>
      </c>
      <c r="G203" s="20"/>
      <c r="H203" s="20"/>
      <c r="I203" s="20"/>
      <c r="J203" s="20" t="s">
        <v>895</v>
      </c>
      <c r="K203" t="e">
        <f>VLOOKUP(B203,Site!$B$1:$B$5698,2,0)</f>
        <v>#REF!</v>
      </c>
    </row>
    <row r="204" spans="1:11" x14ac:dyDescent="0.25">
      <c r="A204" s="19">
        <v>202</v>
      </c>
      <c r="B204" s="18" t="s">
        <v>159</v>
      </c>
      <c r="C204" s="18" t="s">
        <v>884</v>
      </c>
      <c r="D204" s="20">
        <v>42</v>
      </c>
      <c r="E204" s="20" t="s">
        <v>843</v>
      </c>
      <c r="F204" s="20" t="s">
        <v>894</v>
      </c>
      <c r="G204" s="20"/>
      <c r="H204" s="20"/>
      <c r="I204" s="20"/>
      <c r="J204" s="20" t="s">
        <v>895</v>
      </c>
      <c r="K204" t="e">
        <f>VLOOKUP(B204,Site!$B$1:$B$5698,2,0)</f>
        <v>#REF!</v>
      </c>
    </row>
    <row r="205" spans="1:11" x14ac:dyDescent="0.25">
      <c r="A205" s="19">
        <v>203</v>
      </c>
      <c r="B205" s="18" t="s">
        <v>125</v>
      </c>
      <c r="C205" s="18" t="s">
        <v>884</v>
      </c>
      <c r="D205" s="20">
        <v>42</v>
      </c>
      <c r="E205" s="20" t="s">
        <v>765</v>
      </c>
      <c r="F205" s="20" t="s">
        <v>894</v>
      </c>
      <c r="G205" s="20"/>
      <c r="H205" s="20"/>
      <c r="I205" s="20"/>
      <c r="J205" s="20" t="s">
        <v>895</v>
      </c>
      <c r="K205" t="e">
        <f>VLOOKUP(B205,Site!$B$1:$B$5698,2,0)</f>
        <v>#REF!</v>
      </c>
    </row>
    <row r="206" spans="1:11" x14ac:dyDescent="0.25">
      <c r="A206" s="19">
        <v>204</v>
      </c>
      <c r="B206" s="18" t="s">
        <v>75</v>
      </c>
      <c r="C206" s="18" t="s">
        <v>884</v>
      </c>
      <c r="D206" s="20">
        <v>30</v>
      </c>
      <c r="E206" s="20" t="s">
        <v>765</v>
      </c>
      <c r="F206" s="20" t="s">
        <v>894</v>
      </c>
      <c r="G206" s="20"/>
      <c r="H206" s="20"/>
      <c r="I206" s="20"/>
      <c r="J206" s="20" t="s">
        <v>895</v>
      </c>
      <c r="K206" t="e">
        <f>VLOOKUP(B206,Site!$B$1:$B$5698,2,0)</f>
        <v>#REF!</v>
      </c>
    </row>
    <row r="207" spans="1:11" x14ac:dyDescent="0.25">
      <c r="A207" s="19">
        <v>205</v>
      </c>
      <c r="B207" s="18" t="s">
        <v>15</v>
      </c>
      <c r="C207" s="18" t="s">
        <v>882</v>
      </c>
      <c r="D207" s="20">
        <v>30</v>
      </c>
      <c r="E207" s="20" t="s">
        <v>896</v>
      </c>
      <c r="F207" s="20" t="s">
        <v>894</v>
      </c>
      <c r="G207" s="20"/>
      <c r="H207" s="20"/>
      <c r="I207" s="21"/>
      <c r="J207" s="20" t="s">
        <v>895</v>
      </c>
      <c r="K207" t="e">
        <f>VLOOKUP(B207,Site!$B$1:$B$5698,2,0)</f>
        <v>#REF!</v>
      </c>
    </row>
    <row r="208" spans="1:11" x14ac:dyDescent="0.25">
      <c r="A208" s="19">
        <v>206</v>
      </c>
      <c r="B208" s="18" t="s">
        <v>16</v>
      </c>
      <c r="C208" s="18" t="s">
        <v>884</v>
      </c>
      <c r="D208" s="20">
        <v>30</v>
      </c>
      <c r="E208" s="20" t="s">
        <v>843</v>
      </c>
      <c r="F208" s="20" t="s">
        <v>894</v>
      </c>
      <c r="G208" s="20"/>
      <c r="H208" s="20"/>
      <c r="I208" s="20"/>
      <c r="J208" s="20" t="s">
        <v>895</v>
      </c>
      <c r="K208" t="e">
        <f>VLOOKUP(B208,Site!$B$1:$B$5698,2,0)</f>
        <v>#REF!</v>
      </c>
    </row>
    <row r="209" spans="1:11" x14ac:dyDescent="0.25">
      <c r="A209" s="19">
        <v>207</v>
      </c>
      <c r="B209" s="18" t="s">
        <v>17</v>
      </c>
      <c r="C209" s="18" t="s">
        <v>884</v>
      </c>
      <c r="D209" s="20">
        <v>27</v>
      </c>
      <c r="E209" s="20" t="s">
        <v>843</v>
      </c>
      <c r="F209" s="20" t="s">
        <v>894</v>
      </c>
      <c r="G209" s="20"/>
      <c r="H209" s="20"/>
      <c r="I209" s="20"/>
      <c r="J209" s="20" t="s">
        <v>895</v>
      </c>
      <c r="K209" t="e">
        <f>VLOOKUP(B209,Site!$B$1:$B$5698,2,0)</f>
        <v>#REF!</v>
      </c>
    </row>
    <row r="210" spans="1:11" x14ac:dyDescent="0.25">
      <c r="A210" s="19">
        <v>208</v>
      </c>
      <c r="B210" s="18" t="s">
        <v>160</v>
      </c>
      <c r="C210" s="18" t="s">
        <v>884</v>
      </c>
      <c r="D210" s="20">
        <v>28</v>
      </c>
      <c r="E210" s="20" t="s">
        <v>843</v>
      </c>
      <c r="F210" s="20" t="s">
        <v>894</v>
      </c>
      <c r="G210" s="20"/>
      <c r="H210" s="20"/>
      <c r="I210" s="20"/>
      <c r="J210" s="20" t="s">
        <v>895</v>
      </c>
      <c r="K210" t="e">
        <f>VLOOKUP(B210,Site!$B$1:$B$5698,2,0)</f>
        <v>#REF!</v>
      </c>
    </row>
    <row r="211" spans="1:11" x14ac:dyDescent="0.25">
      <c r="A211" s="19">
        <v>209</v>
      </c>
      <c r="B211" s="18" t="s">
        <v>161</v>
      </c>
      <c r="C211" s="18" t="s">
        <v>884</v>
      </c>
      <c r="D211" s="20">
        <v>30</v>
      </c>
      <c r="E211" s="20" t="s">
        <v>843</v>
      </c>
      <c r="F211" s="20" t="s">
        <v>894</v>
      </c>
      <c r="G211" s="20"/>
      <c r="H211" s="20"/>
      <c r="I211" s="20"/>
      <c r="J211" s="20" t="s">
        <v>895</v>
      </c>
      <c r="K211" t="e">
        <f>VLOOKUP(B211,Site!$B$1:$B$5698,2,0)</f>
        <v>#REF!</v>
      </c>
    </row>
    <row r="212" spans="1:11" x14ac:dyDescent="0.25">
      <c r="A212" s="19">
        <v>210</v>
      </c>
      <c r="B212" s="18" t="s">
        <v>76</v>
      </c>
      <c r="C212" s="18" t="s">
        <v>884</v>
      </c>
      <c r="D212" s="20">
        <v>32</v>
      </c>
      <c r="E212" s="20" t="s">
        <v>765</v>
      </c>
      <c r="F212" s="20" t="s">
        <v>894</v>
      </c>
      <c r="G212" s="20"/>
      <c r="H212" s="20"/>
      <c r="I212" s="20"/>
      <c r="J212" s="20" t="s">
        <v>895</v>
      </c>
      <c r="K212" t="e">
        <f>VLOOKUP(B212,Site!$B$1:$B$5698,2,0)</f>
        <v>#REF!</v>
      </c>
    </row>
    <row r="213" spans="1:11" x14ac:dyDescent="0.25">
      <c r="A213" s="19">
        <v>211</v>
      </c>
      <c r="B213" s="18" t="s">
        <v>121</v>
      </c>
      <c r="C213" s="18" t="s">
        <v>884</v>
      </c>
      <c r="D213" s="20">
        <v>30</v>
      </c>
      <c r="E213" s="20" t="s">
        <v>765</v>
      </c>
      <c r="F213" s="20" t="s">
        <v>894</v>
      </c>
      <c r="G213" s="20"/>
      <c r="H213" s="20"/>
      <c r="I213" s="20"/>
      <c r="J213" s="20" t="s">
        <v>895</v>
      </c>
      <c r="K213" t="e">
        <f>VLOOKUP(B213,Site!$B$1:$B$5698,2,0)</f>
        <v>#REF!</v>
      </c>
    </row>
    <row r="214" spans="1:11" x14ac:dyDescent="0.25">
      <c r="A214" s="19">
        <v>212</v>
      </c>
      <c r="B214" s="18" t="s">
        <v>103</v>
      </c>
      <c r="C214" s="18" t="s">
        <v>884</v>
      </c>
      <c r="D214" s="20">
        <v>32</v>
      </c>
      <c r="E214" s="20" t="s">
        <v>843</v>
      </c>
      <c r="F214" s="20" t="s">
        <v>894</v>
      </c>
      <c r="G214" s="20"/>
      <c r="H214" s="20"/>
      <c r="I214" s="20"/>
      <c r="J214" s="20" t="s">
        <v>895</v>
      </c>
      <c r="K214" t="e">
        <f>VLOOKUP(B214,Site!$B$1:$B$5698,2,0)</f>
        <v>#REF!</v>
      </c>
    </row>
    <row r="215" spans="1:11" x14ac:dyDescent="0.25">
      <c r="A215" s="19">
        <v>213</v>
      </c>
      <c r="B215" s="18" t="s">
        <v>135</v>
      </c>
      <c r="C215" s="18" t="s">
        <v>884</v>
      </c>
      <c r="D215" s="20">
        <v>30</v>
      </c>
      <c r="E215" s="20" t="s">
        <v>896</v>
      </c>
      <c r="F215" s="20" t="s">
        <v>894</v>
      </c>
      <c r="G215" s="20"/>
      <c r="H215" s="20"/>
      <c r="I215" s="20"/>
      <c r="J215" s="20" t="s">
        <v>895</v>
      </c>
      <c r="K215" t="e">
        <f>VLOOKUP(B215,Site!$B$1:$B$5698,2,0)</f>
        <v>#REF!</v>
      </c>
    </row>
    <row r="216" spans="1:11" x14ac:dyDescent="0.25">
      <c r="A216" s="19">
        <v>214</v>
      </c>
      <c r="B216" s="18" t="s">
        <v>77</v>
      </c>
      <c r="C216" s="18" t="s">
        <v>884</v>
      </c>
      <c r="D216" s="20">
        <v>29</v>
      </c>
      <c r="E216" s="20" t="s">
        <v>765</v>
      </c>
      <c r="F216" s="20" t="s">
        <v>894</v>
      </c>
      <c r="G216" s="20"/>
      <c r="H216" s="20"/>
      <c r="I216" s="20"/>
      <c r="J216" s="20" t="s">
        <v>895</v>
      </c>
      <c r="K216" t="e">
        <f>VLOOKUP(B216,Site!$B$1:$B$5698,2,0)</f>
        <v>#REF!</v>
      </c>
    </row>
    <row r="217" spans="1:11" x14ac:dyDescent="0.25">
      <c r="A217" s="19">
        <v>215</v>
      </c>
      <c r="B217" s="18" t="s">
        <v>104</v>
      </c>
      <c r="C217" s="18" t="s">
        <v>884</v>
      </c>
      <c r="D217" s="20">
        <v>28</v>
      </c>
      <c r="E217" s="20" t="s">
        <v>765</v>
      </c>
      <c r="F217" s="20" t="s">
        <v>894</v>
      </c>
      <c r="G217" s="20"/>
      <c r="H217" s="20"/>
      <c r="I217" s="20"/>
      <c r="J217" s="20" t="s">
        <v>895</v>
      </c>
      <c r="K217" t="e">
        <f>VLOOKUP(B217,Site!$B$1:$B$5698,2,0)</f>
        <v>#REF!</v>
      </c>
    </row>
    <row r="218" spans="1:11" x14ac:dyDescent="0.25">
      <c r="A218" s="19">
        <v>216</v>
      </c>
      <c r="B218" s="18" t="s">
        <v>105</v>
      </c>
      <c r="C218" s="18" t="s">
        <v>884</v>
      </c>
      <c r="D218" s="20">
        <v>30</v>
      </c>
      <c r="E218" s="20" t="s">
        <v>896</v>
      </c>
      <c r="F218" s="20" t="s">
        <v>894</v>
      </c>
      <c r="G218" s="20"/>
      <c r="H218" s="20"/>
      <c r="I218" s="20"/>
      <c r="J218" s="20" t="s">
        <v>895</v>
      </c>
      <c r="K218" t="e">
        <f>VLOOKUP(B218,Site!$B$1:$B$5698,2,0)</f>
        <v>#REF!</v>
      </c>
    </row>
    <row r="219" spans="1:11" x14ac:dyDescent="0.25">
      <c r="A219" s="19">
        <v>217</v>
      </c>
      <c r="B219" s="18" t="s">
        <v>106</v>
      </c>
      <c r="C219" s="18" t="s">
        <v>884</v>
      </c>
      <c r="D219" s="20">
        <v>27</v>
      </c>
      <c r="E219" s="20" t="s">
        <v>896</v>
      </c>
      <c r="F219" s="20" t="s">
        <v>894</v>
      </c>
      <c r="G219" s="20"/>
      <c r="H219" s="20"/>
      <c r="I219" s="20"/>
      <c r="J219" s="20" t="s">
        <v>895</v>
      </c>
      <c r="K219" t="e">
        <f>VLOOKUP(B219,Site!$B$1:$B$5698,2,0)</f>
        <v>#REF!</v>
      </c>
    </row>
    <row r="220" spans="1:11" x14ac:dyDescent="0.25">
      <c r="A220" s="19">
        <v>218</v>
      </c>
      <c r="B220" s="18" t="s">
        <v>126</v>
      </c>
      <c r="C220" s="18" t="s">
        <v>884</v>
      </c>
      <c r="D220" s="20">
        <v>42</v>
      </c>
      <c r="E220" s="20" t="s">
        <v>765</v>
      </c>
      <c r="F220" s="20" t="s">
        <v>894</v>
      </c>
      <c r="G220" s="20"/>
      <c r="H220" s="20"/>
      <c r="I220" s="20"/>
      <c r="J220" s="20" t="s">
        <v>895</v>
      </c>
      <c r="K220" t="e">
        <f>VLOOKUP(B220,Site!$B$1:$B$5698,2,0)</f>
        <v>#REF!</v>
      </c>
    </row>
    <row r="221" spans="1:11" x14ac:dyDescent="0.25">
      <c r="A221" s="19">
        <v>219</v>
      </c>
      <c r="B221" s="18" t="s">
        <v>107</v>
      </c>
      <c r="C221" s="18" t="s">
        <v>884</v>
      </c>
      <c r="D221" s="20">
        <v>30</v>
      </c>
      <c r="E221" s="20" t="s">
        <v>765</v>
      </c>
      <c r="F221" s="20" t="s">
        <v>894</v>
      </c>
      <c r="G221" s="20"/>
      <c r="H221" s="20"/>
      <c r="I221" s="20"/>
      <c r="J221" s="20" t="s">
        <v>895</v>
      </c>
      <c r="K221" t="e">
        <f>VLOOKUP(B221,Site!$B$1:$B$5698,2,0)</f>
        <v>#REF!</v>
      </c>
    </row>
    <row r="222" spans="1:11" x14ac:dyDescent="0.25">
      <c r="A222" s="19">
        <v>220</v>
      </c>
      <c r="B222" s="18" t="s">
        <v>108</v>
      </c>
      <c r="C222" s="18" t="s">
        <v>884</v>
      </c>
      <c r="D222" s="20">
        <v>29</v>
      </c>
      <c r="E222" s="20" t="s">
        <v>765</v>
      </c>
      <c r="F222" s="20" t="s">
        <v>894</v>
      </c>
      <c r="G222" s="20"/>
      <c r="H222" s="20"/>
      <c r="I222" s="20"/>
      <c r="J222" s="20" t="s">
        <v>895</v>
      </c>
      <c r="K222" t="e">
        <f>VLOOKUP(B222,Site!$B$1:$B$5698,2,0)</f>
        <v>#REF!</v>
      </c>
    </row>
    <row r="223" spans="1:11" x14ac:dyDescent="0.25">
      <c r="A223" s="19">
        <v>221</v>
      </c>
      <c r="B223" s="18" t="s">
        <v>78</v>
      </c>
      <c r="C223" s="18" t="s">
        <v>884</v>
      </c>
      <c r="D223" s="20">
        <v>27</v>
      </c>
      <c r="E223" s="20" t="s">
        <v>765</v>
      </c>
      <c r="F223" s="20" t="s">
        <v>894</v>
      </c>
      <c r="G223" s="20"/>
      <c r="H223" s="20"/>
      <c r="I223" s="20"/>
      <c r="J223" s="20" t="s">
        <v>895</v>
      </c>
      <c r="K223" t="e">
        <f>VLOOKUP(B223,Site!$B$1:$B$5698,2,0)</f>
        <v>#REF!</v>
      </c>
    </row>
    <row r="224" spans="1:11" x14ac:dyDescent="0.25">
      <c r="A224" s="19">
        <v>222</v>
      </c>
      <c r="B224" s="18" t="s">
        <v>88</v>
      </c>
      <c r="C224" s="18" t="s">
        <v>884</v>
      </c>
      <c r="D224" s="20">
        <v>29</v>
      </c>
      <c r="E224" s="20" t="s">
        <v>765</v>
      </c>
      <c r="F224" s="20" t="s">
        <v>894</v>
      </c>
      <c r="G224" s="20"/>
      <c r="H224" s="20"/>
      <c r="I224" s="20"/>
      <c r="J224" s="20" t="s">
        <v>895</v>
      </c>
      <c r="K224" t="e">
        <f>VLOOKUP(B224,Site!$B$1:$B$5698,2,0)</f>
        <v>#REF!</v>
      </c>
    </row>
    <row r="225" spans="1:11" x14ac:dyDescent="0.25">
      <c r="A225" s="19">
        <v>223</v>
      </c>
      <c r="B225" s="18" t="s">
        <v>26</v>
      </c>
      <c r="C225" s="18" t="s">
        <v>884</v>
      </c>
      <c r="D225" s="20">
        <v>28</v>
      </c>
      <c r="E225" s="20" t="s">
        <v>765</v>
      </c>
      <c r="F225" s="20" t="s">
        <v>894</v>
      </c>
      <c r="G225" s="20"/>
      <c r="H225" s="20"/>
      <c r="I225" s="20"/>
      <c r="J225" s="20" t="s">
        <v>895</v>
      </c>
      <c r="K225" t="e">
        <f>VLOOKUP(B225,Site!$B$1:$B$5698,2,0)</f>
        <v>#REF!</v>
      </c>
    </row>
    <row r="226" spans="1:11" x14ac:dyDescent="0.25">
      <c r="A226" s="19">
        <v>224</v>
      </c>
      <c r="B226" s="18" t="s">
        <v>132</v>
      </c>
      <c r="C226" s="18" t="s">
        <v>884</v>
      </c>
      <c r="D226" s="20">
        <v>28</v>
      </c>
      <c r="E226" s="20" t="s">
        <v>765</v>
      </c>
      <c r="F226" s="20" t="s">
        <v>894</v>
      </c>
      <c r="G226" s="20"/>
      <c r="H226" s="20"/>
      <c r="I226" s="20"/>
      <c r="J226" s="20" t="s">
        <v>895</v>
      </c>
      <c r="K226" t="e">
        <f>VLOOKUP(B226,Site!$B$1:$B$5698,2,0)</f>
        <v>#REF!</v>
      </c>
    </row>
    <row r="227" spans="1:11" x14ac:dyDescent="0.25">
      <c r="A227" s="19">
        <v>225</v>
      </c>
      <c r="B227" s="18" t="s">
        <v>2</v>
      </c>
      <c r="C227" s="18" t="s">
        <v>882</v>
      </c>
      <c r="D227" s="20">
        <v>39</v>
      </c>
      <c r="E227" s="20" t="s">
        <v>896</v>
      </c>
      <c r="F227" s="20" t="s">
        <v>894</v>
      </c>
      <c r="G227" s="20"/>
      <c r="H227" s="20"/>
      <c r="I227" s="21"/>
      <c r="J227" s="20" t="s">
        <v>895</v>
      </c>
      <c r="K227" t="e">
        <f>VLOOKUP(B227,Site!$B$1:$B$5698,2,0)</f>
        <v>#REF!</v>
      </c>
    </row>
    <row r="228" spans="1:11" x14ac:dyDescent="0.25">
      <c r="A228" s="19">
        <v>226</v>
      </c>
      <c r="B228" s="18" t="s">
        <v>109</v>
      </c>
      <c r="C228" s="18" t="s">
        <v>884</v>
      </c>
      <c r="D228" s="20">
        <v>33</v>
      </c>
      <c r="E228" s="20" t="s">
        <v>843</v>
      </c>
      <c r="F228" s="20" t="s">
        <v>894</v>
      </c>
      <c r="G228" s="20"/>
      <c r="H228" s="20"/>
      <c r="I228" s="20"/>
      <c r="J228" s="20" t="s">
        <v>895</v>
      </c>
      <c r="K228" t="e">
        <f>VLOOKUP(B228,Site!$B$1:$B$5698,2,0)</f>
        <v>#REF!</v>
      </c>
    </row>
    <row r="229" spans="1:11" x14ac:dyDescent="0.25">
      <c r="A229" s="19">
        <v>227</v>
      </c>
      <c r="B229" s="18" t="s">
        <v>18</v>
      </c>
      <c r="C229" s="18" t="s">
        <v>884</v>
      </c>
      <c r="D229" s="20">
        <v>30</v>
      </c>
      <c r="E229" s="20" t="s">
        <v>765</v>
      </c>
      <c r="F229" s="20" t="s">
        <v>894</v>
      </c>
      <c r="G229" s="20"/>
      <c r="H229" s="20"/>
      <c r="I229" s="20"/>
      <c r="J229" s="20" t="s">
        <v>895</v>
      </c>
      <c r="K229" t="e">
        <f>VLOOKUP(B229,Site!$B$1:$B$5698,2,0)</f>
        <v>#REF!</v>
      </c>
    </row>
    <row r="230" spans="1:11" x14ac:dyDescent="0.25">
      <c r="A230" s="19">
        <v>228</v>
      </c>
      <c r="B230" s="18" t="s">
        <v>79</v>
      </c>
      <c r="C230" s="18" t="s">
        <v>882</v>
      </c>
      <c r="D230" s="20">
        <v>35</v>
      </c>
      <c r="E230" s="20" t="s">
        <v>760</v>
      </c>
      <c r="F230" s="20" t="s">
        <v>894</v>
      </c>
      <c r="G230" s="20"/>
      <c r="H230" s="20"/>
      <c r="I230" s="20"/>
      <c r="J230" s="20" t="s">
        <v>895</v>
      </c>
      <c r="K230" t="e">
        <f>VLOOKUP(B230,Site!$B$1:$B$5698,2,0)</f>
        <v>#REF!</v>
      </c>
    </row>
    <row r="231" spans="1:11" x14ac:dyDescent="0.25">
      <c r="A231" s="19">
        <v>229</v>
      </c>
      <c r="B231" s="18" t="s">
        <v>19</v>
      </c>
      <c r="C231" s="18" t="s">
        <v>884</v>
      </c>
      <c r="D231" s="20">
        <v>33</v>
      </c>
      <c r="E231" s="20" t="s">
        <v>765</v>
      </c>
      <c r="F231" s="20" t="s">
        <v>894</v>
      </c>
      <c r="G231" s="20"/>
      <c r="H231" s="20"/>
      <c r="I231" s="20"/>
      <c r="J231" s="20" t="s">
        <v>895</v>
      </c>
      <c r="K231" t="e">
        <f>VLOOKUP(B231,Site!$B$1:$B$5698,2,0)</f>
        <v>#REF!</v>
      </c>
    </row>
    <row r="232" spans="1:11" x14ac:dyDescent="0.25">
      <c r="A232" s="19">
        <v>230</v>
      </c>
      <c r="B232" s="18" t="s">
        <v>20</v>
      </c>
      <c r="C232" s="18" t="s">
        <v>882</v>
      </c>
      <c r="D232" s="20">
        <v>30</v>
      </c>
      <c r="E232" s="20" t="s">
        <v>896</v>
      </c>
      <c r="F232" s="20" t="s">
        <v>894</v>
      </c>
      <c r="G232" s="20"/>
      <c r="H232" s="20"/>
      <c r="I232" s="21"/>
      <c r="J232" s="20" t="s">
        <v>895</v>
      </c>
      <c r="K232" t="e">
        <f>VLOOKUP(B232,Site!$B$1:$B$5698,2,0)</f>
        <v>#REF!</v>
      </c>
    </row>
    <row r="233" spans="1:11" x14ac:dyDescent="0.25">
      <c r="A233" s="19">
        <v>231</v>
      </c>
      <c r="B233" s="18" t="s">
        <v>21</v>
      </c>
      <c r="C233" s="18" t="s">
        <v>884</v>
      </c>
      <c r="D233" s="20">
        <v>30</v>
      </c>
      <c r="E233" s="20" t="s">
        <v>765</v>
      </c>
      <c r="F233" s="20" t="s">
        <v>894</v>
      </c>
      <c r="G233" s="20"/>
      <c r="H233" s="20"/>
      <c r="I233" s="20"/>
      <c r="J233" s="20" t="s">
        <v>895</v>
      </c>
      <c r="K233" t="e">
        <f>VLOOKUP(B233,Site!$B$1:$B$5698,2,0)</f>
        <v>#REF!</v>
      </c>
    </row>
    <row r="234" spans="1:11" x14ac:dyDescent="0.25">
      <c r="A234" s="19">
        <v>232</v>
      </c>
      <c r="B234" s="18" t="s">
        <v>110</v>
      </c>
      <c r="C234" s="18" t="s">
        <v>884</v>
      </c>
      <c r="D234" s="20">
        <v>33</v>
      </c>
      <c r="E234" s="20" t="s">
        <v>843</v>
      </c>
      <c r="F234" s="20" t="s">
        <v>894</v>
      </c>
      <c r="G234" s="20"/>
      <c r="H234" s="20"/>
      <c r="I234" s="20"/>
      <c r="J234" s="20" t="s">
        <v>895</v>
      </c>
      <c r="K234" t="e">
        <f>VLOOKUP(B234,Site!$B$1:$B$5698,2,0)</f>
        <v>#REF!</v>
      </c>
    </row>
    <row r="235" spans="1:11" x14ac:dyDescent="0.25">
      <c r="A235" s="19">
        <v>233</v>
      </c>
      <c r="B235" s="18" t="s">
        <v>111</v>
      </c>
      <c r="C235" s="18" t="s">
        <v>884</v>
      </c>
      <c r="D235" s="20">
        <v>29</v>
      </c>
      <c r="E235" s="20" t="s">
        <v>765</v>
      </c>
      <c r="F235" s="20" t="s">
        <v>894</v>
      </c>
      <c r="G235" s="20"/>
      <c r="H235" s="20"/>
      <c r="I235" s="20"/>
      <c r="J235" s="20" t="s">
        <v>895</v>
      </c>
      <c r="K235" t="e">
        <f>VLOOKUP(B235,Site!$B$1:$B$5698,2,0)</f>
        <v>#REF!</v>
      </c>
    </row>
    <row r="236" spans="1:11" x14ac:dyDescent="0.25">
      <c r="A236" s="19">
        <v>234</v>
      </c>
      <c r="B236" s="18" t="s">
        <v>27</v>
      </c>
      <c r="C236" s="18" t="s">
        <v>884</v>
      </c>
      <c r="D236" s="20">
        <v>31</v>
      </c>
      <c r="E236" s="20" t="s">
        <v>765</v>
      </c>
      <c r="F236" s="20" t="s">
        <v>894</v>
      </c>
      <c r="G236" s="20"/>
      <c r="H236" s="20"/>
      <c r="I236" s="20"/>
      <c r="J236" s="20" t="s">
        <v>895</v>
      </c>
      <c r="K236" t="e">
        <f>VLOOKUP(B236,Site!$B$1:$B$5698,2,0)</f>
        <v>#REF!</v>
      </c>
    </row>
    <row r="237" spans="1:11" x14ac:dyDescent="0.25">
      <c r="A237" s="19">
        <v>235</v>
      </c>
      <c r="B237" s="18" t="s">
        <v>133</v>
      </c>
      <c r="C237" s="18" t="s">
        <v>884</v>
      </c>
      <c r="D237" s="20">
        <v>30</v>
      </c>
      <c r="E237" s="20" t="s">
        <v>765</v>
      </c>
      <c r="F237" s="20" t="s">
        <v>894</v>
      </c>
      <c r="G237" s="20"/>
      <c r="H237" s="20"/>
      <c r="I237" s="20"/>
      <c r="J237" s="20" t="s">
        <v>895</v>
      </c>
      <c r="K237" t="e">
        <f>VLOOKUP(B237,Site!$B$1:$B$5698,2,0)</f>
        <v>#REF!</v>
      </c>
    </row>
    <row r="238" spans="1:11" x14ac:dyDescent="0.25">
      <c r="A238" s="19">
        <v>236</v>
      </c>
      <c r="B238" s="18" t="s">
        <v>22</v>
      </c>
      <c r="C238" s="18" t="s">
        <v>884</v>
      </c>
      <c r="D238" s="20">
        <v>30</v>
      </c>
      <c r="E238" s="20" t="s">
        <v>765</v>
      </c>
      <c r="F238" s="20" t="s">
        <v>894</v>
      </c>
      <c r="G238" s="20"/>
      <c r="H238" s="20"/>
      <c r="I238" s="20"/>
      <c r="J238" s="20" t="s">
        <v>895</v>
      </c>
      <c r="K238" t="e">
        <f>VLOOKUP(B238,Site!$B$1:$B$5698,2,0)</f>
        <v>#REF!</v>
      </c>
    </row>
    <row r="239" spans="1:11" x14ac:dyDescent="0.25">
      <c r="A239" s="19">
        <v>237</v>
      </c>
      <c r="B239" s="18" t="s">
        <v>23</v>
      </c>
      <c r="C239" s="18" t="s">
        <v>884</v>
      </c>
      <c r="D239" s="20">
        <v>28</v>
      </c>
      <c r="E239" s="20" t="s">
        <v>765</v>
      </c>
      <c r="F239" s="20" t="s">
        <v>894</v>
      </c>
      <c r="G239" s="20"/>
      <c r="H239" s="20"/>
      <c r="I239" s="20"/>
      <c r="J239" s="20" t="s">
        <v>895</v>
      </c>
      <c r="K239" t="e">
        <f>VLOOKUP(B239,Site!$B$1:$B$5698,2,0)</f>
        <v>#REF!</v>
      </c>
    </row>
    <row r="240" spans="1:11" x14ac:dyDescent="0.25">
      <c r="A240" s="19">
        <v>238</v>
      </c>
      <c r="B240" s="18" t="s">
        <v>112</v>
      </c>
      <c r="C240" s="18" t="s">
        <v>884</v>
      </c>
      <c r="D240" s="20">
        <v>40</v>
      </c>
      <c r="E240" s="20" t="s">
        <v>843</v>
      </c>
      <c r="F240" s="20" t="s">
        <v>894</v>
      </c>
      <c r="G240" s="20"/>
      <c r="H240" s="20"/>
      <c r="I240" s="20"/>
      <c r="J240" s="20" t="s">
        <v>895</v>
      </c>
      <c r="K240" t="e">
        <f>VLOOKUP(B240,Site!$B$1:$B$5698,2,0)</f>
        <v>#REF!</v>
      </c>
    </row>
    <row r="241" spans="1:11" x14ac:dyDescent="0.25">
      <c r="A241" s="19">
        <v>239</v>
      </c>
      <c r="B241" s="18" t="s">
        <v>113</v>
      </c>
      <c r="C241" s="18" t="s">
        <v>884</v>
      </c>
      <c r="D241" s="20">
        <v>31</v>
      </c>
      <c r="E241" s="20" t="s">
        <v>765</v>
      </c>
      <c r="F241" s="20" t="s">
        <v>894</v>
      </c>
      <c r="G241" s="20"/>
      <c r="H241" s="20"/>
      <c r="I241" s="20"/>
      <c r="J241" s="20" t="s">
        <v>895</v>
      </c>
      <c r="K241" t="e">
        <f>VLOOKUP(B241,Site!$B$1:$B$5698,2,0)</f>
        <v>#REF!</v>
      </c>
    </row>
    <row r="242" spans="1:11" x14ac:dyDescent="0.25">
      <c r="A242" s="19">
        <v>240</v>
      </c>
      <c r="B242" s="18" t="s">
        <v>114</v>
      </c>
      <c r="C242" s="18" t="s">
        <v>884</v>
      </c>
      <c r="D242" s="20">
        <v>27</v>
      </c>
      <c r="E242" s="20" t="s">
        <v>765</v>
      </c>
      <c r="F242" s="20" t="s">
        <v>894</v>
      </c>
      <c r="G242" s="20"/>
      <c r="H242" s="20"/>
      <c r="I242" s="20"/>
      <c r="J242" s="20" t="s">
        <v>895</v>
      </c>
      <c r="K242" t="e">
        <f>VLOOKUP(B242,Site!$B$1:$B$5698,2,0)</f>
        <v>#REF!</v>
      </c>
    </row>
    <row r="243" spans="1:11" x14ac:dyDescent="0.25">
      <c r="A243" s="19">
        <v>241</v>
      </c>
      <c r="B243" s="18" t="s">
        <v>120</v>
      </c>
      <c r="C243" s="18" t="s">
        <v>884</v>
      </c>
      <c r="D243" s="20">
        <v>27</v>
      </c>
      <c r="E243" s="20" t="s">
        <v>843</v>
      </c>
      <c r="F243" s="20" t="s">
        <v>894</v>
      </c>
      <c r="G243" s="20"/>
      <c r="H243" s="20"/>
      <c r="I243" s="20"/>
      <c r="J243" s="20" t="s">
        <v>895</v>
      </c>
      <c r="K243" t="e">
        <f>VLOOKUP(B243,Site!$B$1:$B$5698,2,0)</f>
        <v>#REF!</v>
      </c>
    </row>
    <row r="244" spans="1:11" x14ac:dyDescent="0.25">
      <c r="A244" s="19">
        <v>242</v>
      </c>
      <c r="B244" s="18" t="s">
        <v>115</v>
      </c>
      <c r="C244" s="18" t="s">
        <v>884</v>
      </c>
      <c r="D244" s="20">
        <v>27</v>
      </c>
      <c r="E244" s="20" t="s">
        <v>760</v>
      </c>
      <c r="F244" s="20" t="s">
        <v>894</v>
      </c>
      <c r="G244" s="20"/>
      <c r="H244" s="20"/>
      <c r="I244" s="20"/>
      <c r="J244" s="20" t="s">
        <v>895</v>
      </c>
      <c r="K244" t="e">
        <f>VLOOKUP(B244,Site!$B$1:$B$5698,2,0)</f>
        <v>#REF!</v>
      </c>
    </row>
    <row r="245" spans="1:11" x14ac:dyDescent="0.25">
      <c r="A245" s="19">
        <v>243</v>
      </c>
      <c r="B245" s="18" t="s">
        <v>136</v>
      </c>
      <c r="C245" s="18" t="s">
        <v>884</v>
      </c>
      <c r="D245" s="20">
        <v>31</v>
      </c>
      <c r="E245" s="20" t="s">
        <v>843</v>
      </c>
      <c r="F245" s="20" t="s">
        <v>894</v>
      </c>
      <c r="G245" s="20"/>
      <c r="H245" s="20"/>
      <c r="I245" s="20"/>
      <c r="J245" s="20" t="s">
        <v>895</v>
      </c>
      <c r="K245" t="e">
        <f>VLOOKUP(B245,Site!$B$1:$B$5698,2,0)</f>
        <v>#REF!</v>
      </c>
    </row>
    <row r="246" spans="1:11" x14ac:dyDescent="0.25">
      <c r="A246" s="19">
        <v>244</v>
      </c>
      <c r="B246" s="18" t="s">
        <v>116</v>
      </c>
      <c r="C246" s="18" t="s">
        <v>884</v>
      </c>
      <c r="D246" s="20">
        <v>30</v>
      </c>
      <c r="E246" s="20" t="s">
        <v>843</v>
      </c>
      <c r="F246" s="20" t="s">
        <v>894</v>
      </c>
      <c r="G246" s="20"/>
      <c r="H246" s="20"/>
      <c r="I246" s="20"/>
      <c r="J246" s="20" t="s">
        <v>895</v>
      </c>
      <c r="K246" t="e">
        <f>VLOOKUP(B246,Site!$B$1:$B$5698,2,0)</f>
        <v>#REF!</v>
      </c>
    </row>
    <row r="247" spans="1:11" x14ac:dyDescent="0.25">
      <c r="A247" s="19">
        <v>245</v>
      </c>
      <c r="B247" s="18" t="s">
        <v>162</v>
      </c>
      <c r="C247" s="18" t="s">
        <v>884</v>
      </c>
      <c r="D247" s="20">
        <v>42</v>
      </c>
      <c r="E247" s="20" t="s">
        <v>843</v>
      </c>
      <c r="F247" s="20" t="s">
        <v>894</v>
      </c>
      <c r="G247" s="20"/>
      <c r="H247" s="20"/>
      <c r="I247" s="20"/>
      <c r="J247" s="20" t="s">
        <v>895</v>
      </c>
      <c r="K247" t="e">
        <f>VLOOKUP(B247,Site!$B$1:$B$5698,2,0)</f>
        <v>#REF!</v>
      </c>
    </row>
    <row r="248" spans="1:11" x14ac:dyDescent="0.25">
      <c r="A248" s="19">
        <v>246</v>
      </c>
      <c r="B248" s="18" t="s">
        <v>35</v>
      </c>
      <c r="C248" s="18" t="s">
        <v>884</v>
      </c>
      <c r="D248" s="20">
        <v>45</v>
      </c>
      <c r="E248" s="20" t="s">
        <v>896</v>
      </c>
      <c r="F248" s="20" t="s">
        <v>902</v>
      </c>
      <c r="G248" s="20"/>
      <c r="H248" s="20"/>
      <c r="I248" s="20" t="s">
        <v>900</v>
      </c>
      <c r="J248" s="20" t="s">
        <v>901</v>
      </c>
      <c r="K248" t="e">
        <f>VLOOKUP(B248,Site!$B$1:$B$5698,2,0)</f>
        <v>#REF!</v>
      </c>
    </row>
    <row r="249" spans="1:11" x14ac:dyDescent="0.25">
      <c r="A249" s="19">
        <v>247</v>
      </c>
      <c r="B249" s="18" t="s">
        <v>137</v>
      </c>
      <c r="C249" s="18" t="s">
        <v>884</v>
      </c>
      <c r="D249" s="20">
        <v>39</v>
      </c>
      <c r="E249" s="20" t="s">
        <v>843</v>
      </c>
      <c r="F249" s="20" t="s">
        <v>894</v>
      </c>
      <c r="G249" s="20"/>
      <c r="H249" s="20"/>
      <c r="I249" s="20"/>
      <c r="J249" s="20" t="s">
        <v>895</v>
      </c>
      <c r="K249" t="e">
        <f>VLOOKUP(B249,Site!$B$1:$B$5698,2,0)</f>
        <v>#REF!</v>
      </c>
    </row>
    <row r="250" spans="1:11" x14ac:dyDescent="0.25">
      <c r="A250" s="19">
        <v>248</v>
      </c>
      <c r="B250" s="18" t="s">
        <v>138</v>
      </c>
      <c r="C250" s="18" t="s">
        <v>884</v>
      </c>
      <c r="D250" s="20">
        <v>39</v>
      </c>
      <c r="E250" s="20" t="s">
        <v>843</v>
      </c>
      <c r="F250" s="20" t="s">
        <v>894</v>
      </c>
      <c r="G250" s="20"/>
      <c r="H250" s="20"/>
      <c r="I250" s="20"/>
      <c r="J250" s="20" t="s">
        <v>895</v>
      </c>
      <c r="K250" t="e">
        <f>VLOOKUP(B250,Site!$B$1:$B$5698,2,0)</f>
        <v>#REF!</v>
      </c>
    </row>
    <row r="251" spans="1:11" x14ac:dyDescent="0.25">
      <c r="A251" s="19">
        <v>249</v>
      </c>
      <c r="B251" s="18" t="s">
        <v>139</v>
      </c>
      <c r="C251" s="18" t="s">
        <v>884</v>
      </c>
      <c r="D251" s="20">
        <v>31</v>
      </c>
      <c r="E251" s="20" t="s">
        <v>843</v>
      </c>
      <c r="F251" s="20" t="s">
        <v>894</v>
      </c>
      <c r="G251" s="20"/>
      <c r="H251" s="20"/>
      <c r="I251" s="20"/>
      <c r="J251" s="20" t="s">
        <v>895</v>
      </c>
      <c r="K251" t="e">
        <f>VLOOKUP(B251,Site!$B$1:$B$5698,2,0)</f>
        <v>#REF!</v>
      </c>
    </row>
    <row r="252" spans="1:11" x14ac:dyDescent="0.25">
      <c r="A252" s="19">
        <v>250</v>
      </c>
      <c r="B252" s="18" t="s">
        <v>140</v>
      </c>
      <c r="C252" s="18" t="s">
        <v>884</v>
      </c>
      <c r="D252" s="20">
        <v>29</v>
      </c>
      <c r="E252" s="20" t="s">
        <v>843</v>
      </c>
      <c r="F252" s="20" t="s">
        <v>894</v>
      </c>
      <c r="G252" s="20"/>
      <c r="H252" s="20"/>
      <c r="I252" s="20"/>
      <c r="J252" s="20" t="s">
        <v>895</v>
      </c>
      <c r="K252" t="e">
        <f>VLOOKUP(B252,Site!$B$1:$B$5698,2,0)</f>
        <v>#REF!</v>
      </c>
    </row>
    <row r="253" spans="1:11" x14ac:dyDescent="0.25">
      <c r="A253" s="19">
        <v>251</v>
      </c>
      <c r="B253" s="18" t="s">
        <v>384</v>
      </c>
      <c r="C253" s="18" t="s">
        <v>884</v>
      </c>
      <c r="D253" s="20">
        <v>28</v>
      </c>
      <c r="E253" s="20" t="s">
        <v>896</v>
      </c>
      <c r="F253" s="20" t="s">
        <v>894</v>
      </c>
      <c r="G253" s="20"/>
      <c r="H253" s="20"/>
      <c r="I253" s="20"/>
      <c r="J253" s="20" t="s">
        <v>895</v>
      </c>
      <c r="K253" t="e">
        <f>VLOOKUP(B253,Site!$B$1:$B$5698,2,0)</f>
        <v>#REF!</v>
      </c>
    </row>
    <row r="254" spans="1:11" x14ac:dyDescent="0.25">
      <c r="A254" s="19">
        <v>252</v>
      </c>
      <c r="B254" s="18" t="s">
        <v>390</v>
      </c>
      <c r="C254" s="18" t="s">
        <v>884</v>
      </c>
      <c r="D254" s="20">
        <v>29</v>
      </c>
      <c r="E254" s="20" t="s">
        <v>843</v>
      </c>
      <c r="F254" s="20" t="s">
        <v>897</v>
      </c>
      <c r="G254" s="20"/>
      <c r="H254" s="20"/>
      <c r="I254" s="20"/>
      <c r="J254" s="20" t="s">
        <v>898</v>
      </c>
      <c r="K254" t="e">
        <f>VLOOKUP(B254,Site!$B$1:$B$5698,2,0)</f>
        <v>#REF!</v>
      </c>
    </row>
    <row r="255" spans="1:11" x14ac:dyDescent="0.25">
      <c r="A255" s="19">
        <v>253</v>
      </c>
      <c r="B255" s="18" t="s">
        <v>391</v>
      </c>
      <c r="C255" s="18" t="s">
        <v>884</v>
      </c>
      <c r="D255" s="20">
        <v>31</v>
      </c>
      <c r="E255" s="20" t="s">
        <v>843</v>
      </c>
      <c r="F255" s="20" t="s">
        <v>897</v>
      </c>
      <c r="G255" s="20"/>
      <c r="H255" s="20"/>
      <c r="I255" s="20"/>
      <c r="J255" s="20" t="s">
        <v>898</v>
      </c>
      <c r="K255" t="e">
        <f>VLOOKUP(B255,Site!$B$1:$B$5698,2,0)</f>
        <v>#REF!</v>
      </c>
    </row>
    <row r="256" spans="1:11" x14ac:dyDescent="0.25">
      <c r="A256" s="19">
        <v>254</v>
      </c>
      <c r="B256" s="18" t="s">
        <v>441</v>
      </c>
      <c r="C256" s="18" t="s">
        <v>884</v>
      </c>
      <c r="D256" s="20">
        <v>39</v>
      </c>
      <c r="E256" s="20" t="s">
        <v>843</v>
      </c>
      <c r="F256" s="20" t="s">
        <v>894</v>
      </c>
      <c r="G256" s="20"/>
      <c r="H256" s="20"/>
      <c r="I256" s="20"/>
      <c r="J256" s="20" t="s">
        <v>895</v>
      </c>
      <c r="K256" t="e">
        <f>VLOOKUP(B256,Site!$B$1:$B$5698,2,0)</f>
        <v>#REF!</v>
      </c>
    </row>
    <row r="257" spans="1:11" x14ac:dyDescent="0.25">
      <c r="A257" s="19">
        <v>255</v>
      </c>
      <c r="B257" s="18" t="s">
        <v>464</v>
      </c>
      <c r="C257" s="18" t="s">
        <v>884</v>
      </c>
      <c r="D257" s="20">
        <v>30</v>
      </c>
      <c r="E257" s="20" t="s">
        <v>843</v>
      </c>
      <c r="F257" s="20" t="s">
        <v>894</v>
      </c>
      <c r="G257" s="20"/>
      <c r="H257" s="20"/>
      <c r="I257" s="20"/>
      <c r="J257" s="20" t="s">
        <v>895</v>
      </c>
      <c r="K257" t="e">
        <f>VLOOKUP(B257,Site!$B$1:$B$5698,2,0)</f>
        <v>#REF!</v>
      </c>
    </row>
    <row r="258" spans="1:11" x14ac:dyDescent="0.25">
      <c r="A258" s="19">
        <v>256</v>
      </c>
      <c r="B258" s="18" t="s">
        <v>451</v>
      </c>
      <c r="C258" s="18" t="s">
        <v>884</v>
      </c>
      <c r="D258" s="20">
        <v>30</v>
      </c>
      <c r="E258" s="20" t="s">
        <v>896</v>
      </c>
      <c r="F258" s="20" t="s">
        <v>894</v>
      </c>
      <c r="G258" s="20"/>
      <c r="H258" s="20"/>
      <c r="I258" s="20"/>
      <c r="J258" s="20" t="s">
        <v>895</v>
      </c>
      <c r="K258" t="e">
        <f>VLOOKUP(B258,Site!$B$1:$B$5698,2,0)</f>
        <v>#REF!</v>
      </c>
    </row>
    <row r="259" spans="1:11" x14ac:dyDescent="0.25">
      <c r="A259" s="19">
        <v>257</v>
      </c>
      <c r="B259" s="18" t="s">
        <v>472</v>
      </c>
      <c r="C259" s="18" t="s">
        <v>884</v>
      </c>
      <c r="D259" s="20">
        <v>36</v>
      </c>
      <c r="E259" s="20" t="s">
        <v>843</v>
      </c>
      <c r="F259" s="20" t="s">
        <v>897</v>
      </c>
      <c r="G259" s="20"/>
      <c r="H259" s="20"/>
      <c r="I259" s="20"/>
      <c r="J259" s="20" t="s">
        <v>898</v>
      </c>
      <c r="K259" t="e">
        <f>VLOOKUP(B259,Site!$B$1:$B$5698,2,0)</f>
        <v>#REF!</v>
      </c>
    </row>
    <row r="260" spans="1:11" x14ac:dyDescent="0.25">
      <c r="A260" s="19">
        <v>258</v>
      </c>
      <c r="B260" s="18" t="s">
        <v>473</v>
      </c>
      <c r="C260" s="18" t="s">
        <v>884</v>
      </c>
      <c r="D260" s="20">
        <v>30</v>
      </c>
      <c r="E260" s="20" t="s">
        <v>843</v>
      </c>
      <c r="F260" s="20" t="s">
        <v>897</v>
      </c>
      <c r="G260" s="20"/>
      <c r="H260" s="20"/>
      <c r="I260" s="20"/>
      <c r="J260" s="20" t="s">
        <v>898</v>
      </c>
      <c r="K260" t="e">
        <f>VLOOKUP(B260,Site!$B$1:$B$5698,2,0)</f>
        <v>#REF!</v>
      </c>
    </row>
    <row r="261" spans="1:11" x14ac:dyDescent="0.25">
      <c r="A261" s="19">
        <v>259</v>
      </c>
      <c r="B261" s="18" t="s">
        <v>484</v>
      </c>
      <c r="C261" s="18" t="s">
        <v>884</v>
      </c>
      <c r="D261" s="20">
        <v>36</v>
      </c>
      <c r="E261" s="20" t="s">
        <v>843</v>
      </c>
      <c r="F261" s="20" t="s">
        <v>897</v>
      </c>
      <c r="G261" s="20"/>
      <c r="H261" s="20"/>
      <c r="I261" s="20"/>
      <c r="J261" s="20" t="s">
        <v>898</v>
      </c>
      <c r="K261" t="e">
        <f>VLOOKUP(B261,Site!$B$1:$B$5698,2,0)</f>
        <v>#REF!</v>
      </c>
    </row>
    <row r="262" spans="1:11" x14ac:dyDescent="0.25">
      <c r="A262" s="19">
        <v>260</v>
      </c>
      <c r="B262" s="18" t="s">
        <v>471</v>
      </c>
      <c r="C262" s="18" t="s">
        <v>884</v>
      </c>
      <c r="D262" s="20">
        <v>39</v>
      </c>
      <c r="E262" s="20" t="s">
        <v>843</v>
      </c>
      <c r="F262" s="20" t="s">
        <v>897</v>
      </c>
      <c r="G262" s="20"/>
      <c r="H262" s="20"/>
      <c r="I262" s="20"/>
      <c r="J262" s="20" t="s">
        <v>898</v>
      </c>
      <c r="K262" t="e">
        <f>VLOOKUP(B262,Site!$B$1:$B$5698,2,0)</f>
        <v>#REF!</v>
      </c>
    </row>
    <row r="263" spans="1:11" x14ac:dyDescent="0.25">
      <c r="A263" s="19">
        <v>261</v>
      </c>
      <c r="B263" s="18" t="s">
        <v>352</v>
      </c>
      <c r="C263" s="18" t="s">
        <v>882</v>
      </c>
      <c r="D263" s="20">
        <v>50</v>
      </c>
      <c r="E263" s="20" t="s">
        <v>760</v>
      </c>
      <c r="F263" s="20" t="s">
        <v>894</v>
      </c>
      <c r="G263" s="20"/>
      <c r="H263" s="20"/>
      <c r="I263" s="20"/>
      <c r="J263" s="20" t="s">
        <v>895</v>
      </c>
      <c r="K263" t="e">
        <f>VLOOKUP(B263,Site!$B$1:$B$5698,2,0)</f>
        <v>#REF!</v>
      </c>
    </row>
    <row r="264" spans="1:11" x14ac:dyDescent="0.25">
      <c r="A264" s="19">
        <v>262</v>
      </c>
      <c r="B264" s="18" t="s">
        <v>347</v>
      </c>
      <c r="C264" s="18" t="s">
        <v>884</v>
      </c>
      <c r="D264" s="20">
        <v>30</v>
      </c>
      <c r="E264" s="20" t="s">
        <v>843</v>
      </c>
      <c r="F264" s="20" t="s">
        <v>894</v>
      </c>
      <c r="G264" s="20"/>
      <c r="H264" s="20"/>
      <c r="I264" s="20"/>
      <c r="J264" s="20" t="s">
        <v>895</v>
      </c>
      <c r="K264" t="e">
        <f>VLOOKUP(B264,Site!$B$1:$B$5698,2,0)</f>
        <v>#REF!</v>
      </c>
    </row>
    <row r="265" spans="1:11" x14ac:dyDescent="0.25">
      <c r="A265" s="19">
        <v>263</v>
      </c>
      <c r="B265" s="18" t="s">
        <v>366</v>
      </c>
      <c r="C265" s="18" t="s">
        <v>884</v>
      </c>
      <c r="D265" s="20">
        <v>45</v>
      </c>
      <c r="E265" s="20" t="s">
        <v>765</v>
      </c>
      <c r="F265" s="20" t="s">
        <v>894</v>
      </c>
      <c r="G265" s="20"/>
      <c r="H265" s="20"/>
      <c r="I265" s="20"/>
      <c r="J265" s="20" t="s">
        <v>895</v>
      </c>
      <c r="K265" t="e">
        <f>VLOOKUP(B265,Site!$B$1:$B$5698,2,0)</f>
        <v>#REF!</v>
      </c>
    </row>
    <row r="266" spans="1:11" x14ac:dyDescent="0.25">
      <c r="A266" s="19">
        <v>264</v>
      </c>
      <c r="B266" s="18" t="s">
        <v>348</v>
      </c>
      <c r="C266" s="18" t="s">
        <v>884</v>
      </c>
      <c r="D266" s="20">
        <v>39</v>
      </c>
      <c r="E266" s="20" t="s">
        <v>765</v>
      </c>
      <c r="F266" s="20" t="s">
        <v>894</v>
      </c>
      <c r="G266" s="20"/>
      <c r="H266" s="20"/>
      <c r="I266" s="20"/>
      <c r="J266" s="20" t="s">
        <v>895</v>
      </c>
      <c r="K266" t="e">
        <f>VLOOKUP(B266,Site!$B$1:$B$5698,2,0)</f>
        <v>#REF!</v>
      </c>
    </row>
    <row r="267" spans="1:11" x14ac:dyDescent="0.25">
      <c r="A267" s="19">
        <v>265</v>
      </c>
      <c r="B267" s="18" t="s">
        <v>354</v>
      </c>
      <c r="C267" s="18" t="s">
        <v>884</v>
      </c>
      <c r="D267" s="20">
        <v>45</v>
      </c>
      <c r="E267" s="20" t="s">
        <v>896</v>
      </c>
      <c r="F267" s="20" t="s">
        <v>894</v>
      </c>
      <c r="G267" s="20"/>
      <c r="H267" s="20"/>
      <c r="I267" s="20"/>
      <c r="J267" s="20" t="s">
        <v>895</v>
      </c>
      <c r="K267" t="e">
        <f>VLOOKUP(B267,Site!$B$1:$B$5698,2,0)</f>
        <v>#REF!</v>
      </c>
    </row>
    <row r="268" spans="1:11" x14ac:dyDescent="0.25">
      <c r="A268" s="19">
        <v>266</v>
      </c>
      <c r="B268" s="18" t="s">
        <v>349</v>
      </c>
      <c r="C268" s="18" t="s">
        <v>884</v>
      </c>
      <c r="D268" s="20">
        <v>48</v>
      </c>
      <c r="E268" s="20" t="s">
        <v>765</v>
      </c>
      <c r="F268" s="20" t="s">
        <v>894</v>
      </c>
      <c r="G268" s="20"/>
      <c r="H268" s="20"/>
      <c r="I268" s="20"/>
      <c r="J268" s="20" t="s">
        <v>895</v>
      </c>
      <c r="K268" t="e">
        <f>VLOOKUP(B268,Site!$B$1:$B$5698,2,0)</f>
        <v>#REF!</v>
      </c>
    </row>
    <row r="269" spans="1:11" x14ac:dyDescent="0.25">
      <c r="A269" s="19">
        <v>267</v>
      </c>
      <c r="B269" s="18" t="s">
        <v>363</v>
      </c>
      <c r="C269" s="18" t="s">
        <v>884</v>
      </c>
      <c r="D269" s="20">
        <v>42</v>
      </c>
      <c r="E269" s="20" t="s">
        <v>765</v>
      </c>
      <c r="F269" s="20" t="s">
        <v>894</v>
      </c>
      <c r="G269" s="20"/>
      <c r="H269" s="20"/>
      <c r="I269" s="20"/>
      <c r="J269" s="20" t="s">
        <v>895</v>
      </c>
      <c r="K269" t="e">
        <f>VLOOKUP(B269,Site!$B$1:$B$5698,2,0)</f>
        <v>#REF!</v>
      </c>
    </row>
    <row r="270" spans="1:11" x14ac:dyDescent="0.25">
      <c r="A270" s="19">
        <v>268</v>
      </c>
      <c r="B270" s="18" t="s">
        <v>350</v>
      </c>
      <c r="C270" s="18" t="s">
        <v>884</v>
      </c>
      <c r="D270" s="20">
        <v>45</v>
      </c>
      <c r="E270" s="20" t="s">
        <v>765</v>
      </c>
      <c r="F270" s="20" t="s">
        <v>894</v>
      </c>
      <c r="G270" s="20"/>
      <c r="H270" s="20"/>
      <c r="I270" s="20"/>
      <c r="J270" s="20" t="s">
        <v>895</v>
      </c>
      <c r="K270" t="e">
        <f>VLOOKUP(B270,Site!$B$1:$B$5698,2,0)</f>
        <v>#REF!</v>
      </c>
    </row>
    <row r="271" spans="1:11" x14ac:dyDescent="0.25">
      <c r="A271" s="19">
        <v>269</v>
      </c>
      <c r="B271" s="18" t="s">
        <v>351</v>
      </c>
      <c r="C271" s="18" t="s">
        <v>884</v>
      </c>
      <c r="D271" s="20">
        <v>30</v>
      </c>
      <c r="E271" s="20" t="s">
        <v>765</v>
      </c>
      <c r="F271" s="20" t="s">
        <v>894</v>
      </c>
      <c r="G271" s="20"/>
      <c r="H271" s="20"/>
      <c r="I271" s="20"/>
      <c r="J271" s="20" t="s">
        <v>895</v>
      </c>
      <c r="K271" t="e">
        <f>VLOOKUP(B271,Site!$B$1:$B$5698,2,0)</f>
        <v>#REF!</v>
      </c>
    </row>
    <row r="272" spans="1:11" x14ac:dyDescent="0.25">
      <c r="A272" s="19">
        <v>270</v>
      </c>
      <c r="B272" s="18" t="s">
        <v>344</v>
      </c>
      <c r="C272" s="18" t="s">
        <v>884</v>
      </c>
      <c r="D272" s="20">
        <v>42</v>
      </c>
      <c r="E272" s="20" t="s">
        <v>765</v>
      </c>
      <c r="F272" s="20" t="s">
        <v>894</v>
      </c>
      <c r="G272" s="20"/>
      <c r="H272" s="20"/>
      <c r="I272" s="20"/>
      <c r="J272" s="20" t="s">
        <v>895</v>
      </c>
      <c r="K272" t="e">
        <f>VLOOKUP(B272,Site!$B$1:$B$5698,2,0)</f>
        <v>#REF!</v>
      </c>
    </row>
    <row r="273" spans="1:11" x14ac:dyDescent="0.25">
      <c r="A273" s="19">
        <v>271</v>
      </c>
      <c r="B273" s="18" t="s">
        <v>372</v>
      </c>
      <c r="C273" s="18" t="s">
        <v>884</v>
      </c>
      <c r="D273" s="20">
        <v>45</v>
      </c>
      <c r="E273" s="20" t="s">
        <v>896</v>
      </c>
      <c r="F273" s="20" t="s">
        <v>894</v>
      </c>
      <c r="G273" s="20"/>
      <c r="H273" s="20"/>
      <c r="I273" s="20"/>
      <c r="J273" s="20" t="s">
        <v>895</v>
      </c>
      <c r="K273" t="e">
        <f>VLOOKUP(B273,Site!$B$1:$B$5698,2,0)</f>
        <v>#REF!</v>
      </c>
    </row>
    <row r="274" spans="1:11" x14ac:dyDescent="0.25">
      <c r="A274" s="19">
        <v>272</v>
      </c>
      <c r="B274" s="18" t="s">
        <v>370</v>
      </c>
      <c r="C274" s="18" t="s">
        <v>884</v>
      </c>
      <c r="D274" s="20">
        <v>39</v>
      </c>
      <c r="E274" s="20" t="s">
        <v>843</v>
      </c>
      <c r="F274" s="20" t="s">
        <v>894</v>
      </c>
      <c r="G274" s="20"/>
      <c r="H274" s="20"/>
      <c r="I274" s="20"/>
      <c r="J274" s="20" t="s">
        <v>895</v>
      </c>
      <c r="K274" t="e">
        <f>VLOOKUP(B274,Site!$B$1:$B$5698,2,0)</f>
        <v>#REF!</v>
      </c>
    </row>
    <row r="275" spans="1:11" x14ac:dyDescent="0.25">
      <c r="A275" s="19">
        <v>273</v>
      </c>
      <c r="B275" s="18" t="s">
        <v>359</v>
      </c>
      <c r="C275" s="18" t="s">
        <v>884</v>
      </c>
      <c r="D275" s="20">
        <v>39</v>
      </c>
      <c r="E275" s="20" t="s">
        <v>765</v>
      </c>
      <c r="F275" s="20" t="s">
        <v>894</v>
      </c>
      <c r="G275" s="20"/>
      <c r="H275" s="20"/>
      <c r="I275" s="20"/>
      <c r="J275" s="20" t="s">
        <v>895</v>
      </c>
      <c r="K275" t="e">
        <f>VLOOKUP(B275,Site!$B$1:$B$5698,2,0)</f>
        <v>#REF!</v>
      </c>
    </row>
    <row r="276" spans="1:11" x14ac:dyDescent="0.25">
      <c r="A276" s="19">
        <v>274</v>
      </c>
      <c r="B276" s="18" t="s">
        <v>358</v>
      </c>
      <c r="C276" s="18" t="s">
        <v>884</v>
      </c>
      <c r="D276" s="20">
        <v>45</v>
      </c>
      <c r="E276" s="20" t="s">
        <v>896</v>
      </c>
      <c r="F276" s="20" t="s">
        <v>902</v>
      </c>
      <c r="G276" s="20"/>
      <c r="H276" s="20"/>
      <c r="I276" s="20" t="s">
        <v>900</v>
      </c>
      <c r="J276" s="20" t="s">
        <v>901</v>
      </c>
      <c r="K276" t="e">
        <f>VLOOKUP(B276,Site!$B$1:$B$5698,2,0)</f>
        <v>#REF!</v>
      </c>
    </row>
    <row r="277" spans="1:11" x14ac:dyDescent="0.25">
      <c r="A277" s="19">
        <v>275</v>
      </c>
      <c r="B277" s="18" t="s">
        <v>356</v>
      </c>
      <c r="C277" s="18" t="s">
        <v>884</v>
      </c>
      <c r="D277" s="20">
        <v>39</v>
      </c>
      <c r="E277" s="20" t="s">
        <v>765</v>
      </c>
      <c r="F277" s="20" t="s">
        <v>894</v>
      </c>
      <c r="G277" s="20"/>
      <c r="H277" s="20"/>
      <c r="I277" s="20"/>
      <c r="J277" s="20" t="s">
        <v>895</v>
      </c>
      <c r="K277" t="e">
        <f>VLOOKUP(B277,Site!$B$1:$B$5698,2,0)</f>
        <v>#REF!</v>
      </c>
    </row>
    <row r="278" spans="1:11" x14ac:dyDescent="0.25">
      <c r="A278" s="19">
        <v>276</v>
      </c>
      <c r="B278" s="18" t="s">
        <v>371</v>
      </c>
      <c r="C278" s="18" t="s">
        <v>884</v>
      </c>
      <c r="D278" s="20">
        <v>42</v>
      </c>
      <c r="E278" s="20" t="s">
        <v>765</v>
      </c>
      <c r="F278" s="20" t="s">
        <v>894</v>
      </c>
      <c r="G278" s="20"/>
      <c r="H278" s="20"/>
      <c r="I278" s="20"/>
      <c r="J278" s="20" t="s">
        <v>895</v>
      </c>
      <c r="K278" t="e">
        <f>VLOOKUP(B278,Site!$B$1:$B$5698,2,0)</f>
        <v>#REF!</v>
      </c>
    </row>
    <row r="279" spans="1:11" x14ac:dyDescent="0.25">
      <c r="A279" s="19">
        <v>277</v>
      </c>
      <c r="B279" s="18" t="s">
        <v>360</v>
      </c>
      <c r="C279" s="18" t="s">
        <v>884</v>
      </c>
      <c r="D279" s="20">
        <v>42</v>
      </c>
      <c r="E279" s="20" t="s">
        <v>765</v>
      </c>
      <c r="F279" s="20" t="s">
        <v>894</v>
      </c>
      <c r="G279" s="20"/>
      <c r="H279" s="20"/>
      <c r="I279" s="20"/>
      <c r="J279" s="20" t="s">
        <v>895</v>
      </c>
      <c r="K279" t="e">
        <f>VLOOKUP(B279,Site!$B$1:$B$5698,2,0)</f>
        <v>#REF!</v>
      </c>
    </row>
    <row r="280" spans="1:11" x14ac:dyDescent="0.25">
      <c r="A280" s="19">
        <v>278</v>
      </c>
      <c r="B280" s="18" t="s">
        <v>353</v>
      </c>
      <c r="C280" s="18" t="s">
        <v>884</v>
      </c>
      <c r="D280" s="20">
        <v>27</v>
      </c>
      <c r="E280" s="20" t="s">
        <v>760</v>
      </c>
      <c r="F280" s="20" t="s">
        <v>894</v>
      </c>
      <c r="G280" s="20"/>
      <c r="H280" s="20"/>
      <c r="I280" s="20"/>
      <c r="J280" s="20" t="s">
        <v>895</v>
      </c>
      <c r="K280" t="e">
        <f>VLOOKUP(B280,Site!$B$1:$B$5698,2,0)</f>
        <v>#REF!</v>
      </c>
    </row>
    <row r="281" spans="1:11" x14ac:dyDescent="0.25">
      <c r="A281" s="19">
        <v>279</v>
      </c>
      <c r="B281" s="18" t="s">
        <v>368</v>
      </c>
      <c r="C281" s="18" t="s">
        <v>884</v>
      </c>
      <c r="D281" s="20">
        <v>45</v>
      </c>
      <c r="E281" s="20" t="s">
        <v>765</v>
      </c>
      <c r="F281" s="20" t="s">
        <v>894</v>
      </c>
      <c r="G281" s="20"/>
      <c r="H281" s="20"/>
      <c r="I281" s="20"/>
      <c r="J281" s="20" t="s">
        <v>895</v>
      </c>
      <c r="K281" t="e">
        <f>VLOOKUP(B281,Site!$B$1:$B$5698,2,0)</f>
        <v>#REF!</v>
      </c>
    </row>
    <row r="282" spans="1:11" x14ac:dyDescent="0.25">
      <c r="A282" s="19">
        <v>280</v>
      </c>
      <c r="B282" s="18" t="s">
        <v>369</v>
      </c>
      <c r="C282" s="18" t="s">
        <v>884</v>
      </c>
      <c r="D282" s="20">
        <v>42</v>
      </c>
      <c r="E282" s="20" t="s">
        <v>765</v>
      </c>
      <c r="F282" s="20" t="s">
        <v>894</v>
      </c>
      <c r="G282" s="20"/>
      <c r="H282" s="20"/>
      <c r="I282" s="20"/>
      <c r="J282" s="20" t="s">
        <v>895</v>
      </c>
      <c r="K282" t="e">
        <f>VLOOKUP(B282,Site!$B$1:$B$5698,2,0)</f>
        <v>#REF!</v>
      </c>
    </row>
    <row r="283" spans="1:11" x14ac:dyDescent="0.25">
      <c r="A283" s="19">
        <v>281</v>
      </c>
      <c r="B283" s="18" t="s">
        <v>392</v>
      </c>
      <c r="C283" s="18" t="s">
        <v>884</v>
      </c>
      <c r="D283" s="20">
        <v>45</v>
      </c>
      <c r="E283" s="20" t="s">
        <v>896</v>
      </c>
      <c r="F283" s="20" t="s">
        <v>894</v>
      </c>
      <c r="G283" s="20"/>
      <c r="H283" s="20"/>
      <c r="I283" s="20"/>
      <c r="J283" s="20" t="s">
        <v>895</v>
      </c>
      <c r="K283" t="e">
        <f>VLOOKUP(B283,Site!$B$1:$B$5698,2,0)</f>
        <v>#REF!</v>
      </c>
    </row>
    <row r="284" spans="1:11" x14ac:dyDescent="0.25">
      <c r="A284" s="19">
        <v>282</v>
      </c>
      <c r="B284" s="18" t="s">
        <v>364</v>
      </c>
      <c r="C284" s="18" t="s">
        <v>884</v>
      </c>
      <c r="D284" s="20">
        <v>42</v>
      </c>
      <c r="E284" s="20" t="s">
        <v>765</v>
      </c>
      <c r="F284" s="20" t="s">
        <v>894</v>
      </c>
      <c r="G284" s="20"/>
      <c r="H284" s="20"/>
      <c r="I284" s="20"/>
      <c r="J284" s="20" t="s">
        <v>895</v>
      </c>
      <c r="K284" t="e">
        <f>VLOOKUP(B284,Site!$B$1:$B$5698,2,0)</f>
        <v>#REF!</v>
      </c>
    </row>
    <row r="285" spans="1:11" x14ac:dyDescent="0.25">
      <c r="A285" s="19">
        <v>283</v>
      </c>
      <c r="B285" s="18" t="s">
        <v>355</v>
      </c>
      <c r="C285" s="18" t="s">
        <v>884</v>
      </c>
      <c r="D285" s="20">
        <v>42</v>
      </c>
      <c r="E285" s="20" t="s">
        <v>765</v>
      </c>
      <c r="F285" s="20" t="s">
        <v>894</v>
      </c>
      <c r="G285" s="20"/>
      <c r="H285" s="20"/>
      <c r="I285" s="20"/>
      <c r="J285" s="20" t="s">
        <v>895</v>
      </c>
      <c r="K285" t="e">
        <f>VLOOKUP(B285,Site!$B$1:$B$5698,2,0)</f>
        <v>#REF!</v>
      </c>
    </row>
    <row r="286" spans="1:11" x14ac:dyDescent="0.25">
      <c r="A286" s="19">
        <v>284</v>
      </c>
      <c r="B286" s="18" t="s">
        <v>357</v>
      </c>
      <c r="C286" s="18" t="s">
        <v>884</v>
      </c>
      <c r="D286" s="20">
        <v>42</v>
      </c>
      <c r="E286" s="20" t="s">
        <v>765</v>
      </c>
      <c r="F286" s="20" t="s">
        <v>894</v>
      </c>
      <c r="G286" s="20"/>
      <c r="H286" s="20"/>
      <c r="I286" s="20"/>
      <c r="J286" s="20" t="s">
        <v>895</v>
      </c>
      <c r="K286" t="e">
        <f>VLOOKUP(B286,Site!$B$1:$B$5698,2,0)</f>
        <v>#REF!</v>
      </c>
    </row>
    <row r="287" spans="1:11" x14ac:dyDescent="0.25">
      <c r="A287" s="19">
        <v>285</v>
      </c>
      <c r="B287" s="18" t="s">
        <v>361</v>
      </c>
      <c r="C287" s="18" t="s">
        <v>884</v>
      </c>
      <c r="D287" s="20">
        <v>45</v>
      </c>
      <c r="E287" s="20" t="s">
        <v>765</v>
      </c>
      <c r="F287" s="20" t="s">
        <v>894</v>
      </c>
      <c r="G287" s="20"/>
      <c r="H287" s="20"/>
      <c r="I287" s="20"/>
      <c r="J287" s="20" t="s">
        <v>895</v>
      </c>
      <c r="K287" t="e">
        <f>VLOOKUP(B287,Site!$B$1:$B$5698,2,0)</f>
        <v>#REF!</v>
      </c>
    </row>
    <row r="288" spans="1:11" x14ac:dyDescent="0.25">
      <c r="A288" s="19">
        <v>286</v>
      </c>
      <c r="B288" s="18" t="s">
        <v>362</v>
      </c>
      <c r="C288" s="18" t="s">
        <v>884</v>
      </c>
      <c r="D288" s="20">
        <v>45</v>
      </c>
      <c r="E288" s="20" t="s">
        <v>765</v>
      </c>
      <c r="F288" s="20" t="s">
        <v>894</v>
      </c>
      <c r="G288" s="20"/>
      <c r="H288" s="20"/>
      <c r="I288" s="20"/>
      <c r="J288" s="20" t="s">
        <v>895</v>
      </c>
      <c r="K288" t="e">
        <f>VLOOKUP(B288,Site!$B$1:$B$5698,2,0)</f>
        <v>#REF!</v>
      </c>
    </row>
    <row r="289" spans="1:11" x14ac:dyDescent="0.25">
      <c r="A289" s="19">
        <v>287</v>
      </c>
      <c r="B289" s="18" t="s">
        <v>373</v>
      </c>
      <c r="C289" s="18" t="s">
        <v>884</v>
      </c>
      <c r="D289" s="20">
        <v>45</v>
      </c>
      <c r="E289" s="20" t="s">
        <v>765</v>
      </c>
      <c r="F289" s="20" t="s">
        <v>894</v>
      </c>
      <c r="G289" s="20"/>
      <c r="H289" s="20"/>
      <c r="I289" s="20"/>
      <c r="J289" s="20" t="s">
        <v>895</v>
      </c>
      <c r="K289" t="e">
        <f>VLOOKUP(B289,Site!$B$1:$B$5698,2,0)</f>
        <v>#REF!</v>
      </c>
    </row>
    <row r="290" spans="1:11" x14ac:dyDescent="0.25">
      <c r="A290" s="19">
        <v>288</v>
      </c>
      <c r="B290" s="18" t="s">
        <v>367</v>
      </c>
      <c r="C290" s="18" t="s">
        <v>884</v>
      </c>
      <c r="D290" s="20">
        <v>45</v>
      </c>
      <c r="E290" s="20" t="s">
        <v>765</v>
      </c>
      <c r="F290" s="20" t="s">
        <v>894</v>
      </c>
      <c r="G290" s="20"/>
      <c r="H290" s="20"/>
      <c r="I290" s="20"/>
      <c r="J290" s="20" t="s">
        <v>895</v>
      </c>
      <c r="K290" t="e">
        <f>VLOOKUP(B290,Site!$B$1:$B$5698,2,0)</f>
        <v>#REF!</v>
      </c>
    </row>
    <row r="291" spans="1:11" x14ac:dyDescent="0.25">
      <c r="A291" s="19">
        <v>289</v>
      </c>
      <c r="B291" s="18" t="s">
        <v>346</v>
      </c>
      <c r="C291" s="18" t="s">
        <v>884</v>
      </c>
      <c r="D291" s="20">
        <v>42</v>
      </c>
      <c r="E291" s="20" t="s">
        <v>765</v>
      </c>
      <c r="F291" s="20" t="s">
        <v>894</v>
      </c>
      <c r="G291" s="20"/>
      <c r="H291" s="20"/>
      <c r="I291" s="20"/>
      <c r="J291" s="20" t="s">
        <v>895</v>
      </c>
      <c r="K291" t="e">
        <f>VLOOKUP(B291,Site!$B$1:$B$5698,2,0)</f>
        <v>#REF!</v>
      </c>
    </row>
    <row r="292" spans="1:11" x14ac:dyDescent="0.25">
      <c r="A292" s="19">
        <v>290</v>
      </c>
      <c r="B292" s="18" t="s">
        <v>365</v>
      </c>
      <c r="C292" s="18" t="s">
        <v>884</v>
      </c>
      <c r="D292" s="20">
        <v>45</v>
      </c>
      <c r="E292" s="20" t="s">
        <v>896</v>
      </c>
      <c r="F292" s="20" t="s">
        <v>894</v>
      </c>
      <c r="G292" s="20"/>
      <c r="H292" s="20"/>
      <c r="I292" s="20"/>
      <c r="J292" s="20" t="s">
        <v>895</v>
      </c>
      <c r="K292" t="e">
        <f>VLOOKUP(B292,Site!$B$1:$B$5698,2,0)</f>
        <v>#REF!</v>
      </c>
    </row>
    <row r="293" spans="1:11" x14ac:dyDescent="0.25">
      <c r="A293" s="19">
        <v>291</v>
      </c>
      <c r="B293" s="18" t="s">
        <v>376</v>
      </c>
      <c r="C293" s="18" t="s">
        <v>884</v>
      </c>
      <c r="D293" s="20">
        <v>45</v>
      </c>
      <c r="E293" s="20" t="s">
        <v>896</v>
      </c>
      <c r="F293" s="20" t="s">
        <v>902</v>
      </c>
      <c r="G293" s="20"/>
      <c r="H293" s="20"/>
      <c r="I293" s="20" t="s">
        <v>900</v>
      </c>
      <c r="J293" s="20" t="s">
        <v>901</v>
      </c>
      <c r="K293" t="e">
        <f>VLOOKUP(B293,Site!$B$1:$B$5698,2,0)</f>
        <v>#REF!</v>
      </c>
    </row>
    <row r="294" spans="1:11" x14ac:dyDescent="0.25">
      <c r="A294" s="19">
        <v>292</v>
      </c>
      <c r="B294" s="18" t="s">
        <v>374</v>
      </c>
      <c r="C294" s="18" t="s">
        <v>884</v>
      </c>
      <c r="D294" s="20">
        <v>45</v>
      </c>
      <c r="E294" s="20" t="s">
        <v>896</v>
      </c>
      <c r="F294" s="20" t="s">
        <v>894</v>
      </c>
      <c r="G294" s="20"/>
      <c r="H294" s="20"/>
      <c r="I294" s="20"/>
      <c r="J294" s="20" t="s">
        <v>895</v>
      </c>
      <c r="K294" t="e">
        <f>VLOOKUP(B294,Site!$B$1:$B$5698,2,0)</f>
        <v>#REF!</v>
      </c>
    </row>
    <row r="295" spans="1:11" x14ac:dyDescent="0.25">
      <c r="A295" s="19">
        <v>293</v>
      </c>
      <c r="B295" s="18" t="s">
        <v>375</v>
      </c>
      <c r="C295" s="18" t="s">
        <v>884</v>
      </c>
      <c r="D295" s="20">
        <v>39</v>
      </c>
      <c r="E295" s="20" t="s">
        <v>896</v>
      </c>
      <c r="F295" s="20" t="s">
        <v>894</v>
      </c>
      <c r="G295" s="20"/>
      <c r="H295" s="20"/>
      <c r="I295" s="20"/>
      <c r="J295" s="20" t="s">
        <v>895</v>
      </c>
      <c r="K295" t="e">
        <f>VLOOKUP(B295,Site!$B$1:$B$5698,2,0)</f>
        <v>#REF!</v>
      </c>
    </row>
    <row r="296" spans="1:11" x14ac:dyDescent="0.25">
      <c r="A296" s="19">
        <v>294</v>
      </c>
      <c r="B296" s="18" t="s">
        <v>411</v>
      </c>
      <c r="C296" s="18" t="s">
        <v>884</v>
      </c>
      <c r="D296" s="20">
        <v>42</v>
      </c>
      <c r="E296" s="20" t="s">
        <v>896</v>
      </c>
      <c r="F296" s="20" t="s">
        <v>894</v>
      </c>
      <c r="G296" s="20"/>
      <c r="H296" s="20"/>
      <c r="I296" s="20"/>
      <c r="J296" s="20" t="s">
        <v>895</v>
      </c>
      <c r="K296" t="e">
        <f>VLOOKUP(B296,Site!$B$1:$B$5698,2,0)</f>
        <v>#REF!</v>
      </c>
    </row>
    <row r="297" spans="1:11" x14ac:dyDescent="0.25">
      <c r="A297" s="19">
        <v>295</v>
      </c>
      <c r="B297" s="18" t="s">
        <v>410</v>
      </c>
      <c r="C297" s="18" t="s">
        <v>884</v>
      </c>
      <c r="D297" s="20">
        <v>42</v>
      </c>
      <c r="E297" s="20" t="s">
        <v>843</v>
      </c>
      <c r="F297" s="20" t="s">
        <v>894</v>
      </c>
      <c r="G297" s="20"/>
      <c r="H297" s="20"/>
      <c r="I297" s="20"/>
      <c r="J297" s="20" t="s">
        <v>895</v>
      </c>
      <c r="K297" t="e">
        <f>VLOOKUP(B297,Site!$B$1:$B$5698,2,0)</f>
        <v>#REF!</v>
      </c>
    </row>
    <row r="298" spans="1:11" x14ac:dyDescent="0.25">
      <c r="A298" s="19">
        <v>296</v>
      </c>
      <c r="B298" s="18" t="s">
        <v>443</v>
      </c>
      <c r="C298" s="18" t="s">
        <v>884</v>
      </c>
      <c r="D298" s="20">
        <v>39</v>
      </c>
      <c r="E298" s="20" t="s">
        <v>843</v>
      </c>
      <c r="F298" s="20" t="s">
        <v>894</v>
      </c>
      <c r="G298" s="20"/>
      <c r="H298" s="20"/>
      <c r="I298" s="20"/>
      <c r="J298" s="20" t="s">
        <v>895</v>
      </c>
      <c r="K298" t="e">
        <f>VLOOKUP(B298,Site!$B$1:$B$5698,2,0)</f>
        <v>#REF!</v>
      </c>
    </row>
    <row r="299" spans="1:11" x14ac:dyDescent="0.25">
      <c r="A299" s="19">
        <v>297</v>
      </c>
      <c r="B299" s="18" t="s">
        <v>444</v>
      </c>
      <c r="C299" s="18" t="s">
        <v>884</v>
      </c>
      <c r="D299" s="20">
        <v>42</v>
      </c>
      <c r="E299" s="20" t="s">
        <v>843</v>
      </c>
      <c r="F299" s="20" t="s">
        <v>894</v>
      </c>
      <c r="G299" s="20"/>
      <c r="H299" s="20"/>
      <c r="I299" s="20"/>
      <c r="J299" s="20" t="s">
        <v>895</v>
      </c>
      <c r="K299" t="e">
        <f>VLOOKUP(B299,Site!$B$1:$B$5698,2,0)</f>
        <v>#REF!</v>
      </c>
    </row>
    <row r="300" spans="1:11" x14ac:dyDescent="0.25">
      <c r="A300" s="19">
        <v>298</v>
      </c>
      <c r="B300" s="18" t="s">
        <v>445</v>
      </c>
      <c r="C300" s="18" t="s">
        <v>884</v>
      </c>
      <c r="D300" s="20">
        <v>42</v>
      </c>
      <c r="E300" s="20" t="s">
        <v>843</v>
      </c>
      <c r="F300" s="20" t="s">
        <v>894</v>
      </c>
      <c r="G300" s="20"/>
      <c r="H300" s="20"/>
      <c r="I300" s="20"/>
      <c r="J300" s="20" t="s">
        <v>895</v>
      </c>
      <c r="K300" t="e">
        <f>VLOOKUP(B300,Site!$B$1:$B$5698,2,0)</f>
        <v>#REF!</v>
      </c>
    </row>
    <row r="301" spans="1:11" x14ac:dyDescent="0.25">
      <c r="A301" s="19">
        <v>299</v>
      </c>
      <c r="B301" s="18" t="s">
        <v>446</v>
      </c>
      <c r="C301" s="18" t="s">
        <v>884</v>
      </c>
      <c r="D301" s="20">
        <v>42</v>
      </c>
      <c r="E301" s="20" t="s">
        <v>843</v>
      </c>
      <c r="F301" s="20" t="s">
        <v>894</v>
      </c>
      <c r="G301" s="20"/>
      <c r="H301" s="20"/>
      <c r="I301" s="20"/>
      <c r="J301" s="20" t="s">
        <v>895</v>
      </c>
      <c r="K301" t="e">
        <f>VLOOKUP(B301,Site!$B$1:$B$5698,2,0)</f>
        <v>#REF!</v>
      </c>
    </row>
    <row r="302" spans="1:11" x14ac:dyDescent="0.25">
      <c r="A302" s="19">
        <v>300</v>
      </c>
      <c r="B302" s="18" t="s">
        <v>475</v>
      </c>
      <c r="C302" s="18" t="s">
        <v>884</v>
      </c>
      <c r="D302" s="20">
        <v>39</v>
      </c>
      <c r="E302" s="20" t="s">
        <v>877</v>
      </c>
      <c r="F302" s="20" t="s">
        <v>897</v>
      </c>
      <c r="G302" s="20"/>
      <c r="H302" s="20"/>
      <c r="I302" s="20"/>
      <c r="J302" s="20" t="s">
        <v>898</v>
      </c>
      <c r="K302" t="e">
        <f>VLOOKUP(B302,Site!$B$1:$B$5698,2,0)</f>
        <v>#REF!</v>
      </c>
    </row>
    <row r="303" spans="1:11" x14ac:dyDescent="0.25">
      <c r="A303" s="19">
        <v>301</v>
      </c>
      <c r="B303" s="18" t="s">
        <v>476</v>
      </c>
      <c r="C303" s="18" t="s">
        <v>884</v>
      </c>
      <c r="D303" s="20">
        <v>30</v>
      </c>
      <c r="E303" s="20" t="s">
        <v>877</v>
      </c>
      <c r="F303" s="20" t="s">
        <v>897</v>
      </c>
      <c r="G303" s="20"/>
      <c r="H303" s="20"/>
      <c r="I303" s="20"/>
      <c r="J303" s="20" t="s">
        <v>898</v>
      </c>
      <c r="K303" t="e">
        <f>VLOOKUP(B303,Site!$B$1:$B$5698,2,0)</f>
        <v>#REF!</v>
      </c>
    </row>
    <row r="304" spans="1:11" x14ac:dyDescent="0.25">
      <c r="A304" s="19">
        <v>302</v>
      </c>
      <c r="B304" s="18" t="s">
        <v>485</v>
      </c>
      <c r="C304" s="18" t="s">
        <v>884</v>
      </c>
      <c r="D304" s="20">
        <v>30</v>
      </c>
      <c r="E304" s="20" t="s">
        <v>877</v>
      </c>
      <c r="F304" s="20" t="s">
        <v>897</v>
      </c>
      <c r="G304" s="20"/>
      <c r="H304" s="20"/>
      <c r="I304" s="20"/>
      <c r="J304" s="20" t="s">
        <v>898</v>
      </c>
      <c r="K304" t="e">
        <f>VLOOKUP(B304,Site!$B$1:$B$5698,2,0)</f>
        <v>#REF!</v>
      </c>
    </row>
    <row r="305" spans="1:11" x14ac:dyDescent="0.25">
      <c r="A305" s="19">
        <v>303</v>
      </c>
      <c r="B305" s="18" t="s">
        <v>538</v>
      </c>
      <c r="C305" s="18" t="s">
        <v>884</v>
      </c>
      <c r="D305" s="20">
        <v>39</v>
      </c>
      <c r="E305" s="20" t="s">
        <v>877</v>
      </c>
      <c r="F305" s="20" t="s">
        <v>897</v>
      </c>
      <c r="G305" s="20"/>
      <c r="H305" s="20"/>
      <c r="I305" s="20"/>
      <c r="J305" s="20" t="s">
        <v>898</v>
      </c>
      <c r="K305" t="e">
        <f>VLOOKUP(B305,Site!$B$1:$B$5698,2,0)</f>
        <v>#REF!</v>
      </c>
    </row>
    <row r="306" spans="1:11" x14ac:dyDescent="0.25">
      <c r="A306" s="19">
        <v>304</v>
      </c>
      <c r="B306" s="18" t="s">
        <v>510</v>
      </c>
      <c r="C306" s="18" t="s">
        <v>884</v>
      </c>
      <c r="D306" s="20">
        <v>30</v>
      </c>
      <c r="E306" s="20" t="s">
        <v>877</v>
      </c>
      <c r="F306" s="20" t="s">
        <v>897</v>
      </c>
      <c r="G306" s="20"/>
      <c r="H306" s="20"/>
      <c r="I306" s="20"/>
      <c r="J306" s="20" t="s">
        <v>898</v>
      </c>
      <c r="K306" t="e">
        <f>VLOOKUP(B306,Site!$B$1:$B$5698,2,0)</f>
        <v>#REF!</v>
      </c>
    </row>
    <row r="307" spans="1:11" x14ac:dyDescent="0.25">
      <c r="A307" s="19">
        <v>305</v>
      </c>
      <c r="B307" s="18" t="s">
        <v>477</v>
      </c>
      <c r="C307" s="18" t="s">
        <v>884</v>
      </c>
      <c r="D307" s="20">
        <v>42</v>
      </c>
      <c r="E307" s="20" t="s">
        <v>877</v>
      </c>
      <c r="F307" s="20" t="s">
        <v>897</v>
      </c>
      <c r="G307" s="20"/>
      <c r="H307" s="20"/>
      <c r="I307" s="20"/>
      <c r="J307" s="20" t="s">
        <v>898</v>
      </c>
      <c r="K307" t="e">
        <f>VLOOKUP(B307,Site!$B$1:$B$5698,2,0)</f>
        <v>#REF!</v>
      </c>
    </row>
    <row r="308" spans="1:11" x14ac:dyDescent="0.25">
      <c r="A308" s="19">
        <v>306</v>
      </c>
      <c r="B308" s="18" t="s">
        <v>539</v>
      </c>
      <c r="C308" s="18" t="s">
        <v>884</v>
      </c>
      <c r="D308" s="20">
        <v>42</v>
      </c>
      <c r="E308" s="20" t="s">
        <v>877</v>
      </c>
      <c r="F308" s="20" t="s">
        <v>897</v>
      </c>
      <c r="G308" s="20"/>
      <c r="H308" s="20"/>
      <c r="I308" s="20"/>
      <c r="J308" s="20" t="s">
        <v>898</v>
      </c>
      <c r="K308" t="e">
        <f>VLOOKUP(B308,Site!$B$1:$B$5698,2,0)</f>
        <v>#REF!</v>
      </c>
    </row>
    <row r="309" spans="1:11" x14ac:dyDescent="0.25">
      <c r="A309" s="19">
        <v>307</v>
      </c>
      <c r="B309" s="18" t="s">
        <v>478</v>
      </c>
      <c r="C309" s="18" t="s">
        <v>884</v>
      </c>
      <c r="D309" s="20">
        <v>43</v>
      </c>
      <c r="E309" s="20" t="s">
        <v>877</v>
      </c>
      <c r="F309" s="20" t="s">
        <v>897</v>
      </c>
      <c r="G309" s="20"/>
      <c r="H309" s="20"/>
      <c r="I309" s="20"/>
      <c r="J309" s="20" t="s">
        <v>898</v>
      </c>
      <c r="K309" t="e">
        <f>VLOOKUP(B309,Site!$B$1:$B$5698,2,0)</f>
        <v>#REF!</v>
      </c>
    </row>
    <row r="310" spans="1:11" x14ac:dyDescent="0.25">
      <c r="A310" s="19">
        <v>308</v>
      </c>
      <c r="B310" s="18" t="s">
        <v>474</v>
      </c>
      <c r="C310" s="18" t="s">
        <v>884</v>
      </c>
      <c r="D310" s="20">
        <v>42</v>
      </c>
      <c r="E310" s="20" t="s">
        <v>843</v>
      </c>
      <c r="F310" s="20" t="s">
        <v>897</v>
      </c>
      <c r="G310" s="20"/>
      <c r="H310" s="20"/>
      <c r="I310" s="20"/>
      <c r="J310" s="20" t="s">
        <v>898</v>
      </c>
      <c r="K310" t="e">
        <f>VLOOKUP(B310,Site!$B$1:$B$5698,2,0)</f>
        <v>#REF!</v>
      </c>
    </row>
    <row r="311" spans="1:11" x14ac:dyDescent="0.25">
      <c r="A311" s="19">
        <v>309</v>
      </c>
      <c r="B311" s="18" t="s">
        <v>504</v>
      </c>
      <c r="C311" s="18" t="s">
        <v>884</v>
      </c>
      <c r="D311" s="20">
        <v>42</v>
      </c>
      <c r="E311" s="20" t="s">
        <v>877</v>
      </c>
      <c r="F311" s="20" t="s">
        <v>897</v>
      </c>
      <c r="G311" s="20"/>
      <c r="H311" s="20"/>
      <c r="I311" s="20"/>
      <c r="J311" s="20" t="s">
        <v>898</v>
      </c>
      <c r="K311" t="e">
        <f>VLOOKUP(B311,Site!$B$1:$B$5698,2,0)</f>
        <v>#N/A</v>
      </c>
    </row>
    <row r="312" spans="1:11" x14ac:dyDescent="0.25">
      <c r="A312" s="19">
        <v>310</v>
      </c>
      <c r="B312" s="18" t="s">
        <v>543</v>
      </c>
      <c r="C312" s="18" t="s">
        <v>884</v>
      </c>
      <c r="D312" s="20">
        <v>42</v>
      </c>
      <c r="E312" s="20" t="s">
        <v>843</v>
      </c>
      <c r="F312" s="20" t="s">
        <v>897</v>
      </c>
      <c r="G312" s="20"/>
      <c r="H312" s="20"/>
      <c r="I312" s="20"/>
      <c r="J312" s="20" t="s">
        <v>898</v>
      </c>
      <c r="K312" t="e">
        <f>VLOOKUP(B312,Site!$B$1:$B$5698,2,0)</f>
        <v>#REF!</v>
      </c>
    </row>
    <row r="313" spans="1:11" x14ac:dyDescent="0.25">
      <c r="A313" s="19">
        <v>311</v>
      </c>
      <c r="B313" s="18" t="s">
        <v>537</v>
      </c>
      <c r="C313" s="18" t="s">
        <v>884</v>
      </c>
      <c r="D313" s="20">
        <v>30</v>
      </c>
      <c r="E313" s="20" t="s">
        <v>843</v>
      </c>
      <c r="F313" s="20" t="s">
        <v>897</v>
      </c>
      <c r="G313" s="20"/>
      <c r="H313" s="20"/>
      <c r="I313" s="20"/>
      <c r="J313" s="20" t="s">
        <v>898</v>
      </c>
      <c r="K313" t="e">
        <f>VLOOKUP(B313,Site!$B$1:$B$5698,2,0)</f>
        <v>#REF!</v>
      </c>
    </row>
    <row r="314" spans="1:11" x14ac:dyDescent="0.25">
      <c r="A314" s="19">
        <v>312</v>
      </c>
      <c r="B314" s="18" t="s">
        <v>498</v>
      </c>
      <c r="C314" s="18" t="s">
        <v>884</v>
      </c>
      <c r="D314" s="20">
        <v>42</v>
      </c>
      <c r="E314" s="20" t="s">
        <v>843</v>
      </c>
      <c r="F314" s="20" t="s">
        <v>897</v>
      </c>
      <c r="G314" s="20"/>
      <c r="H314" s="20"/>
      <c r="I314" s="20"/>
      <c r="J314" s="20" t="s">
        <v>898</v>
      </c>
      <c r="K314" t="e">
        <f>VLOOKUP(B314,Site!$B$1:$B$5698,2,0)</f>
        <v>#REF!</v>
      </c>
    </row>
    <row r="315" spans="1:11" x14ac:dyDescent="0.25">
      <c r="A315" s="19">
        <v>313</v>
      </c>
      <c r="B315" s="18" t="s">
        <v>526</v>
      </c>
      <c r="C315" s="18" t="s">
        <v>884</v>
      </c>
      <c r="D315" s="20">
        <v>39</v>
      </c>
      <c r="E315" s="20" t="s">
        <v>843</v>
      </c>
      <c r="F315" s="20" t="s">
        <v>897</v>
      </c>
      <c r="G315" s="20"/>
      <c r="H315" s="20"/>
      <c r="I315" s="20"/>
      <c r="J315" s="20" t="s">
        <v>898</v>
      </c>
      <c r="K315" t="e">
        <f>VLOOKUP(B315,Site!$B$1:$B$5698,2,0)</f>
        <v>#REF!</v>
      </c>
    </row>
    <row r="316" spans="1:11" x14ac:dyDescent="0.25">
      <c r="A316" s="19">
        <v>314</v>
      </c>
      <c r="B316" s="18" t="s">
        <v>511</v>
      </c>
      <c r="C316" s="18" t="s">
        <v>884</v>
      </c>
      <c r="D316" s="20">
        <v>42</v>
      </c>
      <c r="E316" s="20" t="s">
        <v>843</v>
      </c>
      <c r="F316" s="20" t="s">
        <v>897</v>
      </c>
      <c r="G316" s="20"/>
      <c r="H316" s="20"/>
      <c r="I316" s="20"/>
      <c r="J316" s="20" t="s">
        <v>898</v>
      </c>
      <c r="K316" t="e">
        <f>VLOOKUP(B316,Site!$B$1:$B$5698,2,0)</f>
        <v>#REF!</v>
      </c>
    </row>
    <row r="317" spans="1:11" x14ac:dyDescent="0.25">
      <c r="A317" s="19">
        <v>315</v>
      </c>
      <c r="B317" s="18" t="s">
        <v>525</v>
      </c>
      <c r="C317" s="18" t="s">
        <v>884</v>
      </c>
      <c r="D317" s="20">
        <v>42</v>
      </c>
      <c r="E317" s="20" t="s">
        <v>843</v>
      </c>
      <c r="F317" s="20" t="s">
        <v>897</v>
      </c>
      <c r="G317" s="20"/>
      <c r="H317" s="20"/>
      <c r="I317" s="20"/>
      <c r="J317" s="20" t="s">
        <v>898</v>
      </c>
      <c r="K317" t="e">
        <f>VLOOKUP(B317,Site!$B$1:$B$5698,2,0)</f>
        <v>#REF!</v>
      </c>
    </row>
    <row r="318" spans="1:11" x14ac:dyDescent="0.25">
      <c r="A318" s="19">
        <v>316</v>
      </c>
      <c r="B318" s="18" t="s">
        <v>512</v>
      </c>
      <c r="C318" s="18" t="s">
        <v>884</v>
      </c>
      <c r="D318" s="20">
        <v>42</v>
      </c>
      <c r="E318" s="20" t="s">
        <v>843</v>
      </c>
      <c r="F318" s="20" t="s">
        <v>897</v>
      </c>
      <c r="G318" s="20"/>
      <c r="H318" s="20"/>
      <c r="I318" s="20"/>
      <c r="J318" s="20" t="s">
        <v>898</v>
      </c>
      <c r="K318" t="e">
        <f>VLOOKUP(B318,Site!$B$1:$B$5698,2,0)</f>
        <v>#REF!</v>
      </c>
    </row>
    <row r="319" spans="1:11" x14ac:dyDescent="0.25">
      <c r="A319" s="19">
        <v>317</v>
      </c>
      <c r="B319" s="18" t="s">
        <v>527</v>
      </c>
      <c r="C319" s="18" t="s">
        <v>884</v>
      </c>
      <c r="D319" s="20">
        <v>42</v>
      </c>
      <c r="E319" s="20" t="s">
        <v>843</v>
      </c>
      <c r="F319" s="20" t="s">
        <v>897</v>
      </c>
      <c r="G319" s="20"/>
      <c r="H319" s="20"/>
      <c r="I319" s="20"/>
      <c r="J319" s="20" t="s">
        <v>898</v>
      </c>
      <c r="K319" t="e">
        <f>VLOOKUP(B319,Site!$B$1:$B$5698,2,0)</f>
        <v>#REF!</v>
      </c>
    </row>
    <row r="320" spans="1:11" x14ac:dyDescent="0.25">
      <c r="A320" s="19">
        <v>318</v>
      </c>
      <c r="B320" s="18" t="s">
        <v>513</v>
      </c>
      <c r="C320" s="18" t="s">
        <v>884</v>
      </c>
      <c r="D320" s="20">
        <v>30</v>
      </c>
      <c r="E320" s="20" t="s">
        <v>843</v>
      </c>
      <c r="F320" s="20" t="s">
        <v>897</v>
      </c>
      <c r="G320" s="20"/>
      <c r="H320" s="20"/>
      <c r="I320" s="20"/>
      <c r="J320" s="20" t="s">
        <v>898</v>
      </c>
      <c r="K320" t="e">
        <f>VLOOKUP(B320,Site!$B$1:$B$5698,2,0)</f>
        <v>#REF!</v>
      </c>
    </row>
    <row r="321" spans="1:11" x14ac:dyDescent="0.25">
      <c r="A321" s="19">
        <v>319</v>
      </c>
      <c r="B321" s="18" t="s">
        <v>165</v>
      </c>
      <c r="C321" s="18" t="s">
        <v>884</v>
      </c>
      <c r="D321" s="20">
        <v>45</v>
      </c>
      <c r="E321" s="20" t="s">
        <v>896</v>
      </c>
      <c r="F321" s="20" t="s">
        <v>899</v>
      </c>
      <c r="G321" s="20"/>
      <c r="H321" s="20"/>
      <c r="I321" s="20" t="s">
        <v>900</v>
      </c>
      <c r="J321" s="20" t="s">
        <v>901</v>
      </c>
      <c r="K321" t="e">
        <f>VLOOKUP(B321,Site!$B$1:$B$5698,2,0)</f>
        <v>#REF!</v>
      </c>
    </row>
    <row r="322" spans="1:11" x14ac:dyDescent="0.25">
      <c r="A322" s="19">
        <v>320</v>
      </c>
      <c r="B322" s="18" t="s">
        <v>166</v>
      </c>
      <c r="C322" s="18" t="s">
        <v>882</v>
      </c>
      <c r="D322" s="20">
        <v>45</v>
      </c>
      <c r="E322" s="20" t="s">
        <v>760</v>
      </c>
      <c r="F322" s="20" t="s">
        <v>894</v>
      </c>
      <c r="G322" s="20"/>
      <c r="H322" s="20"/>
      <c r="I322" s="20"/>
      <c r="J322" s="20" t="s">
        <v>895</v>
      </c>
      <c r="K322" t="e">
        <f>VLOOKUP(B322,Site!$B$1:$B$5698,2,0)</f>
        <v>#REF!</v>
      </c>
    </row>
    <row r="323" spans="1:11" x14ac:dyDescent="0.25">
      <c r="A323" s="19">
        <v>321</v>
      </c>
      <c r="B323" s="18" t="s">
        <v>153</v>
      </c>
      <c r="C323" s="18" t="s">
        <v>884</v>
      </c>
      <c r="D323" s="20">
        <v>39</v>
      </c>
      <c r="E323" s="20" t="s">
        <v>843</v>
      </c>
      <c r="F323" s="20" t="s">
        <v>894</v>
      </c>
      <c r="G323" s="20"/>
      <c r="H323" s="20"/>
      <c r="I323" s="20"/>
      <c r="J323" s="20" t="s">
        <v>895</v>
      </c>
      <c r="K323" t="e">
        <f>VLOOKUP(B323,Site!$B$1:$B$5698,2,0)</f>
        <v>#REF!</v>
      </c>
    </row>
    <row r="324" spans="1:11" x14ac:dyDescent="0.25">
      <c r="A324" s="19">
        <v>322</v>
      </c>
      <c r="B324" s="18" t="s">
        <v>154</v>
      </c>
      <c r="C324" s="18" t="s">
        <v>884</v>
      </c>
      <c r="D324" s="20">
        <v>45</v>
      </c>
      <c r="E324" s="20" t="s">
        <v>765</v>
      </c>
      <c r="F324" s="20" t="s">
        <v>894</v>
      </c>
      <c r="G324" s="20"/>
      <c r="H324" s="20"/>
      <c r="I324" s="20"/>
      <c r="J324" s="20" t="s">
        <v>895</v>
      </c>
      <c r="K324" t="e">
        <f>VLOOKUP(B324,Site!$B$1:$B$5698,2,0)</f>
        <v>#REF!</v>
      </c>
    </row>
    <row r="325" spans="1:11" x14ac:dyDescent="0.25">
      <c r="A325" s="19">
        <v>323</v>
      </c>
      <c r="B325" s="18" t="s">
        <v>155</v>
      </c>
      <c r="C325" s="18" t="s">
        <v>884</v>
      </c>
      <c r="D325" s="20">
        <v>42</v>
      </c>
      <c r="E325" s="20" t="s">
        <v>765</v>
      </c>
      <c r="F325" s="20" t="s">
        <v>894</v>
      </c>
      <c r="G325" s="20"/>
      <c r="H325" s="20"/>
      <c r="I325" s="20"/>
      <c r="J325" s="20" t="s">
        <v>895</v>
      </c>
      <c r="K325" t="e">
        <f>VLOOKUP(B325,Site!$B$1:$B$5698,2,0)</f>
        <v>#REF!</v>
      </c>
    </row>
    <row r="326" spans="1:11" x14ac:dyDescent="0.25">
      <c r="A326" s="19">
        <v>324</v>
      </c>
      <c r="B326" s="18" t="s">
        <v>167</v>
      </c>
      <c r="C326" s="18" t="s">
        <v>884</v>
      </c>
      <c r="D326" s="20">
        <v>45</v>
      </c>
      <c r="E326" s="20" t="s">
        <v>765</v>
      </c>
      <c r="F326" s="20" t="s">
        <v>894</v>
      </c>
      <c r="G326" s="20"/>
      <c r="H326" s="20"/>
      <c r="I326" s="20"/>
      <c r="J326" s="20" t="s">
        <v>895</v>
      </c>
      <c r="K326" t="e">
        <f>VLOOKUP(B326,Site!$B$1:$B$5698,2,0)</f>
        <v>#REF!</v>
      </c>
    </row>
    <row r="327" spans="1:11" x14ac:dyDescent="0.25">
      <c r="A327" s="19">
        <v>325</v>
      </c>
      <c r="B327" s="18" t="s">
        <v>168</v>
      </c>
      <c r="C327" s="18" t="s">
        <v>884</v>
      </c>
      <c r="D327" s="20">
        <v>48</v>
      </c>
      <c r="E327" s="20" t="s">
        <v>765</v>
      </c>
      <c r="F327" s="20" t="s">
        <v>894</v>
      </c>
      <c r="G327" s="20"/>
      <c r="H327" s="20"/>
      <c r="I327" s="20"/>
      <c r="J327" s="20" t="s">
        <v>895</v>
      </c>
      <c r="K327" t="e">
        <f>VLOOKUP(B327,Site!$B$1:$B$5698,2,0)</f>
        <v>#REF!</v>
      </c>
    </row>
    <row r="328" spans="1:11" x14ac:dyDescent="0.25">
      <c r="A328" s="19">
        <v>326</v>
      </c>
      <c r="B328" s="18" t="s">
        <v>169</v>
      </c>
      <c r="C328" s="18" t="s">
        <v>884</v>
      </c>
      <c r="D328" s="20">
        <v>48</v>
      </c>
      <c r="E328" s="20" t="s">
        <v>765</v>
      </c>
      <c r="F328" s="20" t="s">
        <v>894</v>
      </c>
      <c r="G328" s="20"/>
      <c r="H328" s="20"/>
      <c r="I328" s="20"/>
      <c r="J328" s="20" t="s">
        <v>895</v>
      </c>
      <c r="K328" t="e">
        <f>VLOOKUP(B328,Site!$B$1:$B$5698,2,0)</f>
        <v>#REF!</v>
      </c>
    </row>
    <row r="329" spans="1:11" x14ac:dyDescent="0.25">
      <c r="A329" s="19">
        <v>327</v>
      </c>
      <c r="B329" s="18" t="s">
        <v>156</v>
      </c>
      <c r="C329" s="18" t="s">
        <v>884</v>
      </c>
      <c r="D329" s="20">
        <v>42</v>
      </c>
      <c r="E329" s="20" t="s">
        <v>765</v>
      </c>
      <c r="F329" s="20" t="s">
        <v>894</v>
      </c>
      <c r="G329" s="20"/>
      <c r="H329" s="20"/>
      <c r="I329" s="20"/>
      <c r="J329" s="20" t="s">
        <v>895</v>
      </c>
      <c r="K329" t="e">
        <f>VLOOKUP(B329,Site!$B$1:$B$5698,2,0)</f>
        <v>#REF!</v>
      </c>
    </row>
    <row r="330" spans="1:11" x14ac:dyDescent="0.25">
      <c r="A330" s="19">
        <v>328</v>
      </c>
      <c r="B330" s="18" t="s">
        <v>157</v>
      </c>
      <c r="C330" s="18" t="s">
        <v>884</v>
      </c>
      <c r="D330" s="20">
        <v>45</v>
      </c>
      <c r="E330" s="20" t="s">
        <v>765</v>
      </c>
      <c r="F330" s="20" t="s">
        <v>894</v>
      </c>
      <c r="G330" s="20"/>
      <c r="H330" s="20"/>
      <c r="I330" s="20"/>
      <c r="J330" s="20" t="s">
        <v>895</v>
      </c>
      <c r="K330" t="e">
        <f>VLOOKUP(B330,Site!$B$1:$B$5698,2,0)</f>
        <v>#REF!</v>
      </c>
    </row>
    <row r="331" spans="1:11" x14ac:dyDescent="0.25">
      <c r="A331" s="19">
        <v>329</v>
      </c>
      <c r="B331" s="18" t="s">
        <v>170</v>
      </c>
      <c r="C331" s="18" t="s">
        <v>884</v>
      </c>
      <c r="D331" s="20">
        <v>45</v>
      </c>
      <c r="E331" s="20" t="s">
        <v>765</v>
      </c>
      <c r="F331" s="20" t="s">
        <v>894</v>
      </c>
      <c r="G331" s="20"/>
      <c r="H331" s="20"/>
      <c r="I331" s="20"/>
      <c r="J331" s="20" t="s">
        <v>895</v>
      </c>
      <c r="K331" t="e">
        <f>VLOOKUP(B331,Site!$B$1:$B$5698,2,0)</f>
        <v>#REF!</v>
      </c>
    </row>
    <row r="332" spans="1:11" x14ac:dyDescent="0.25">
      <c r="A332" s="19">
        <v>330</v>
      </c>
      <c r="B332" s="18" t="s">
        <v>171</v>
      </c>
      <c r="C332" s="18" t="s">
        <v>884</v>
      </c>
      <c r="D332" s="20">
        <v>45</v>
      </c>
      <c r="E332" s="20" t="s">
        <v>765</v>
      </c>
      <c r="F332" s="20" t="s">
        <v>894</v>
      </c>
      <c r="G332" s="20"/>
      <c r="H332" s="20"/>
      <c r="I332" s="20"/>
      <c r="J332" s="20" t="s">
        <v>895</v>
      </c>
      <c r="K332" t="e">
        <f>VLOOKUP(B332,Site!$B$1:$B$5698,2,0)</f>
        <v>#REF!</v>
      </c>
    </row>
    <row r="333" spans="1:11" x14ac:dyDescent="0.25">
      <c r="A333" s="19">
        <v>331</v>
      </c>
      <c r="B333" s="18" t="s">
        <v>172</v>
      </c>
      <c r="C333" s="18" t="s">
        <v>884</v>
      </c>
      <c r="D333" s="20">
        <v>42</v>
      </c>
      <c r="E333" s="20" t="s">
        <v>765</v>
      </c>
      <c r="F333" s="20" t="s">
        <v>894</v>
      </c>
      <c r="G333" s="20"/>
      <c r="H333" s="20"/>
      <c r="I333" s="20"/>
      <c r="J333" s="20" t="s">
        <v>895</v>
      </c>
      <c r="K333" t="e">
        <f>VLOOKUP(B333,Site!$B$1:$B$5698,2,0)</f>
        <v>#REF!</v>
      </c>
    </row>
    <row r="334" spans="1:11" x14ac:dyDescent="0.25">
      <c r="A334" s="19">
        <v>332</v>
      </c>
      <c r="B334" s="18" t="s">
        <v>173</v>
      </c>
      <c r="C334" s="18" t="s">
        <v>884</v>
      </c>
      <c r="D334" s="20">
        <v>42</v>
      </c>
      <c r="E334" s="20" t="s">
        <v>765</v>
      </c>
      <c r="F334" s="20" t="s">
        <v>894</v>
      </c>
      <c r="G334" s="20"/>
      <c r="H334" s="20"/>
      <c r="I334" s="20"/>
      <c r="J334" s="20" t="s">
        <v>895</v>
      </c>
      <c r="K334" t="e">
        <f>VLOOKUP(B334,Site!$B$1:$B$5698,2,0)</f>
        <v>#REF!</v>
      </c>
    </row>
    <row r="335" spans="1:11" x14ac:dyDescent="0.25">
      <c r="A335" s="19">
        <v>333</v>
      </c>
      <c r="B335" s="18" t="s">
        <v>174</v>
      </c>
      <c r="C335" s="18" t="s">
        <v>884</v>
      </c>
      <c r="D335" s="20">
        <v>45</v>
      </c>
      <c r="E335" s="20" t="s">
        <v>765</v>
      </c>
      <c r="F335" s="20" t="s">
        <v>894</v>
      </c>
      <c r="G335" s="20"/>
      <c r="H335" s="20"/>
      <c r="I335" s="20"/>
      <c r="J335" s="20" t="s">
        <v>895</v>
      </c>
      <c r="K335" t="e">
        <f>VLOOKUP(B335,Site!$B$1:$B$5698,2,0)</f>
        <v>#REF!</v>
      </c>
    </row>
    <row r="336" spans="1:11" x14ac:dyDescent="0.25">
      <c r="A336" s="19">
        <v>334</v>
      </c>
      <c r="B336" s="18" t="s">
        <v>175</v>
      </c>
      <c r="C336" s="18" t="s">
        <v>884</v>
      </c>
      <c r="D336" s="20">
        <v>45</v>
      </c>
      <c r="E336" s="20" t="s">
        <v>896</v>
      </c>
      <c r="F336" s="20" t="s">
        <v>902</v>
      </c>
      <c r="G336" s="20"/>
      <c r="H336" s="20"/>
      <c r="I336" s="20" t="s">
        <v>900</v>
      </c>
      <c r="J336" s="20" t="s">
        <v>901</v>
      </c>
      <c r="K336" t="e">
        <f>VLOOKUP(B336,Site!$B$1:$B$5698,2,0)</f>
        <v>#REF!</v>
      </c>
    </row>
    <row r="337" spans="1:11" x14ac:dyDescent="0.25">
      <c r="A337" s="19">
        <v>335</v>
      </c>
      <c r="B337" s="18" t="s">
        <v>158</v>
      </c>
      <c r="C337" s="18" t="s">
        <v>884</v>
      </c>
      <c r="D337" s="20">
        <v>45</v>
      </c>
      <c r="E337" s="20" t="s">
        <v>896</v>
      </c>
      <c r="F337" s="20" t="s">
        <v>902</v>
      </c>
      <c r="G337" s="20"/>
      <c r="H337" s="20"/>
      <c r="I337" s="20" t="s">
        <v>900</v>
      </c>
      <c r="J337" s="20" t="s">
        <v>901</v>
      </c>
      <c r="K337" t="e">
        <f>VLOOKUP(B337,Site!$B$1:$B$5698,2,0)</f>
        <v>#REF!</v>
      </c>
    </row>
    <row r="338" spans="1:11" x14ac:dyDescent="0.25">
      <c r="A338" s="19">
        <v>336</v>
      </c>
      <c r="B338" s="18" t="s">
        <v>176</v>
      </c>
      <c r="C338" s="18" t="s">
        <v>884</v>
      </c>
      <c r="D338" s="20">
        <v>45</v>
      </c>
      <c r="E338" s="20" t="s">
        <v>896</v>
      </c>
      <c r="F338" s="20" t="s">
        <v>894</v>
      </c>
      <c r="G338" s="20"/>
      <c r="H338" s="20"/>
      <c r="I338" s="20"/>
      <c r="J338" s="20" t="s">
        <v>895</v>
      </c>
      <c r="K338" t="e">
        <f>VLOOKUP(B338,Site!$B$1:$B$5698,2,0)</f>
        <v>#REF!</v>
      </c>
    </row>
    <row r="339" spans="1:11" x14ac:dyDescent="0.25">
      <c r="A339" s="19">
        <v>337</v>
      </c>
      <c r="B339" s="18" t="s">
        <v>177</v>
      </c>
      <c r="C339" s="18" t="s">
        <v>884</v>
      </c>
      <c r="D339" s="20">
        <v>42</v>
      </c>
      <c r="E339" s="20" t="s">
        <v>765</v>
      </c>
      <c r="F339" s="20" t="s">
        <v>894</v>
      </c>
      <c r="G339" s="20"/>
      <c r="H339" s="20"/>
      <c r="I339" s="20"/>
      <c r="J339" s="20" t="s">
        <v>895</v>
      </c>
      <c r="K339" t="e">
        <f>VLOOKUP(B339,Site!$B$1:$B$5698,2,0)</f>
        <v>#REF!</v>
      </c>
    </row>
    <row r="340" spans="1:11" x14ac:dyDescent="0.25">
      <c r="A340" s="19">
        <v>338</v>
      </c>
      <c r="B340" s="18" t="s">
        <v>178</v>
      </c>
      <c r="C340" s="18" t="s">
        <v>884</v>
      </c>
      <c r="D340" s="20">
        <v>45</v>
      </c>
      <c r="E340" s="20" t="s">
        <v>896</v>
      </c>
      <c r="F340" s="20" t="s">
        <v>894</v>
      </c>
      <c r="G340" s="20"/>
      <c r="H340" s="20"/>
      <c r="I340" s="20"/>
      <c r="J340" s="20" t="s">
        <v>895</v>
      </c>
      <c r="K340" t="e">
        <f>VLOOKUP(B340,Site!$B$1:$B$5698,2,0)</f>
        <v>#REF!</v>
      </c>
    </row>
    <row r="341" spans="1:11" x14ac:dyDescent="0.25">
      <c r="A341" s="19">
        <v>339</v>
      </c>
      <c r="B341" s="18" t="s">
        <v>179</v>
      </c>
      <c r="C341" s="18" t="s">
        <v>884</v>
      </c>
      <c r="D341" s="20">
        <v>42</v>
      </c>
      <c r="E341" s="20" t="s">
        <v>765</v>
      </c>
      <c r="F341" s="20" t="s">
        <v>894</v>
      </c>
      <c r="G341" s="20"/>
      <c r="H341" s="20"/>
      <c r="I341" s="20"/>
      <c r="J341" s="20" t="s">
        <v>895</v>
      </c>
      <c r="K341" t="e">
        <f>VLOOKUP(B341,Site!$B$1:$B$5698,2,0)</f>
        <v>#REF!</v>
      </c>
    </row>
    <row r="342" spans="1:11" x14ac:dyDescent="0.25">
      <c r="A342" s="19">
        <v>340</v>
      </c>
      <c r="B342" s="18" t="s">
        <v>180</v>
      </c>
      <c r="C342" s="18" t="s">
        <v>884</v>
      </c>
      <c r="D342" s="20">
        <v>42</v>
      </c>
      <c r="E342" s="20" t="s">
        <v>765</v>
      </c>
      <c r="F342" s="20" t="s">
        <v>894</v>
      </c>
      <c r="G342" s="20"/>
      <c r="H342" s="20"/>
      <c r="I342" s="20"/>
      <c r="J342" s="20" t="s">
        <v>895</v>
      </c>
      <c r="K342" t="e">
        <f>VLOOKUP(B342,Site!$B$1:$B$5698,2,0)</f>
        <v>#REF!</v>
      </c>
    </row>
    <row r="343" spans="1:11" x14ac:dyDescent="0.25">
      <c r="A343" s="19">
        <v>341</v>
      </c>
      <c r="B343" s="18" t="s">
        <v>181</v>
      </c>
      <c r="C343" s="18" t="s">
        <v>884</v>
      </c>
      <c r="D343" s="20">
        <v>42</v>
      </c>
      <c r="E343" s="20" t="s">
        <v>765</v>
      </c>
      <c r="F343" s="20" t="s">
        <v>894</v>
      </c>
      <c r="G343" s="20"/>
      <c r="H343" s="20"/>
      <c r="I343" s="20"/>
      <c r="J343" s="20" t="s">
        <v>895</v>
      </c>
      <c r="K343" t="e">
        <f>VLOOKUP(B343,Site!$B$1:$B$5698,2,0)</f>
        <v>#REF!</v>
      </c>
    </row>
    <row r="344" spans="1:11" x14ac:dyDescent="0.25">
      <c r="A344" s="19">
        <v>342</v>
      </c>
      <c r="B344" s="18" t="s">
        <v>182</v>
      </c>
      <c r="C344" s="18" t="s">
        <v>884</v>
      </c>
      <c r="D344" s="20">
        <v>42</v>
      </c>
      <c r="E344" s="20" t="s">
        <v>765</v>
      </c>
      <c r="F344" s="20" t="s">
        <v>894</v>
      </c>
      <c r="G344" s="20"/>
      <c r="H344" s="20"/>
      <c r="I344" s="20"/>
      <c r="J344" s="20" t="s">
        <v>895</v>
      </c>
      <c r="K344" t="e">
        <f>VLOOKUP(B344,Site!$B$1:$B$5698,2,0)</f>
        <v>#REF!</v>
      </c>
    </row>
    <row r="345" spans="1:11" x14ac:dyDescent="0.25">
      <c r="A345" s="19">
        <v>343</v>
      </c>
      <c r="B345" s="18" t="s">
        <v>183</v>
      </c>
      <c r="C345" s="18" t="s">
        <v>884</v>
      </c>
      <c r="D345" s="20">
        <v>42</v>
      </c>
      <c r="E345" s="20" t="s">
        <v>765</v>
      </c>
      <c r="F345" s="20" t="s">
        <v>894</v>
      </c>
      <c r="G345" s="20"/>
      <c r="H345" s="20"/>
      <c r="I345" s="20"/>
      <c r="J345" s="20" t="s">
        <v>895</v>
      </c>
      <c r="K345" t="e">
        <f>VLOOKUP(B345,Site!$B$1:$B$5698,2,0)</f>
        <v>#REF!</v>
      </c>
    </row>
    <row r="346" spans="1:11" x14ac:dyDescent="0.25">
      <c r="A346" s="19">
        <v>344</v>
      </c>
      <c r="B346" s="18" t="s">
        <v>184</v>
      </c>
      <c r="C346" s="18" t="s">
        <v>884</v>
      </c>
      <c r="D346" s="20">
        <v>45</v>
      </c>
      <c r="E346" s="20" t="s">
        <v>896</v>
      </c>
      <c r="F346" s="20" t="s">
        <v>894</v>
      </c>
      <c r="G346" s="20"/>
      <c r="H346" s="20"/>
      <c r="I346" s="20"/>
      <c r="J346" s="20" t="s">
        <v>895</v>
      </c>
      <c r="K346" t="e">
        <f>VLOOKUP(B346,Site!$B$1:$B$5698,2,0)</f>
        <v>#REF!</v>
      </c>
    </row>
    <row r="347" spans="1:11" x14ac:dyDescent="0.25">
      <c r="A347" s="19">
        <v>345</v>
      </c>
      <c r="B347" s="18" t="s">
        <v>185</v>
      </c>
      <c r="C347" s="18" t="s">
        <v>884</v>
      </c>
      <c r="D347" s="20">
        <v>42</v>
      </c>
      <c r="E347" s="20" t="s">
        <v>765</v>
      </c>
      <c r="F347" s="20" t="s">
        <v>894</v>
      </c>
      <c r="G347" s="20"/>
      <c r="H347" s="20"/>
      <c r="I347" s="20"/>
      <c r="J347" s="20" t="s">
        <v>895</v>
      </c>
      <c r="K347" t="e">
        <f>VLOOKUP(B347,Site!$B$1:$B$5698,2,0)</f>
        <v>#REF!</v>
      </c>
    </row>
    <row r="348" spans="1:11" x14ac:dyDescent="0.25">
      <c r="A348" s="19">
        <v>346</v>
      </c>
      <c r="B348" s="18" t="s">
        <v>186</v>
      </c>
      <c r="C348" s="18" t="s">
        <v>884</v>
      </c>
      <c r="D348" s="20">
        <v>42</v>
      </c>
      <c r="E348" s="20" t="s">
        <v>765</v>
      </c>
      <c r="F348" s="20" t="s">
        <v>894</v>
      </c>
      <c r="G348" s="20"/>
      <c r="H348" s="20"/>
      <c r="I348" s="20"/>
      <c r="J348" s="20" t="s">
        <v>895</v>
      </c>
      <c r="K348" t="e">
        <f>VLOOKUP(B348,Site!$B$1:$B$5698,2,0)</f>
        <v>#REF!</v>
      </c>
    </row>
    <row r="349" spans="1:11" x14ac:dyDescent="0.25">
      <c r="A349" s="19">
        <v>347</v>
      </c>
      <c r="B349" s="18" t="s">
        <v>163</v>
      </c>
      <c r="C349" s="18" t="s">
        <v>884</v>
      </c>
      <c r="D349" s="20">
        <v>45</v>
      </c>
      <c r="E349" s="20" t="s">
        <v>896</v>
      </c>
      <c r="F349" s="20" t="s">
        <v>894</v>
      </c>
      <c r="G349" s="20"/>
      <c r="H349" s="20"/>
      <c r="I349" s="20"/>
      <c r="J349" s="20" t="s">
        <v>895</v>
      </c>
      <c r="K349" t="e">
        <f>VLOOKUP(B349,Site!$B$1:$B$5698,2,0)</f>
        <v>#REF!</v>
      </c>
    </row>
    <row r="350" spans="1:11" x14ac:dyDescent="0.25">
      <c r="A350" s="19">
        <v>348</v>
      </c>
      <c r="B350" s="18" t="s">
        <v>164</v>
      </c>
      <c r="C350" s="18" t="s">
        <v>884</v>
      </c>
      <c r="D350" s="20">
        <v>45</v>
      </c>
      <c r="E350" s="20" t="s">
        <v>760</v>
      </c>
      <c r="F350" s="20" t="s">
        <v>894</v>
      </c>
      <c r="G350" s="20"/>
      <c r="H350" s="20"/>
      <c r="I350" s="20"/>
      <c r="J350" s="20" t="s">
        <v>895</v>
      </c>
      <c r="K350" t="e">
        <f>VLOOKUP(B350,Site!$B$1:$B$5698,2,0)</f>
        <v>#REF!</v>
      </c>
    </row>
    <row r="351" spans="1:11" x14ac:dyDescent="0.25">
      <c r="A351" s="19">
        <v>349</v>
      </c>
      <c r="B351" s="18" t="s">
        <v>418</v>
      </c>
      <c r="C351" s="18" t="s">
        <v>884</v>
      </c>
      <c r="D351" s="20">
        <v>42</v>
      </c>
      <c r="E351" s="20" t="s">
        <v>843</v>
      </c>
      <c r="F351" s="20" t="s">
        <v>894</v>
      </c>
      <c r="G351" s="20"/>
      <c r="H351" s="20"/>
      <c r="I351" s="20"/>
      <c r="J351" s="20" t="s">
        <v>895</v>
      </c>
      <c r="K351" t="e">
        <f>VLOOKUP(B351,Site!$B$1:$B$5698,2,0)</f>
        <v>#REF!</v>
      </c>
    </row>
    <row r="352" spans="1:11" x14ac:dyDescent="0.25">
      <c r="A352" s="19">
        <v>350</v>
      </c>
      <c r="B352" s="18" t="s">
        <v>486</v>
      </c>
      <c r="C352" s="18" t="s">
        <v>884</v>
      </c>
      <c r="D352" s="20">
        <v>42</v>
      </c>
      <c r="E352" s="20" t="s">
        <v>877</v>
      </c>
      <c r="F352" s="20" t="s">
        <v>897</v>
      </c>
      <c r="G352" s="20"/>
      <c r="H352" s="20"/>
      <c r="I352" s="20"/>
      <c r="J352" s="20" t="s">
        <v>898</v>
      </c>
      <c r="K352" t="e">
        <f>VLOOKUP(B352,Site!$B$1:$B$5698,2,0)</f>
        <v>#REF!</v>
      </c>
    </row>
    <row r="353" spans="1:11" x14ac:dyDescent="0.25">
      <c r="A353" s="19">
        <v>351</v>
      </c>
      <c r="B353" s="18" t="s">
        <v>480</v>
      </c>
      <c r="C353" s="18" t="s">
        <v>884</v>
      </c>
      <c r="D353" s="20">
        <v>42</v>
      </c>
      <c r="E353" s="20" t="s">
        <v>877</v>
      </c>
      <c r="F353" s="20" t="s">
        <v>897</v>
      </c>
      <c r="G353" s="20"/>
      <c r="H353" s="20"/>
      <c r="I353" s="20"/>
      <c r="J353" s="20" t="s">
        <v>898</v>
      </c>
      <c r="K353" t="e">
        <f>VLOOKUP(B353,Site!$B$1:$B$5698,2,0)</f>
        <v>#REF!</v>
      </c>
    </row>
    <row r="354" spans="1:11" x14ac:dyDescent="0.25">
      <c r="A354" s="19">
        <v>352</v>
      </c>
      <c r="B354" s="18" t="s">
        <v>500</v>
      </c>
      <c r="C354" s="18" t="s">
        <v>884</v>
      </c>
      <c r="D354" s="20">
        <v>42</v>
      </c>
      <c r="E354" s="20" t="s">
        <v>877</v>
      </c>
      <c r="F354" s="20" t="s">
        <v>897</v>
      </c>
      <c r="G354" s="20"/>
      <c r="H354" s="20"/>
      <c r="I354" s="20"/>
      <c r="J354" s="20" t="s">
        <v>898</v>
      </c>
      <c r="K354" t="e">
        <f>VLOOKUP(B354,Site!$B$1:$B$5698,2,0)</f>
        <v>#REF!</v>
      </c>
    </row>
    <row r="355" spans="1:11" x14ac:dyDescent="0.25">
      <c r="A355" s="19">
        <v>353</v>
      </c>
      <c r="B355" s="18" t="s">
        <v>479</v>
      </c>
      <c r="C355" s="18" t="s">
        <v>884</v>
      </c>
      <c r="D355" s="20">
        <v>42</v>
      </c>
      <c r="E355" s="20" t="s">
        <v>843</v>
      </c>
      <c r="F355" s="20" t="s">
        <v>897</v>
      </c>
      <c r="G355" s="20"/>
      <c r="H355" s="20"/>
      <c r="I355" s="20"/>
      <c r="J355" s="20" t="s">
        <v>898</v>
      </c>
      <c r="K355" t="e">
        <f>VLOOKUP(B355,Site!$B$1:$B$5698,2,0)</f>
        <v>#REF!</v>
      </c>
    </row>
    <row r="356" spans="1:11" x14ac:dyDescent="0.25">
      <c r="A356" s="19">
        <v>354</v>
      </c>
      <c r="B356" s="18" t="s">
        <v>487</v>
      </c>
      <c r="C356" s="18" t="s">
        <v>884</v>
      </c>
      <c r="D356" s="20">
        <v>42</v>
      </c>
      <c r="E356" s="20" t="s">
        <v>843</v>
      </c>
      <c r="F356" s="20" t="s">
        <v>897</v>
      </c>
      <c r="G356" s="20"/>
      <c r="H356" s="20"/>
      <c r="I356" s="20"/>
      <c r="J356" s="20" t="s">
        <v>898</v>
      </c>
      <c r="K356" t="e">
        <f>VLOOKUP(B356,Site!$B$1:$B$5698,2,0)</f>
        <v>#REF!</v>
      </c>
    </row>
    <row r="357" spans="1:11" x14ac:dyDescent="0.25">
      <c r="A357" s="19">
        <v>355</v>
      </c>
      <c r="B357" s="18" t="s">
        <v>488</v>
      </c>
      <c r="C357" s="18" t="s">
        <v>884</v>
      </c>
      <c r="D357" s="20">
        <v>42</v>
      </c>
      <c r="E357" s="20" t="s">
        <v>843</v>
      </c>
      <c r="F357" s="20" t="s">
        <v>897</v>
      </c>
      <c r="G357" s="20"/>
      <c r="H357" s="20"/>
      <c r="I357" s="20"/>
      <c r="J357" s="20" t="s">
        <v>898</v>
      </c>
      <c r="K357" t="e">
        <f>VLOOKUP(B357,Site!$B$1:$B$5698,2,0)</f>
        <v>#REF!</v>
      </c>
    </row>
    <row r="358" spans="1:11" x14ac:dyDescent="0.25">
      <c r="A358" s="19">
        <v>356</v>
      </c>
      <c r="B358" s="18" t="s">
        <v>499</v>
      </c>
      <c r="C358" s="18" t="s">
        <v>884</v>
      </c>
      <c r="D358" s="20">
        <v>42</v>
      </c>
      <c r="E358" s="20" t="s">
        <v>843</v>
      </c>
      <c r="F358" s="20" t="s">
        <v>897</v>
      </c>
      <c r="G358" s="20"/>
      <c r="H358" s="20"/>
      <c r="I358" s="20"/>
      <c r="J358" s="20" t="s">
        <v>898</v>
      </c>
      <c r="K358" t="e">
        <f>VLOOKUP(B358,Site!$B$1:$B$5698,2,0)</f>
        <v>#REF!</v>
      </c>
    </row>
    <row r="359" spans="1:11" x14ac:dyDescent="0.25">
      <c r="A359" s="19">
        <v>357</v>
      </c>
      <c r="B359" s="18" t="s">
        <v>544</v>
      </c>
      <c r="C359" s="18" t="s">
        <v>884</v>
      </c>
      <c r="D359" s="20">
        <v>42</v>
      </c>
      <c r="E359" s="20" t="s">
        <v>877</v>
      </c>
      <c r="F359" s="20" t="s">
        <v>897</v>
      </c>
      <c r="G359" s="20"/>
      <c r="H359" s="20"/>
      <c r="I359" s="20"/>
      <c r="J359" s="20" t="s">
        <v>898</v>
      </c>
      <c r="K359" t="e">
        <f>VLOOKUP(B359,Site!$B$1:$B$5698,2,0)</f>
        <v>#REF!</v>
      </c>
    </row>
    <row r="360" spans="1:11" x14ac:dyDescent="0.25">
      <c r="A360" s="19">
        <v>358</v>
      </c>
      <c r="B360" s="18" t="s">
        <v>489</v>
      </c>
      <c r="C360" s="18" t="s">
        <v>884</v>
      </c>
      <c r="D360" s="20">
        <v>42</v>
      </c>
      <c r="E360" s="20" t="s">
        <v>843</v>
      </c>
      <c r="F360" s="20" t="s">
        <v>897</v>
      </c>
      <c r="G360" s="20"/>
      <c r="H360" s="20"/>
      <c r="I360" s="20"/>
      <c r="J360" s="20" t="s">
        <v>898</v>
      </c>
      <c r="K360" t="e">
        <f>VLOOKUP(B360,Site!$B$1:$B$5698,2,0)</f>
        <v>#REF!</v>
      </c>
    </row>
    <row r="361" spans="1:11" x14ac:dyDescent="0.25">
      <c r="A361" s="19">
        <v>359</v>
      </c>
      <c r="B361" s="18" t="s">
        <v>529</v>
      </c>
      <c r="C361" s="18" t="s">
        <v>884</v>
      </c>
      <c r="D361" s="20">
        <v>42</v>
      </c>
      <c r="E361" s="20" t="s">
        <v>843</v>
      </c>
      <c r="F361" s="20" t="s">
        <v>897</v>
      </c>
      <c r="G361" s="20"/>
      <c r="H361" s="20"/>
      <c r="I361" s="20"/>
      <c r="J361" s="20" t="s">
        <v>898</v>
      </c>
      <c r="K361" t="e">
        <f>VLOOKUP(B361,Site!$B$1:$B$5698,2,0)</f>
        <v>#REF!</v>
      </c>
    </row>
    <row r="362" spans="1:11" x14ac:dyDescent="0.25">
      <c r="A362" s="19">
        <v>360</v>
      </c>
      <c r="B362" s="18" t="s">
        <v>528</v>
      </c>
      <c r="C362" s="18" t="s">
        <v>884</v>
      </c>
      <c r="D362" s="20">
        <v>42</v>
      </c>
      <c r="E362" s="20" t="s">
        <v>843</v>
      </c>
      <c r="F362" s="20" t="s">
        <v>897</v>
      </c>
      <c r="G362" s="20"/>
      <c r="H362" s="20"/>
      <c r="I362" s="20"/>
      <c r="J362" s="20" t="s">
        <v>898</v>
      </c>
      <c r="K362" t="e">
        <f>VLOOKUP(B362,Site!$B$1:$B$5698,2,0)</f>
        <v>#REF!</v>
      </c>
    </row>
    <row r="363" spans="1:11" x14ac:dyDescent="0.25">
      <c r="A363" s="19">
        <v>361</v>
      </c>
      <c r="B363" s="18" t="s">
        <v>239</v>
      </c>
      <c r="C363" s="18" t="s">
        <v>884</v>
      </c>
      <c r="D363" s="20">
        <v>45</v>
      </c>
      <c r="E363" s="20" t="s">
        <v>896</v>
      </c>
      <c r="F363" s="20" t="s">
        <v>899</v>
      </c>
      <c r="G363" s="20"/>
      <c r="H363" s="20"/>
      <c r="I363" s="20" t="s">
        <v>900</v>
      </c>
      <c r="J363" s="20" t="s">
        <v>901</v>
      </c>
      <c r="K363" t="e">
        <f>VLOOKUP(B363,Site!$B$1:$B$5698,2,0)</f>
        <v>#REF!</v>
      </c>
    </row>
    <row r="364" spans="1:11" x14ac:dyDescent="0.25">
      <c r="A364" s="19">
        <v>362</v>
      </c>
      <c r="B364" s="18" t="s">
        <v>240</v>
      </c>
      <c r="C364" s="18" t="s">
        <v>884</v>
      </c>
      <c r="D364" s="20">
        <v>45</v>
      </c>
      <c r="E364" s="20" t="s">
        <v>896</v>
      </c>
      <c r="F364" s="20" t="s">
        <v>897</v>
      </c>
      <c r="G364" s="20"/>
      <c r="H364" s="20"/>
      <c r="I364" s="20"/>
      <c r="J364" s="20" t="s">
        <v>898</v>
      </c>
      <c r="K364" t="e">
        <f>VLOOKUP(B364,Site!$B$1:$B$5698,2,0)</f>
        <v>#REF!</v>
      </c>
    </row>
    <row r="365" spans="1:11" x14ac:dyDescent="0.25">
      <c r="A365" s="19">
        <v>363</v>
      </c>
      <c r="B365" s="18" t="s">
        <v>241</v>
      </c>
      <c r="C365" s="18" t="s">
        <v>884</v>
      </c>
      <c r="D365" s="20">
        <v>45</v>
      </c>
      <c r="E365" s="20" t="s">
        <v>765</v>
      </c>
      <c r="F365" s="20" t="s">
        <v>894</v>
      </c>
      <c r="G365" s="20"/>
      <c r="H365" s="20"/>
      <c r="I365" s="20"/>
      <c r="J365" s="20" t="s">
        <v>895</v>
      </c>
      <c r="K365" t="e">
        <f>VLOOKUP(B365,Site!$B$1:$B$5698,2,0)</f>
        <v>#REF!</v>
      </c>
    </row>
    <row r="366" spans="1:11" x14ac:dyDescent="0.25">
      <c r="A366" s="19">
        <v>364</v>
      </c>
      <c r="B366" s="18" t="s">
        <v>242</v>
      </c>
      <c r="C366" s="18" t="s">
        <v>884</v>
      </c>
      <c r="D366" s="20">
        <v>39</v>
      </c>
      <c r="E366" s="20" t="s">
        <v>765</v>
      </c>
      <c r="F366" s="20" t="s">
        <v>894</v>
      </c>
      <c r="G366" s="20"/>
      <c r="H366" s="20"/>
      <c r="I366" s="20"/>
      <c r="J366" s="20" t="s">
        <v>895</v>
      </c>
      <c r="K366" t="e">
        <f>VLOOKUP(B366,Site!$B$1:$B$5698,2,0)</f>
        <v>#REF!</v>
      </c>
    </row>
    <row r="367" spans="1:11" x14ac:dyDescent="0.25">
      <c r="A367" s="19">
        <v>365</v>
      </c>
      <c r="B367" s="18" t="s">
        <v>243</v>
      </c>
      <c r="C367" s="18" t="s">
        <v>884</v>
      </c>
      <c r="D367" s="20">
        <v>42</v>
      </c>
      <c r="E367" s="20" t="s">
        <v>765</v>
      </c>
      <c r="F367" s="20" t="s">
        <v>894</v>
      </c>
      <c r="G367" s="20"/>
      <c r="H367" s="20"/>
      <c r="I367" s="20"/>
      <c r="J367" s="20" t="s">
        <v>895</v>
      </c>
      <c r="K367" t="e">
        <f>VLOOKUP(B367,Site!$B$1:$B$5698,2,0)</f>
        <v>#REF!</v>
      </c>
    </row>
    <row r="368" spans="1:11" x14ac:dyDescent="0.25">
      <c r="A368" s="19">
        <v>366</v>
      </c>
      <c r="B368" s="18" t="s">
        <v>244</v>
      </c>
      <c r="C368" s="18" t="s">
        <v>884</v>
      </c>
      <c r="D368" s="20">
        <v>42</v>
      </c>
      <c r="E368" s="20" t="s">
        <v>765</v>
      </c>
      <c r="F368" s="20" t="s">
        <v>894</v>
      </c>
      <c r="G368" s="20"/>
      <c r="H368" s="20"/>
      <c r="I368" s="20"/>
      <c r="J368" s="20" t="s">
        <v>895</v>
      </c>
      <c r="K368" t="e">
        <f>VLOOKUP(B368,Site!$B$1:$B$5698,2,0)</f>
        <v>#REF!</v>
      </c>
    </row>
    <row r="369" spans="1:11" x14ac:dyDescent="0.25">
      <c r="A369" s="19">
        <v>367</v>
      </c>
      <c r="B369" s="18" t="s">
        <v>245</v>
      </c>
      <c r="C369" s="18" t="s">
        <v>884</v>
      </c>
      <c r="D369" s="20">
        <v>42</v>
      </c>
      <c r="E369" s="20" t="s">
        <v>765</v>
      </c>
      <c r="F369" s="20" t="s">
        <v>894</v>
      </c>
      <c r="G369" s="20"/>
      <c r="H369" s="20"/>
      <c r="I369" s="20"/>
      <c r="J369" s="20" t="s">
        <v>895</v>
      </c>
      <c r="K369" t="e">
        <f>VLOOKUP(B369,Site!$B$1:$B$5698,2,0)</f>
        <v>#REF!</v>
      </c>
    </row>
    <row r="370" spans="1:11" x14ac:dyDescent="0.25">
      <c r="A370" s="19">
        <v>368</v>
      </c>
      <c r="B370" s="18" t="s">
        <v>246</v>
      </c>
      <c r="C370" s="18" t="s">
        <v>884</v>
      </c>
      <c r="D370" s="20">
        <v>42</v>
      </c>
      <c r="E370" s="20" t="s">
        <v>765</v>
      </c>
      <c r="F370" s="20" t="s">
        <v>894</v>
      </c>
      <c r="G370" s="20"/>
      <c r="H370" s="20"/>
      <c r="I370" s="20"/>
      <c r="J370" s="20" t="s">
        <v>895</v>
      </c>
      <c r="K370" t="e">
        <f>VLOOKUP(B370,Site!$B$1:$B$5698,2,0)</f>
        <v>#REF!</v>
      </c>
    </row>
    <row r="371" spans="1:11" x14ac:dyDescent="0.25">
      <c r="A371" s="19">
        <v>369</v>
      </c>
      <c r="B371" s="18" t="s">
        <v>247</v>
      </c>
      <c r="C371" s="18" t="s">
        <v>884</v>
      </c>
      <c r="D371" s="20">
        <v>42</v>
      </c>
      <c r="E371" s="20" t="s">
        <v>843</v>
      </c>
      <c r="F371" s="20" t="s">
        <v>894</v>
      </c>
      <c r="G371" s="20"/>
      <c r="H371" s="20"/>
      <c r="I371" s="20"/>
      <c r="J371" s="20" t="s">
        <v>895</v>
      </c>
      <c r="K371" t="e">
        <f>VLOOKUP(B371,Site!$B$1:$B$5698,2,0)</f>
        <v>#REF!</v>
      </c>
    </row>
    <row r="372" spans="1:11" x14ac:dyDescent="0.25">
      <c r="A372" s="19">
        <v>370</v>
      </c>
      <c r="B372" s="18" t="s">
        <v>248</v>
      </c>
      <c r="C372" s="18" t="s">
        <v>884</v>
      </c>
      <c r="D372" s="20">
        <v>42</v>
      </c>
      <c r="E372" s="20" t="s">
        <v>765</v>
      </c>
      <c r="F372" s="20" t="s">
        <v>894</v>
      </c>
      <c r="G372" s="20"/>
      <c r="H372" s="20"/>
      <c r="I372" s="20"/>
      <c r="J372" s="20" t="s">
        <v>895</v>
      </c>
      <c r="K372" t="e">
        <f>VLOOKUP(B372,Site!$B$1:$B$5698,2,0)</f>
        <v>#REF!</v>
      </c>
    </row>
    <row r="373" spans="1:11" x14ac:dyDescent="0.25">
      <c r="A373" s="19">
        <v>371</v>
      </c>
      <c r="B373" s="18" t="s">
        <v>249</v>
      </c>
      <c r="C373" s="18" t="s">
        <v>884</v>
      </c>
      <c r="D373" s="20">
        <v>42</v>
      </c>
      <c r="E373" s="20" t="s">
        <v>843</v>
      </c>
      <c r="F373" s="20" t="s">
        <v>894</v>
      </c>
      <c r="G373" s="20"/>
      <c r="H373" s="20"/>
      <c r="I373" s="20"/>
      <c r="J373" s="20" t="s">
        <v>895</v>
      </c>
      <c r="K373" t="e">
        <f>VLOOKUP(B373,Site!$B$1:$B$5698,2,0)</f>
        <v>#REF!</v>
      </c>
    </row>
    <row r="374" spans="1:11" x14ac:dyDescent="0.25">
      <c r="A374" s="19">
        <v>372</v>
      </c>
      <c r="B374" s="18" t="s">
        <v>250</v>
      </c>
      <c r="C374" s="18" t="s">
        <v>884</v>
      </c>
      <c r="D374" s="20">
        <v>42</v>
      </c>
      <c r="E374" s="20" t="s">
        <v>765</v>
      </c>
      <c r="F374" s="20" t="s">
        <v>894</v>
      </c>
      <c r="G374" s="20"/>
      <c r="H374" s="20"/>
      <c r="I374" s="20"/>
      <c r="J374" s="20" t="s">
        <v>895</v>
      </c>
      <c r="K374" t="e">
        <f>VLOOKUP(B374,Site!$B$1:$B$5698,2,0)</f>
        <v>#REF!</v>
      </c>
    </row>
    <row r="375" spans="1:11" x14ac:dyDescent="0.25">
      <c r="A375" s="19">
        <v>373</v>
      </c>
      <c r="B375" s="18" t="s">
        <v>251</v>
      </c>
      <c r="C375" s="18" t="s">
        <v>884</v>
      </c>
      <c r="D375" s="20">
        <v>45</v>
      </c>
      <c r="E375" s="20" t="s">
        <v>765</v>
      </c>
      <c r="F375" s="20" t="s">
        <v>894</v>
      </c>
      <c r="G375" s="20"/>
      <c r="H375" s="20"/>
      <c r="I375" s="20"/>
      <c r="J375" s="20" t="s">
        <v>895</v>
      </c>
      <c r="K375" t="e">
        <f>VLOOKUP(B375,Site!$B$1:$B$5698,2,0)</f>
        <v>#REF!</v>
      </c>
    </row>
    <row r="376" spans="1:11" x14ac:dyDescent="0.25">
      <c r="A376" s="19">
        <v>374</v>
      </c>
      <c r="B376" s="18" t="s">
        <v>252</v>
      </c>
      <c r="C376" s="18" t="s">
        <v>884</v>
      </c>
      <c r="D376" s="20">
        <v>42</v>
      </c>
      <c r="E376" s="20" t="s">
        <v>765</v>
      </c>
      <c r="F376" s="20" t="s">
        <v>894</v>
      </c>
      <c r="G376" s="20"/>
      <c r="H376" s="20"/>
      <c r="I376" s="20"/>
      <c r="J376" s="20" t="s">
        <v>895</v>
      </c>
      <c r="K376" t="e">
        <f>VLOOKUP(B376,Site!$B$1:$B$5698,2,0)</f>
        <v>#REF!</v>
      </c>
    </row>
    <row r="377" spans="1:11" x14ac:dyDescent="0.25">
      <c r="A377" s="19">
        <v>375</v>
      </c>
      <c r="B377" s="18" t="s">
        <v>253</v>
      </c>
      <c r="C377" s="18" t="s">
        <v>884</v>
      </c>
      <c r="D377" s="20">
        <v>45</v>
      </c>
      <c r="E377" s="20" t="s">
        <v>765</v>
      </c>
      <c r="F377" s="20" t="s">
        <v>894</v>
      </c>
      <c r="G377" s="20"/>
      <c r="H377" s="20"/>
      <c r="I377" s="20"/>
      <c r="J377" s="20" t="s">
        <v>895</v>
      </c>
      <c r="K377" t="e">
        <f>VLOOKUP(B377,Site!$B$1:$B$5698,2,0)</f>
        <v>#REF!</v>
      </c>
    </row>
    <row r="378" spans="1:11" x14ac:dyDescent="0.25">
      <c r="A378" s="19">
        <v>376</v>
      </c>
      <c r="B378" s="18" t="s">
        <v>254</v>
      </c>
      <c r="C378" s="18" t="s">
        <v>884</v>
      </c>
      <c r="D378" s="20">
        <v>48</v>
      </c>
      <c r="E378" s="20" t="s">
        <v>765</v>
      </c>
      <c r="F378" s="20" t="s">
        <v>894</v>
      </c>
      <c r="G378" s="20"/>
      <c r="H378" s="20"/>
      <c r="I378" s="20"/>
      <c r="J378" s="20" t="s">
        <v>895</v>
      </c>
      <c r="K378" t="e">
        <f>VLOOKUP(B378,Site!$B$1:$B$5698,2,0)</f>
        <v>#REF!</v>
      </c>
    </row>
    <row r="379" spans="1:11" x14ac:dyDescent="0.25">
      <c r="A379" s="19">
        <v>377</v>
      </c>
      <c r="B379" s="18" t="s">
        <v>255</v>
      </c>
      <c r="C379" s="18" t="s">
        <v>884</v>
      </c>
      <c r="D379" s="20">
        <v>42</v>
      </c>
      <c r="E379" s="20" t="s">
        <v>765</v>
      </c>
      <c r="F379" s="20" t="s">
        <v>894</v>
      </c>
      <c r="G379" s="20"/>
      <c r="H379" s="20"/>
      <c r="I379" s="20"/>
      <c r="J379" s="20" t="s">
        <v>895</v>
      </c>
      <c r="K379" t="e">
        <f>VLOOKUP(B379,Site!$B$1:$B$5698,2,0)</f>
        <v>#REF!</v>
      </c>
    </row>
    <row r="380" spans="1:11" x14ac:dyDescent="0.25">
      <c r="A380" s="19">
        <v>378</v>
      </c>
      <c r="B380" s="18" t="s">
        <v>256</v>
      </c>
      <c r="C380" s="18" t="s">
        <v>884</v>
      </c>
      <c r="D380" s="20">
        <v>39</v>
      </c>
      <c r="E380" s="20" t="s">
        <v>765</v>
      </c>
      <c r="F380" s="20" t="s">
        <v>894</v>
      </c>
      <c r="G380" s="20"/>
      <c r="H380" s="20"/>
      <c r="I380" s="20"/>
      <c r="J380" s="20" t="s">
        <v>895</v>
      </c>
      <c r="K380" t="e">
        <f>VLOOKUP(B380,Site!$B$1:$B$5698,2,0)</f>
        <v>#REF!</v>
      </c>
    </row>
    <row r="381" spans="1:11" x14ac:dyDescent="0.25">
      <c r="A381" s="19">
        <v>379</v>
      </c>
      <c r="B381" s="18" t="s">
        <v>257</v>
      </c>
      <c r="C381" s="18" t="s">
        <v>884</v>
      </c>
      <c r="D381" s="20">
        <v>39</v>
      </c>
      <c r="E381" s="20" t="s">
        <v>765</v>
      </c>
      <c r="F381" s="20" t="s">
        <v>894</v>
      </c>
      <c r="G381" s="20"/>
      <c r="H381" s="20"/>
      <c r="I381" s="20"/>
      <c r="J381" s="20" t="s">
        <v>895</v>
      </c>
      <c r="K381" t="e">
        <f>VLOOKUP(B381,Site!$B$1:$B$5698,2,0)</f>
        <v>#REF!</v>
      </c>
    </row>
    <row r="382" spans="1:11" x14ac:dyDescent="0.25">
      <c r="A382" s="19">
        <v>380</v>
      </c>
      <c r="B382" s="18" t="s">
        <v>258</v>
      </c>
      <c r="C382" s="18" t="s">
        <v>884</v>
      </c>
      <c r="D382" s="20">
        <v>45</v>
      </c>
      <c r="E382" s="20" t="s">
        <v>765</v>
      </c>
      <c r="F382" s="20" t="s">
        <v>894</v>
      </c>
      <c r="G382" s="20"/>
      <c r="H382" s="20"/>
      <c r="I382" s="20"/>
      <c r="J382" s="20" t="s">
        <v>895</v>
      </c>
      <c r="K382" t="e">
        <f>VLOOKUP(B382,Site!$B$1:$B$5698,2,0)</f>
        <v>#REF!</v>
      </c>
    </row>
    <row r="383" spans="1:11" x14ac:dyDescent="0.25">
      <c r="A383" s="19">
        <v>381</v>
      </c>
      <c r="B383" s="18" t="s">
        <v>259</v>
      </c>
      <c r="C383" s="18" t="s">
        <v>884</v>
      </c>
      <c r="D383" s="20">
        <v>29</v>
      </c>
      <c r="E383" s="20" t="s">
        <v>765</v>
      </c>
      <c r="F383" s="20" t="s">
        <v>894</v>
      </c>
      <c r="G383" s="20"/>
      <c r="H383" s="20"/>
      <c r="I383" s="20"/>
      <c r="J383" s="20" t="s">
        <v>895</v>
      </c>
      <c r="K383" t="e">
        <f>VLOOKUP(B383,Site!$B$1:$B$5698,2,0)</f>
        <v>#REF!</v>
      </c>
    </row>
    <row r="384" spans="1:11" x14ac:dyDescent="0.25">
      <c r="A384" s="19">
        <v>382</v>
      </c>
      <c r="B384" s="18" t="s">
        <v>260</v>
      </c>
      <c r="C384" s="18" t="s">
        <v>884</v>
      </c>
      <c r="D384" s="20">
        <v>45</v>
      </c>
      <c r="E384" s="20" t="s">
        <v>896</v>
      </c>
      <c r="F384" s="20" t="s">
        <v>894</v>
      </c>
      <c r="G384" s="20"/>
      <c r="H384" s="20"/>
      <c r="I384" s="20"/>
      <c r="J384" s="20" t="s">
        <v>895</v>
      </c>
      <c r="K384" t="e">
        <f>VLOOKUP(B384,Site!$B$1:$B$5698,2,0)</f>
        <v>#REF!</v>
      </c>
    </row>
    <row r="385" spans="1:11" x14ac:dyDescent="0.25">
      <c r="A385" s="19">
        <v>383</v>
      </c>
      <c r="B385" s="18" t="s">
        <v>261</v>
      </c>
      <c r="C385" s="18" t="s">
        <v>884</v>
      </c>
      <c r="D385" s="20">
        <v>42</v>
      </c>
      <c r="E385" s="20" t="s">
        <v>765</v>
      </c>
      <c r="F385" s="20" t="s">
        <v>894</v>
      </c>
      <c r="G385" s="20"/>
      <c r="H385" s="20"/>
      <c r="I385" s="20"/>
      <c r="J385" s="20" t="s">
        <v>895</v>
      </c>
      <c r="K385" t="e">
        <f>VLOOKUP(B385,Site!$B$1:$B$5698,2,0)</f>
        <v>#REF!</v>
      </c>
    </row>
    <row r="386" spans="1:11" x14ac:dyDescent="0.25">
      <c r="A386" s="19">
        <v>384</v>
      </c>
      <c r="B386" s="18" t="s">
        <v>262</v>
      </c>
      <c r="C386" s="18" t="s">
        <v>884</v>
      </c>
      <c r="D386" s="20">
        <v>42</v>
      </c>
      <c r="E386" s="20" t="s">
        <v>765</v>
      </c>
      <c r="F386" s="20" t="s">
        <v>894</v>
      </c>
      <c r="G386" s="20"/>
      <c r="H386" s="20"/>
      <c r="I386" s="20"/>
      <c r="J386" s="20" t="s">
        <v>895</v>
      </c>
      <c r="K386" t="e">
        <f>VLOOKUP(B386,Site!$B$1:$B$5698,2,0)</f>
        <v>#REF!</v>
      </c>
    </row>
    <row r="387" spans="1:11" x14ac:dyDescent="0.25">
      <c r="A387" s="19">
        <v>385</v>
      </c>
      <c r="B387" s="18" t="s">
        <v>330</v>
      </c>
      <c r="C387" s="18" t="s">
        <v>884</v>
      </c>
      <c r="D387" s="20">
        <v>45</v>
      </c>
      <c r="E387" s="20" t="s">
        <v>896</v>
      </c>
      <c r="F387" s="20" t="s">
        <v>902</v>
      </c>
      <c r="G387" s="20"/>
      <c r="H387" s="20"/>
      <c r="I387" s="20" t="s">
        <v>900</v>
      </c>
      <c r="J387" s="20" t="s">
        <v>901</v>
      </c>
      <c r="K387" t="e">
        <f>VLOOKUP(B387,Site!$B$1:$B$5698,2,0)</f>
        <v>#REF!</v>
      </c>
    </row>
    <row r="388" spans="1:11" x14ac:dyDescent="0.25">
      <c r="A388" s="19">
        <v>386</v>
      </c>
      <c r="B388" s="18" t="s">
        <v>329</v>
      </c>
      <c r="C388" s="18" t="s">
        <v>884</v>
      </c>
      <c r="D388" s="20">
        <v>42</v>
      </c>
      <c r="E388" s="20" t="s">
        <v>843</v>
      </c>
      <c r="F388" s="20" t="s">
        <v>894</v>
      </c>
      <c r="G388" s="20"/>
      <c r="H388" s="20"/>
      <c r="I388" s="20"/>
      <c r="J388" s="20" t="s">
        <v>895</v>
      </c>
      <c r="K388" t="e">
        <f>VLOOKUP(B388,Site!$B$1:$B$5698,2,0)</f>
        <v>#REF!</v>
      </c>
    </row>
    <row r="389" spans="1:11" x14ac:dyDescent="0.25">
      <c r="A389" s="19">
        <v>387</v>
      </c>
      <c r="B389" s="18" t="s">
        <v>331</v>
      </c>
      <c r="C389" s="18" t="s">
        <v>884</v>
      </c>
      <c r="D389" s="20">
        <v>45</v>
      </c>
      <c r="E389" s="20" t="s">
        <v>896</v>
      </c>
      <c r="F389" s="20" t="s">
        <v>894</v>
      </c>
      <c r="G389" s="20"/>
      <c r="H389" s="20"/>
      <c r="I389" s="20"/>
      <c r="J389" s="20" t="s">
        <v>895</v>
      </c>
      <c r="K389" t="e">
        <f>VLOOKUP(B389,Site!$B$1:$B$5698,2,0)</f>
        <v>#REF!</v>
      </c>
    </row>
    <row r="390" spans="1:11" x14ac:dyDescent="0.25">
      <c r="A390" s="19">
        <v>388</v>
      </c>
      <c r="B390" s="18" t="s">
        <v>379</v>
      </c>
      <c r="C390" s="18" t="s">
        <v>884</v>
      </c>
      <c r="D390" s="20">
        <v>45</v>
      </c>
      <c r="E390" s="20" t="s">
        <v>896</v>
      </c>
      <c r="F390" s="20" t="s">
        <v>894</v>
      </c>
      <c r="G390" s="20"/>
      <c r="H390" s="20"/>
      <c r="I390" s="20"/>
      <c r="J390" s="20" t="s">
        <v>895</v>
      </c>
      <c r="K390" t="e">
        <f>VLOOKUP(B390,Site!$B$1:$B$5698,2,0)</f>
        <v>#REF!</v>
      </c>
    </row>
    <row r="391" spans="1:11" x14ac:dyDescent="0.25">
      <c r="A391" s="19">
        <v>389</v>
      </c>
      <c r="B391" s="18" t="s">
        <v>332</v>
      </c>
      <c r="C391" s="18" t="s">
        <v>884</v>
      </c>
      <c r="D391" s="20">
        <v>45</v>
      </c>
      <c r="E391" s="20" t="s">
        <v>896</v>
      </c>
      <c r="F391" s="20" t="s">
        <v>894</v>
      </c>
      <c r="G391" s="20"/>
      <c r="H391" s="20"/>
      <c r="I391" s="20"/>
      <c r="J391" s="20" t="s">
        <v>895</v>
      </c>
      <c r="K391" t="e">
        <f>VLOOKUP(B391,Site!$B$1:$B$5698,2,0)</f>
        <v>#REF!</v>
      </c>
    </row>
    <row r="392" spans="1:11" x14ac:dyDescent="0.25">
      <c r="A392" s="19">
        <v>390</v>
      </c>
      <c r="B392" s="18" t="s">
        <v>381</v>
      </c>
      <c r="C392" s="18" t="s">
        <v>884</v>
      </c>
      <c r="D392" s="20">
        <v>45</v>
      </c>
      <c r="E392" s="20" t="s">
        <v>896</v>
      </c>
      <c r="F392" s="20" t="s">
        <v>894</v>
      </c>
      <c r="G392" s="20"/>
      <c r="H392" s="20"/>
      <c r="I392" s="20"/>
      <c r="J392" s="20" t="s">
        <v>895</v>
      </c>
      <c r="K392" t="e">
        <f>VLOOKUP(B392,Site!$B$1:$B$5698,2,0)</f>
        <v>#REF!</v>
      </c>
    </row>
    <row r="393" spans="1:11" x14ac:dyDescent="0.25">
      <c r="A393" s="19">
        <v>391</v>
      </c>
      <c r="B393" s="18" t="s">
        <v>382</v>
      </c>
      <c r="C393" s="18" t="s">
        <v>884</v>
      </c>
      <c r="D393" s="20">
        <v>39</v>
      </c>
      <c r="E393" s="20" t="s">
        <v>765</v>
      </c>
      <c r="F393" s="20" t="s">
        <v>894</v>
      </c>
      <c r="G393" s="20"/>
      <c r="H393" s="20"/>
      <c r="I393" s="20"/>
      <c r="J393" s="20" t="s">
        <v>895</v>
      </c>
      <c r="K393" t="e">
        <f>VLOOKUP(B393,Site!$B$1:$B$5698,2,0)</f>
        <v>#REF!</v>
      </c>
    </row>
    <row r="394" spans="1:11" x14ac:dyDescent="0.25">
      <c r="A394" s="19">
        <v>392</v>
      </c>
      <c r="B394" s="18" t="s">
        <v>386</v>
      </c>
      <c r="C394" s="18" t="s">
        <v>884</v>
      </c>
      <c r="D394" s="20">
        <v>42</v>
      </c>
      <c r="E394" s="20" t="s">
        <v>843</v>
      </c>
      <c r="F394" s="20" t="s">
        <v>894</v>
      </c>
      <c r="G394" s="20"/>
      <c r="H394" s="20"/>
      <c r="I394" s="20"/>
      <c r="J394" s="20" t="s">
        <v>895</v>
      </c>
      <c r="K394" t="e">
        <f>VLOOKUP(B394,Site!$B$1:$B$5698,2,0)</f>
        <v>#REF!</v>
      </c>
    </row>
    <row r="395" spans="1:11" x14ac:dyDescent="0.25">
      <c r="A395" s="19">
        <v>393</v>
      </c>
      <c r="B395" s="18" t="s">
        <v>490</v>
      </c>
      <c r="C395" s="18" t="s">
        <v>884</v>
      </c>
      <c r="D395" s="20">
        <v>42</v>
      </c>
      <c r="E395" s="20" t="s">
        <v>843</v>
      </c>
      <c r="F395" s="20" t="s">
        <v>897</v>
      </c>
      <c r="G395" s="20"/>
      <c r="H395" s="20"/>
      <c r="I395" s="20"/>
      <c r="J395" s="20" t="s">
        <v>898</v>
      </c>
      <c r="K395" t="e">
        <f>VLOOKUP(B395,Site!$B$1:$B$5698,2,0)</f>
        <v>#REF!</v>
      </c>
    </row>
    <row r="396" spans="1:11" x14ac:dyDescent="0.25">
      <c r="A396" s="19">
        <v>394</v>
      </c>
      <c r="B396" s="18" t="s">
        <v>501</v>
      </c>
      <c r="C396" s="18" t="s">
        <v>884</v>
      </c>
      <c r="D396" s="20">
        <v>42</v>
      </c>
      <c r="E396" s="20" t="s">
        <v>843</v>
      </c>
      <c r="F396" s="20" t="s">
        <v>897</v>
      </c>
      <c r="G396" s="20"/>
      <c r="H396" s="20"/>
      <c r="I396" s="20"/>
      <c r="J396" s="20" t="s">
        <v>898</v>
      </c>
      <c r="K396" t="e">
        <f>VLOOKUP(B396,Site!$B$1:$B$5698,2,0)</f>
        <v>#REF!</v>
      </c>
    </row>
    <row r="397" spans="1:11" x14ac:dyDescent="0.25">
      <c r="A397" s="19">
        <v>395</v>
      </c>
      <c r="B397" s="18" t="s">
        <v>502</v>
      </c>
      <c r="C397" s="18" t="s">
        <v>884</v>
      </c>
      <c r="D397" s="20">
        <v>42</v>
      </c>
      <c r="E397" s="20" t="s">
        <v>843</v>
      </c>
      <c r="F397" s="20" t="s">
        <v>897</v>
      </c>
      <c r="G397" s="20"/>
      <c r="H397" s="20"/>
      <c r="I397" s="20"/>
      <c r="J397" s="20" t="s">
        <v>898</v>
      </c>
      <c r="K397" t="e">
        <f>VLOOKUP(B397,Site!$B$1:$B$5698,2,0)</f>
        <v>#REF!</v>
      </c>
    </row>
    <row r="398" spans="1:11" x14ac:dyDescent="0.25">
      <c r="A398" s="19">
        <v>396</v>
      </c>
      <c r="B398" s="18" t="s">
        <v>503</v>
      </c>
      <c r="C398" s="18" t="s">
        <v>884</v>
      </c>
      <c r="D398" s="20">
        <v>42</v>
      </c>
      <c r="E398" s="20" t="s">
        <v>843</v>
      </c>
      <c r="F398" s="20" t="s">
        <v>897</v>
      </c>
      <c r="G398" s="20"/>
      <c r="H398" s="20"/>
      <c r="I398" s="20"/>
      <c r="J398" s="20" t="s">
        <v>898</v>
      </c>
      <c r="K398" t="e">
        <f>VLOOKUP(B398,Site!$B$1:$B$5698,2,0)</f>
        <v>#REF!</v>
      </c>
    </row>
    <row r="399" spans="1:11" x14ac:dyDescent="0.25">
      <c r="A399" s="19">
        <v>397</v>
      </c>
      <c r="B399" s="18" t="s">
        <v>521</v>
      </c>
      <c r="C399" s="18" t="s">
        <v>884</v>
      </c>
      <c r="D399" s="20">
        <v>42</v>
      </c>
      <c r="E399" s="20" t="s">
        <v>843</v>
      </c>
      <c r="F399" s="20" t="s">
        <v>897</v>
      </c>
      <c r="G399" s="20"/>
      <c r="H399" s="20"/>
      <c r="I399" s="20"/>
      <c r="J399" s="20" t="s">
        <v>898</v>
      </c>
      <c r="K399" t="e">
        <f>VLOOKUP(B399,Site!$B$1:$B$5698,2,0)</f>
        <v>#REF!</v>
      </c>
    </row>
    <row r="400" spans="1:11" x14ac:dyDescent="0.25">
      <c r="A400" s="19">
        <v>398</v>
      </c>
      <c r="B400" s="18" t="s">
        <v>530</v>
      </c>
      <c r="C400" s="18" t="s">
        <v>884</v>
      </c>
      <c r="D400" s="20">
        <v>42</v>
      </c>
      <c r="E400" s="20" t="s">
        <v>843</v>
      </c>
      <c r="F400" s="20" t="s">
        <v>897</v>
      </c>
      <c r="G400" s="20"/>
      <c r="H400" s="20"/>
      <c r="I400" s="20"/>
      <c r="J400" s="20" t="s">
        <v>898</v>
      </c>
      <c r="K400" t="e">
        <f>VLOOKUP(B400,Site!$B$1:$B$5698,2,0)</f>
        <v>#REF!</v>
      </c>
    </row>
    <row r="401" spans="1:11" x14ac:dyDescent="0.25">
      <c r="A401" s="19">
        <v>399</v>
      </c>
      <c r="B401" s="18" t="s">
        <v>263</v>
      </c>
      <c r="C401" s="18" t="s">
        <v>882</v>
      </c>
      <c r="D401" s="20">
        <v>30</v>
      </c>
      <c r="E401" s="20" t="s">
        <v>760</v>
      </c>
      <c r="F401" s="20" t="s">
        <v>894</v>
      </c>
      <c r="G401" s="20"/>
      <c r="H401" s="20"/>
      <c r="I401" s="20"/>
      <c r="J401" s="20" t="s">
        <v>895</v>
      </c>
      <c r="K401" t="e">
        <f>VLOOKUP(B401,Site!$B$1:$B$5698,2,0)</f>
        <v>#REF!</v>
      </c>
    </row>
    <row r="402" spans="1:11" x14ac:dyDescent="0.25">
      <c r="A402" s="19">
        <v>400</v>
      </c>
      <c r="B402" s="18" t="s">
        <v>264</v>
      </c>
      <c r="C402" s="18" t="s">
        <v>884</v>
      </c>
      <c r="D402" s="20">
        <v>45</v>
      </c>
      <c r="E402" s="20" t="s">
        <v>765</v>
      </c>
      <c r="F402" s="20" t="s">
        <v>894</v>
      </c>
      <c r="G402" s="20"/>
      <c r="H402" s="20"/>
      <c r="I402" s="20"/>
      <c r="J402" s="20" t="s">
        <v>895</v>
      </c>
      <c r="K402" t="e">
        <f>VLOOKUP(B402,Site!$B$1:$B$5698,2,0)</f>
        <v>#REF!</v>
      </c>
    </row>
    <row r="403" spans="1:11" x14ac:dyDescent="0.25">
      <c r="A403" s="19">
        <v>401</v>
      </c>
      <c r="B403" s="18" t="s">
        <v>265</v>
      </c>
      <c r="C403" s="18" t="s">
        <v>884</v>
      </c>
      <c r="D403" s="20">
        <v>45</v>
      </c>
      <c r="E403" s="20" t="s">
        <v>765</v>
      </c>
      <c r="F403" s="20" t="s">
        <v>894</v>
      </c>
      <c r="G403" s="20"/>
      <c r="H403" s="20"/>
      <c r="I403" s="20"/>
      <c r="J403" s="20" t="s">
        <v>895</v>
      </c>
      <c r="K403" t="e">
        <f>VLOOKUP(B403,Site!$B$1:$B$5698,2,0)</f>
        <v>#REF!</v>
      </c>
    </row>
    <row r="404" spans="1:11" x14ac:dyDescent="0.25">
      <c r="A404" s="19">
        <v>402</v>
      </c>
      <c r="B404" s="18" t="s">
        <v>266</v>
      </c>
      <c r="C404" s="18" t="s">
        <v>884</v>
      </c>
      <c r="D404" s="20">
        <v>42</v>
      </c>
      <c r="E404" s="20" t="s">
        <v>843</v>
      </c>
      <c r="F404" s="20" t="s">
        <v>894</v>
      </c>
      <c r="G404" s="20"/>
      <c r="H404" s="20"/>
      <c r="I404" s="20"/>
      <c r="J404" s="20" t="s">
        <v>895</v>
      </c>
      <c r="K404" t="e">
        <f>VLOOKUP(B404,Site!$B$1:$B$5698,2,0)</f>
        <v>#REF!</v>
      </c>
    </row>
    <row r="405" spans="1:11" x14ac:dyDescent="0.25">
      <c r="A405" s="19">
        <v>403</v>
      </c>
      <c r="B405" s="18" t="s">
        <v>267</v>
      </c>
      <c r="C405" s="18" t="s">
        <v>884</v>
      </c>
      <c r="D405" s="20">
        <v>30</v>
      </c>
      <c r="E405" s="20" t="s">
        <v>765</v>
      </c>
      <c r="F405" s="20" t="s">
        <v>894</v>
      </c>
      <c r="G405" s="20"/>
      <c r="H405" s="20"/>
      <c r="I405" s="20"/>
      <c r="J405" s="20" t="s">
        <v>895</v>
      </c>
      <c r="K405" t="e">
        <f>VLOOKUP(B405,Site!$B$1:$B$5698,2,0)</f>
        <v>#REF!</v>
      </c>
    </row>
    <row r="406" spans="1:11" x14ac:dyDescent="0.25">
      <c r="A406" s="19">
        <v>404</v>
      </c>
      <c r="B406" s="18" t="s">
        <v>268</v>
      </c>
      <c r="C406" s="18" t="s">
        <v>884</v>
      </c>
      <c r="D406" s="20">
        <v>39</v>
      </c>
      <c r="E406" s="20" t="s">
        <v>843</v>
      </c>
      <c r="F406" s="20" t="s">
        <v>894</v>
      </c>
      <c r="G406" s="20"/>
      <c r="H406" s="20"/>
      <c r="I406" s="20"/>
      <c r="J406" s="20" t="s">
        <v>895</v>
      </c>
      <c r="K406" t="e">
        <f>VLOOKUP(B406,Site!$B$1:$B$5698,2,0)</f>
        <v>#REF!</v>
      </c>
    </row>
    <row r="407" spans="1:11" x14ac:dyDescent="0.25">
      <c r="A407" s="19">
        <v>405</v>
      </c>
      <c r="B407" s="18" t="s">
        <v>269</v>
      </c>
      <c r="C407" s="18" t="s">
        <v>884</v>
      </c>
      <c r="D407" s="20">
        <v>45</v>
      </c>
      <c r="E407" s="20" t="s">
        <v>765</v>
      </c>
      <c r="F407" s="20" t="s">
        <v>894</v>
      </c>
      <c r="G407" s="20"/>
      <c r="H407" s="20"/>
      <c r="I407" s="20"/>
      <c r="J407" s="20" t="s">
        <v>895</v>
      </c>
      <c r="K407" t="e">
        <f>VLOOKUP(B407,Site!$B$1:$B$5698,2,0)</f>
        <v>#REF!</v>
      </c>
    </row>
    <row r="408" spans="1:11" x14ac:dyDescent="0.25">
      <c r="A408" s="19">
        <v>406</v>
      </c>
      <c r="B408" s="18" t="s">
        <v>270</v>
      </c>
      <c r="C408" s="18" t="s">
        <v>884</v>
      </c>
      <c r="D408" s="20">
        <v>45</v>
      </c>
      <c r="E408" s="20" t="s">
        <v>765</v>
      </c>
      <c r="F408" s="20" t="s">
        <v>894</v>
      </c>
      <c r="G408" s="20"/>
      <c r="H408" s="20"/>
      <c r="I408" s="20"/>
      <c r="J408" s="20" t="s">
        <v>895</v>
      </c>
      <c r="K408" t="e">
        <f>VLOOKUP(B408,Site!$B$1:$B$5698,2,0)</f>
        <v>#REF!</v>
      </c>
    </row>
    <row r="409" spans="1:11" x14ac:dyDescent="0.25">
      <c r="A409" s="19">
        <v>407</v>
      </c>
      <c r="B409" s="18" t="s">
        <v>271</v>
      </c>
      <c r="C409" s="18" t="s">
        <v>884</v>
      </c>
      <c r="D409" s="20">
        <v>45</v>
      </c>
      <c r="E409" s="20" t="s">
        <v>843</v>
      </c>
      <c r="F409" s="20" t="s">
        <v>894</v>
      </c>
      <c r="G409" s="20"/>
      <c r="H409" s="20"/>
      <c r="I409" s="20"/>
      <c r="J409" s="20" t="s">
        <v>895</v>
      </c>
      <c r="K409" t="e">
        <f>VLOOKUP(B409,Site!$B$1:$B$5698,2,0)</f>
        <v>#REF!</v>
      </c>
    </row>
    <row r="410" spans="1:11" x14ac:dyDescent="0.25">
      <c r="A410" s="19">
        <v>408</v>
      </c>
      <c r="B410" s="18" t="s">
        <v>272</v>
      </c>
      <c r="C410" s="18" t="s">
        <v>884</v>
      </c>
      <c r="D410" s="20">
        <v>42</v>
      </c>
      <c r="E410" s="20" t="s">
        <v>765</v>
      </c>
      <c r="F410" s="20" t="s">
        <v>894</v>
      </c>
      <c r="G410" s="20"/>
      <c r="H410" s="20"/>
      <c r="I410" s="20"/>
      <c r="J410" s="20" t="s">
        <v>895</v>
      </c>
      <c r="K410" t="e">
        <f>VLOOKUP(B410,Site!$B$1:$B$5698,2,0)</f>
        <v>#REF!</v>
      </c>
    </row>
    <row r="411" spans="1:11" x14ac:dyDescent="0.25">
      <c r="A411" s="19">
        <v>409</v>
      </c>
      <c r="B411" s="18" t="s">
        <v>273</v>
      </c>
      <c r="C411" s="18" t="s">
        <v>882</v>
      </c>
      <c r="D411" s="20">
        <v>55</v>
      </c>
      <c r="E411" s="20" t="s">
        <v>760</v>
      </c>
      <c r="F411" s="20" t="s">
        <v>894</v>
      </c>
      <c r="G411" s="20"/>
      <c r="H411" s="20"/>
      <c r="I411" s="20"/>
      <c r="J411" s="20" t="s">
        <v>895</v>
      </c>
      <c r="K411" t="e">
        <f>VLOOKUP(B411,Site!$B$1:$B$5698,2,0)</f>
        <v>#REF!</v>
      </c>
    </row>
    <row r="412" spans="1:11" x14ac:dyDescent="0.25">
      <c r="A412" s="19">
        <v>410</v>
      </c>
      <c r="B412" s="18" t="s">
        <v>274</v>
      </c>
      <c r="C412" s="18" t="s">
        <v>884</v>
      </c>
      <c r="D412" s="20">
        <v>45</v>
      </c>
      <c r="E412" s="20" t="s">
        <v>765</v>
      </c>
      <c r="F412" s="20" t="s">
        <v>894</v>
      </c>
      <c r="G412" s="20"/>
      <c r="H412" s="20"/>
      <c r="I412" s="20"/>
      <c r="J412" s="20" t="s">
        <v>895</v>
      </c>
      <c r="K412" t="e">
        <f>VLOOKUP(B412,Site!$B$1:$B$5698,2,0)</f>
        <v>#REF!</v>
      </c>
    </row>
    <row r="413" spans="1:11" x14ac:dyDescent="0.25">
      <c r="A413" s="19">
        <v>411</v>
      </c>
      <c r="B413" s="18" t="s">
        <v>275</v>
      </c>
      <c r="C413" s="18" t="s">
        <v>884</v>
      </c>
      <c r="D413" s="20">
        <v>45</v>
      </c>
      <c r="E413" s="20" t="s">
        <v>765</v>
      </c>
      <c r="F413" s="20" t="s">
        <v>894</v>
      </c>
      <c r="G413" s="20"/>
      <c r="H413" s="20"/>
      <c r="I413" s="20"/>
      <c r="J413" s="20" t="s">
        <v>895</v>
      </c>
      <c r="K413" t="e">
        <f>VLOOKUP(B413,Site!$B$1:$B$5698,2,0)</f>
        <v>#REF!</v>
      </c>
    </row>
    <row r="414" spans="1:11" x14ac:dyDescent="0.25">
      <c r="A414" s="19">
        <v>412</v>
      </c>
      <c r="B414" s="18" t="s">
        <v>276</v>
      </c>
      <c r="C414" s="18" t="s">
        <v>884</v>
      </c>
      <c r="D414" s="20">
        <v>45</v>
      </c>
      <c r="E414" s="20" t="s">
        <v>765</v>
      </c>
      <c r="F414" s="20" t="s">
        <v>894</v>
      </c>
      <c r="G414" s="20"/>
      <c r="H414" s="20"/>
      <c r="I414" s="20"/>
      <c r="J414" s="20" t="s">
        <v>895</v>
      </c>
      <c r="K414" t="e">
        <f>VLOOKUP(B414,Site!$B$1:$B$5698,2,0)</f>
        <v>#REF!</v>
      </c>
    </row>
    <row r="415" spans="1:11" x14ac:dyDescent="0.25">
      <c r="A415" s="19">
        <v>413</v>
      </c>
      <c r="B415" s="18" t="s">
        <v>277</v>
      </c>
      <c r="C415" s="18" t="s">
        <v>884</v>
      </c>
      <c r="D415" s="20">
        <v>45</v>
      </c>
      <c r="E415" s="20" t="s">
        <v>765</v>
      </c>
      <c r="F415" s="20" t="s">
        <v>894</v>
      </c>
      <c r="G415" s="20"/>
      <c r="H415" s="20"/>
      <c r="I415" s="20"/>
      <c r="J415" s="20" t="s">
        <v>895</v>
      </c>
      <c r="K415" t="e">
        <f>VLOOKUP(B415,Site!$B$1:$B$5698,2,0)</f>
        <v>#REF!</v>
      </c>
    </row>
    <row r="416" spans="1:11" x14ac:dyDescent="0.25">
      <c r="A416" s="19">
        <v>414</v>
      </c>
      <c r="B416" s="18" t="s">
        <v>278</v>
      </c>
      <c r="C416" s="18" t="s">
        <v>884</v>
      </c>
      <c r="D416" s="20">
        <v>42</v>
      </c>
      <c r="E416" s="20" t="s">
        <v>765</v>
      </c>
      <c r="F416" s="20" t="s">
        <v>894</v>
      </c>
      <c r="G416" s="20"/>
      <c r="H416" s="20"/>
      <c r="I416" s="20"/>
      <c r="J416" s="20" t="s">
        <v>895</v>
      </c>
      <c r="K416" t="e">
        <f>VLOOKUP(B416,Site!$B$1:$B$5698,2,0)</f>
        <v>#REF!</v>
      </c>
    </row>
    <row r="417" spans="1:11" x14ac:dyDescent="0.25">
      <c r="A417" s="19">
        <v>415</v>
      </c>
      <c r="B417" s="18" t="s">
        <v>279</v>
      </c>
      <c r="C417" s="18" t="s">
        <v>884</v>
      </c>
      <c r="D417" s="20">
        <v>29</v>
      </c>
      <c r="E417" s="20" t="s">
        <v>765</v>
      </c>
      <c r="F417" s="20" t="s">
        <v>894</v>
      </c>
      <c r="G417" s="20"/>
      <c r="H417" s="20"/>
      <c r="I417" s="20"/>
      <c r="J417" s="20" t="s">
        <v>895</v>
      </c>
      <c r="K417" t="e">
        <f>VLOOKUP(B417,Site!$B$1:$B$5698,2,0)</f>
        <v>#REF!</v>
      </c>
    </row>
    <row r="418" spans="1:11" x14ac:dyDescent="0.25">
      <c r="A418" s="19">
        <v>416</v>
      </c>
      <c r="B418" s="18" t="s">
        <v>280</v>
      </c>
      <c r="C418" s="18" t="s">
        <v>884</v>
      </c>
      <c r="D418" s="20">
        <v>39</v>
      </c>
      <c r="E418" s="20" t="s">
        <v>765</v>
      </c>
      <c r="F418" s="20" t="s">
        <v>894</v>
      </c>
      <c r="G418" s="20"/>
      <c r="H418" s="20"/>
      <c r="I418" s="20"/>
      <c r="J418" s="20" t="s">
        <v>895</v>
      </c>
      <c r="K418" t="e">
        <f>VLOOKUP(B418,Site!$B$1:$B$5698,2,0)</f>
        <v>#REF!</v>
      </c>
    </row>
    <row r="419" spans="1:11" x14ac:dyDescent="0.25">
      <c r="A419" s="19">
        <v>417</v>
      </c>
      <c r="B419" s="18" t="s">
        <v>281</v>
      </c>
      <c r="C419" s="18" t="s">
        <v>884</v>
      </c>
      <c r="D419" s="20">
        <v>30</v>
      </c>
      <c r="E419" s="20" t="s">
        <v>765</v>
      </c>
      <c r="F419" s="20" t="s">
        <v>894</v>
      </c>
      <c r="G419" s="20"/>
      <c r="H419" s="20"/>
      <c r="I419" s="20"/>
      <c r="J419" s="20" t="s">
        <v>895</v>
      </c>
      <c r="K419" t="e">
        <f>VLOOKUP(B419,Site!$B$1:$B$5698,2,0)</f>
        <v>#REF!</v>
      </c>
    </row>
    <row r="420" spans="1:11" x14ac:dyDescent="0.25">
      <c r="A420" s="19">
        <v>418</v>
      </c>
      <c r="B420" s="18" t="s">
        <v>282</v>
      </c>
      <c r="C420" s="18" t="s">
        <v>884</v>
      </c>
      <c r="D420" s="20">
        <v>39</v>
      </c>
      <c r="E420" s="20" t="s">
        <v>765</v>
      </c>
      <c r="F420" s="20" t="s">
        <v>894</v>
      </c>
      <c r="G420" s="20"/>
      <c r="H420" s="20"/>
      <c r="I420" s="20"/>
      <c r="J420" s="20" t="s">
        <v>895</v>
      </c>
      <c r="K420" t="e">
        <f>VLOOKUP(B420,Site!$B$1:$B$5698,2,0)</f>
        <v>#REF!</v>
      </c>
    </row>
    <row r="421" spans="1:11" x14ac:dyDescent="0.25">
      <c r="A421" s="19">
        <v>419</v>
      </c>
      <c r="B421" s="18" t="s">
        <v>284</v>
      </c>
      <c r="C421" s="18" t="s">
        <v>884</v>
      </c>
      <c r="D421" s="20">
        <v>39</v>
      </c>
      <c r="E421" s="20" t="s">
        <v>765</v>
      </c>
      <c r="F421" s="20" t="s">
        <v>894</v>
      </c>
      <c r="G421" s="20"/>
      <c r="H421" s="20"/>
      <c r="I421" s="20"/>
      <c r="J421" s="20" t="s">
        <v>895</v>
      </c>
      <c r="K421" t="e">
        <f>VLOOKUP(B421,Site!$B$1:$B$5698,2,0)</f>
        <v>#REF!</v>
      </c>
    </row>
    <row r="422" spans="1:11" x14ac:dyDescent="0.25">
      <c r="A422" s="19">
        <v>420</v>
      </c>
      <c r="B422" s="18" t="s">
        <v>285</v>
      </c>
      <c r="C422" s="18" t="s">
        <v>884</v>
      </c>
      <c r="D422" s="20">
        <v>39</v>
      </c>
      <c r="E422" s="20" t="s">
        <v>765</v>
      </c>
      <c r="F422" s="20" t="s">
        <v>894</v>
      </c>
      <c r="G422" s="20"/>
      <c r="H422" s="20"/>
      <c r="I422" s="20"/>
      <c r="J422" s="20" t="s">
        <v>895</v>
      </c>
      <c r="K422" t="e">
        <f>VLOOKUP(B422,Site!$B$1:$B$5698,2,0)</f>
        <v>#REF!</v>
      </c>
    </row>
    <row r="423" spans="1:11" x14ac:dyDescent="0.25">
      <c r="A423" s="19">
        <v>421</v>
      </c>
      <c r="B423" s="18" t="s">
        <v>286</v>
      </c>
      <c r="C423" s="18" t="s">
        <v>884</v>
      </c>
      <c r="D423" s="20">
        <v>40</v>
      </c>
      <c r="E423" s="20" t="s">
        <v>765</v>
      </c>
      <c r="F423" s="20" t="s">
        <v>894</v>
      </c>
      <c r="G423" s="20"/>
      <c r="H423" s="20"/>
      <c r="I423" s="20"/>
      <c r="J423" s="20" t="s">
        <v>895</v>
      </c>
      <c r="K423" t="e">
        <f>VLOOKUP(B423,Site!$B$1:$B$5698,2,0)</f>
        <v>#REF!</v>
      </c>
    </row>
    <row r="424" spans="1:11" x14ac:dyDescent="0.25">
      <c r="A424" s="19">
        <v>422</v>
      </c>
      <c r="B424" s="18" t="s">
        <v>287</v>
      </c>
      <c r="C424" s="18" t="s">
        <v>884</v>
      </c>
      <c r="D424" s="20">
        <v>42</v>
      </c>
      <c r="E424" s="20" t="s">
        <v>765</v>
      </c>
      <c r="F424" s="20" t="s">
        <v>894</v>
      </c>
      <c r="G424" s="20"/>
      <c r="H424" s="20"/>
      <c r="I424" s="20"/>
      <c r="J424" s="20" t="s">
        <v>895</v>
      </c>
      <c r="K424" t="e">
        <f>VLOOKUP(B424,Site!$B$1:$B$5698,2,0)</f>
        <v>#REF!</v>
      </c>
    </row>
    <row r="425" spans="1:11" x14ac:dyDescent="0.25">
      <c r="A425" s="19">
        <v>423</v>
      </c>
      <c r="B425" s="18" t="s">
        <v>288</v>
      </c>
      <c r="C425" s="18" t="s">
        <v>884</v>
      </c>
      <c r="D425" s="20">
        <v>42</v>
      </c>
      <c r="E425" s="20" t="s">
        <v>765</v>
      </c>
      <c r="F425" s="20" t="s">
        <v>894</v>
      </c>
      <c r="G425" s="20"/>
      <c r="H425" s="20"/>
      <c r="I425" s="20"/>
      <c r="J425" s="20" t="s">
        <v>895</v>
      </c>
      <c r="K425" t="e">
        <f>VLOOKUP(B425,Site!$B$1:$B$5698,2,0)</f>
        <v>#REF!</v>
      </c>
    </row>
    <row r="426" spans="1:11" x14ac:dyDescent="0.25">
      <c r="A426" s="19">
        <v>424</v>
      </c>
      <c r="B426" s="18" t="s">
        <v>289</v>
      </c>
      <c r="C426" s="18" t="s">
        <v>884</v>
      </c>
      <c r="D426" s="20">
        <v>42</v>
      </c>
      <c r="E426" s="20" t="s">
        <v>765</v>
      </c>
      <c r="F426" s="20" t="s">
        <v>894</v>
      </c>
      <c r="G426" s="20"/>
      <c r="H426" s="20"/>
      <c r="I426" s="20"/>
      <c r="J426" s="20" t="s">
        <v>895</v>
      </c>
      <c r="K426" t="e">
        <f>VLOOKUP(B426,Site!$B$1:$B$5698,2,0)</f>
        <v>#REF!</v>
      </c>
    </row>
    <row r="427" spans="1:11" x14ac:dyDescent="0.25">
      <c r="A427" s="19">
        <v>425</v>
      </c>
      <c r="B427" s="18" t="s">
        <v>324</v>
      </c>
      <c r="C427" s="18" t="s">
        <v>884</v>
      </c>
      <c r="D427" s="20">
        <v>45</v>
      </c>
      <c r="E427" s="20" t="s">
        <v>896</v>
      </c>
      <c r="F427" s="20" t="s">
        <v>894</v>
      </c>
      <c r="G427" s="20"/>
      <c r="H427" s="20"/>
      <c r="I427" s="20"/>
      <c r="J427" s="20" t="s">
        <v>895</v>
      </c>
      <c r="K427" t="e">
        <f>VLOOKUP(B427,Site!$B$1:$B$5698,2,0)</f>
        <v>#REF!</v>
      </c>
    </row>
    <row r="428" spans="1:11" x14ac:dyDescent="0.25">
      <c r="A428" s="19">
        <v>426</v>
      </c>
      <c r="B428" s="18" t="s">
        <v>338</v>
      </c>
      <c r="C428" s="18" t="s">
        <v>884</v>
      </c>
      <c r="D428" s="20">
        <v>45</v>
      </c>
      <c r="E428" s="20" t="s">
        <v>896</v>
      </c>
      <c r="F428" s="20" t="s">
        <v>894</v>
      </c>
      <c r="G428" s="20"/>
      <c r="H428" s="20"/>
      <c r="I428" s="20"/>
      <c r="J428" s="20" t="s">
        <v>895</v>
      </c>
      <c r="K428" t="e">
        <f>VLOOKUP(B428,Site!$B$1:$B$5698,2,0)</f>
        <v>#REF!</v>
      </c>
    </row>
    <row r="429" spans="1:11" x14ac:dyDescent="0.25">
      <c r="A429" s="19">
        <v>427</v>
      </c>
      <c r="B429" s="18" t="s">
        <v>327</v>
      </c>
      <c r="C429" s="18" t="s">
        <v>884</v>
      </c>
      <c r="D429" s="20">
        <v>42</v>
      </c>
      <c r="E429" s="20" t="s">
        <v>896</v>
      </c>
      <c r="F429" s="20" t="s">
        <v>894</v>
      </c>
      <c r="G429" s="20"/>
      <c r="H429" s="20"/>
      <c r="I429" s="20"/>
      <c r="J429" s="20" t="s">
        <v>895</v>
      </c>
      <c r="K429" t="e">
        <f>VLOOKUP(B429,Site!$B$1:$B$5698,2,0)</f>
        <v>#REF!</v>
      </c>
    </row>
    <row r="430" spans="1:11" x14ac:dyDescent="0.25">
      <c r="A430" s="19">
        <v>428</v>
      </c>
      <c r="B430" s="18" t="s">
        <v>389</v>
      </c>
      <c r="C430" s="18" t="s">
        <v>884</v>
      </c>
      <c r="D430" s="20">
        <v>36</v>
      </c>
      <c r="E430" s="20" t="s">
        <v>896</v>
      </c>
      <c r="F430" s="20" t="s">
        <v>894</v>
      </c>
      <c r="G430" s="20"/>
      <c r="H430" s="20"/>
      <c r="I430" s="20"/>
      <c r="J430" s="20" t="s">
        <v>895</v>
      </c>
      <c r="K430" t="e">
        <f>VLOOKUP(B430,Site!$B$1:$B$5698,2,0)</f>
        <v>#REF!</v>
      </c>
    </row>
    <row r="431" spans="1:11" x14ac:dyDescent="0.25">
      <c r="A431" s="19">
        <v>429</v>
      </c>
      <c r="B431" s="18" t="s">
        <v>326</v>
      </c>
      <c r="C431" s="18" t="s">
        <v>884</v>
      </c>
      <c r="D431" s="20">
        <v>45</v>
      </c>
      <c r="E431" s="20" t="s">
        <v>896</v>
      </c>
      <c r="F431" s="20" t="s">
        <v>894</v>
      </c>
      <c r="G431" s="20"/>
      <c r="H431" s="20"/>
      <c r="I431" s="20"/>
      <c r="J431" s="20" t="s">
        <v>895</v>
      </c>
      <c r="K431" t="e">
        <f>VLOOKUP(B431,Site!$B$1:$B$5698,2,0)</f>
        <v>#REF!</v>
      </c>
    </row>
    <row r="432" spans="1:11" x14ac:dyDescent="0.25">
      <c r="A432" s="19">
        <v>430</v>
      </c>
      <c r="B432" s="18" t="s">
        <v>395</v>
      </c>
      <c r="C432" s="18" t="s">
        <v>884</v>
      </c>
      <c r="D432" s="20">
        <v>39</v>
      </c>
      <c r="E432" s="20" t="s">
        <v>843</v>
      </c>
      <c r="F432" s="20" t="s">
        <v>894</v>
      </c>
      <c r="G432" s="20"/>
      <c r="H432" s="20"/>
      <c r="I432" s="20"/>
      <c r="J432" s="20" t="s">
        <v>895</v>
      </c>
      <c r="K432" t="e">
        <f>VLOOKUP(B432,Site!$B$1:$B$5698,2,0)</f>
        <v>#REF!</v>
      </c>
    </row>
    <row r="433" spans="1:11" x14ac:dyDescent="0.25">
      <c r="A433" s="19">
        <v>431</v>
      </c>
      <c r="B433" s="18" t="s">
        <v>413</v>
      </c>
      <c r="C433" s="18" t="s">
        <v>884</v>
      </c>
      <c r="D433" s="20">
        <v>42</v>
      </c>
      <c r="E433" s="20" t="s">
        <v>843</v>
      </c>
      <c r="F433" s="20" t="s">
        <v>894</v>
      </c>
      <c r="G433" s="20"/>
      <c r="H433" s="20"/>
      <c r="I433" s="20"/>
      <c r="J433" s="20" t="s">
        <v>895</v>
      </c>
      <c r="K433" t="e">
        <f>VLOOKUP(B433,Site!$B$1:$B$5698,2,0)</f>
        <v>#REF!</v>
      </c>
    </row>
    <row r="434" spans="1:11" x14ac:dyDescent="0.25">
      <c r="A434" s="19">
        <v>432</v>
      </c>
      <c r="B434" s="18" t="s">
        <v>414</v>
      </c>
      <c r="C434" s="18" t="s">
        <v>884</v>
      </c>
      <c r="D434" s="20">
        <v>42</v>
      </c>
      <c r="E434" s="20" t="s">
        <v>896</v>
      </c>
      <c r="F434" s="20" t="s">
        <v>894</v>
      </c>
      <c r="G434" s="20"/>
      <c r="H434" s="20"/>
      <c r="I434" s="20"/>
      <c r="J434" s="20" t="s">
        <v>895</v>
      </c>
      <c r="K434" t="e">
        <f>VLOOKUP(B434,Site!$B$1:$B$5698,2,0)</f>
        <v>#REF!</v>
      </c>
    </row>
    <row r="435" spans="1:11" x14ac:dyDescent="0.25">
      <c r="A435" s="19">
        <v>433</v>
      </c>
      <c r="B435" s="18" t="s">
        <v>409</v>
      </c>
      <c r="C435" s="18" t="s">
        <v>884</v>
      </c>
      <c r="D435" s="20">
        <v>45</v>
      </c>
      <c r="E435" s="20" t="s">
        <v>896</v>
      </c>
      <c r="F435" s="20" t="s">
        <v>894</v>
      </c>
      <c r="G435" s="20"/>
      <c r="H435" s="20"/>
      <c r="I435" s="20"/>
      <c r="J435" s="20" t="s">
        <v>895</v>
      </c>
      <c r="K435" t="e">
        <f>VLOOKUP(B435,Site!$B$1:$B$5698,2,0)</f>
        <v>#REF!</v>
      </c>
    </row>
    <row r="436" spans="1:11" x14ac:dyDescent="0.25">
      <c r="A436" s="19">
        <v>434</v>
      </c>
      <c r="B436" s="18" t="s">
        <v>481</v>
      </c>
      <c r="C436" s="18" t="s">
        <v>884</v>
      </c>
      <c r="D436" s="20">
        <v>42</v>
      </c>
      <c r="E436" s="20" t="s">
        <v>843</v>
      </c>
      <c r="F436" s="20" t="s">
        <v>897</v>
      </c>
      <c r="G436" s="20"/>
      <c r="H436" s="20"/>
      <c r="I436" s="20"/>
      <c r="J436" s="20" t="s">
        <v>898</v>
      </c>
      <c r="K436" t="e">
        <f>VLOOKUP(B436,Site!$B$1:$B$5698,2,0)</f>
        <v>#REF!</v>
      </c>
    </row>
    <row r="437" spans="1:11" x14ac:dyDescent="0.25">
      <c r="A437" s="19">
        <v>435</v>
      </c>
      <c r="B437" s="18" t="s">
        <v>491</v>
      </c>
      <c r="C437" s="18" t="s">
        <v>884</v>
      </c>
      <c r="D437" s="20">
        <v>42</v>
      </c>
      <c r="E437" s="20" t="s">
        <v>843</v>
      </c>
      <c r="F437" s="20" t="s">
        <v>897</v>
      </c>
      <c r="G437" s="20"/>
      <c r="H437" s="20"/>
      <c r="I437" s="20"/>
      <c r="J437" s="20" t="s">
        <v>898</v>
      </c>
      <c r="K437" t="e">
        <f>VLOOKUP(B437,Site!$B$1:$B$5698,2,0)</f>
        <v>#REF!</v>
      </c>
    </row>
    <row r="438" spans="1:11" x14ac:dyDescent="0.25">
      <c r="A438" s="19">
        <v>436</v>
      </c>
      <c r="B438" s="18" t="s">
        <v>492</v>
      </c>
      <c r="C438" s="18" t="s">
        <v>884</v>
      </c>
      <c r="D438" s="20">
        <v>42</v>
      </c>
      <c r="E438" s="20" t="s">
        <v>843</v>
      </c>
      <c r="F438" s="20" t="s">
        <v>897</v>
      </c>
      <c r="G438" s="20"/>
      <c r="H438" s="20"/>
      <c r="I438" s="20"/>
      <c r="J438" s="20" t="s">
        <v>898</v>
      </c>
      <c r="K438" t="e">
        <f>VLOOKUP(B438,Site!$B$1:$B$5698,2,0)</f>
        <v>#REF!</v>
      </c>
    </row>
    <row r="439" spans="1:11" x14ac:dyDescent="0.25">
      <c r="A439" s="19">
        <v>437</v>
      </c>
      <c r="B439" s="18" t="s">
        <v>545</v>
      </c>
      <c r="C439" s="18" t="s">
        <v>884</v>
      </c>
      <c r="D439" s="20">
        <v>42</v>
      </c>
      <c r="E439" s="20" t="s">
        <v>877</v>
      </c>
      <c r="F439" s="20" t="s">
        <v>897</v>
      </c>
      <c r="G439" s="20"/>
      <c r="H439" s="20"/>
      <c r="I439" s="20"/>
      <c r="J439" s="20" t="s">
        <v>898</v>
      </c>
      <c r="K439" t="e">
        <f>VLOOKUP(B439,Site!$B$1:$B$5698,2,0)</f>
        <v>#REF!</v>
      </c>
    </row>
    <row r="440" spans="1:11" x14ac:dyDescent="0.25">
      <c r="A440" s="19">
        <v>438</v>
      </c>
      <c r="B440" s="18" t="s">
        <v>508</v>
      </c>
      <c r="C440" s="18" t="s">
        <v>884</v>
      </c>
      <c r="D440" s="20">
        <v>42</v>
      </c>
      <c r="E440" s="20" t="s">
        <v>843</v>
      </c>
      <c r="F440" s="20" t="s">
        <v>897</v>
      </c>
      <c r="G440" s="20"/>
      <c r="H440" s="20"/>
      <c r="I440" s="20"/>
      <c r="J440" s="20" t="s">
        <v>898</v>
      </c>
      <c r="K440" t="e">
        <f>VLOOKUP(B440,Site!$B$1:$B$5698,2,0)</f>
        <v>#REF!</v>
      </c>
    </row>
    <row r="441" spans="1:11" x14ac:dyDescent="0.25">
      <c r="A441" s="19">
        <v>439</v>
      </c>
      <c r="B441" s="18" t="s">
        <v>493</v>
      </c>
      <c r="C441" s="18" t="s">
        <v>884</v>
      </c>
      <c r="D441" s="20">
        <v>42</v>
      </c>
      <c r="E441" s="20" t="s">
        <v>843</v>
      </c>
      <c r="F441" s="20" t="s">
        <v>897</v>
      </c>
      <c r="G441" s="20"/>
      <c r="H441" s="20"/>
      <c r="I441" s="20"/>
      <c r="J441" s="20" t="s">
        <v>898</v>
      </c>
      <c r="K441" t="e">
        <f>VLOOKUP(B441,Site!$B$1:$B$5698,2,0)</f>
        <v>#REF!</v>
      </c>
    </row>
    <row r="442" spans="1:11" x14ac:dyDescent="0.25">
      <c r="A442" s="19">
        <v>440</v>
      </c>
      <c r="B442" s="18" t="s">
        <v>509</v>
      </c>
      <c r="C442" s="18" t="s">
        <v>884</v>
      </c>
      <c r="D442" s="20">
        <v>39</v>
      </c>
      <c r="E442" s="20" t="s">
        <v>843</v>
      </c>
      <c r="F442" s="20" t="s">
        <v>897</v>
      </c>
      <c r="G442" s="20"/>
      <c r="H442" s="20"/>
      <c r="I442" s="20"/>
      <c r="J442" s="20" t="s">
        <v>898</v>
      </c>
      <c r="K442" t="e">
        <f>VLOOKUP(B442,Site!$B$1:$B$5698,2,0)</f>
        <v>#REF!</v>
      </c>
    </row>
    <row r="443" spans="1:11" x14ac:dyDescent="0.25">
      <c r="A443" s="19">
        <v>441</v>
      </c>
      <c r="B443" s="18" t="s">
        <v>514</v>
      </c>
      <c r="C443" s="18" t="s">
        <v>884</v>
      </c>
      <c r="D443" s="20">
        <v>42</v>
      </c>
      <c r="E443" s="20" t="s">
        <v>843</v>
      </c>
      <c r="F443" s="20" t="s">
        <v>897</v>
      </c>
      <c r="G443" s="20"/>
      <c r="H443" s="20"/>
      <c r="I443" s="20"/>
      <c r="J443" s="20" t="s">
        <v>898</v>
      </c>
      <c r="K443" t="e">
        <f>VLOOKUP(B443,Site!$B$1:$B$5698,2,0)</f>
        <v>#REF!</v>
      </c>
    </row>
    <row r="444" spans="1:11" x14ac:dyDescent="0.25">
      <c r="A444" s="19">
        <v>442</v>
      </c>
      <c r="B444" s="18" t="s">
        <v>290</v>
      </c>
      <c r="C444" s="18" t="s">
        <v>884</v>
      </c>
      <c r="D444" s="20">
        <v>40</v>
      </c>
      <c r="E444" s="20" t="s">
        <v>843</v>
      </c>
      <c r="F444" s="20" t="s">
        <v>894</v>
      </c>
      <c r="G444" s="20"/>
      <c r="H444" s="20"/>
      <c r="I444" s="20"/>
      <c r="J444" s="20" t="s">
        <v>895</v>
      </c>
      <c r="K444" t="e">
        <f>VLOOKUP(B444,Site!$B$1:$B$5698,2,0)</f>
        <v>#REF!</v>
      </c>
    </row>
    <row r="445" spans="1:11" x14ac:dyDescent="0.25">
      <c r="A445" s="19">
        <v>443</v>
      </c>
      <c r="B445" s="18" t="s">
        <v>291</v>
      </c>
      <c r="C445" s="18" t="s">
        <v>882</v>
      </c>
      <c r="D445" s="20">
        <v>45</v>
      </c>
      <c r="E445" s="20" t="s">
        <v>896</v>
      </c>
      <c r="F445" s="20" t="s">
        <v>894</v>
      </c>
      <c r="G445" s="20"/>
      <c r="H445" s="20"/>
      <c r="I445" s="21"/>
      <c r="J445" s="20" t="s">
        <v>895</v>
      </c>
      <c r="K445" t="e">
        <f>VLOOKUP(B445,Site!$B$1:$B$5698,2,0)</f>
        <v>#REF!</v>
      </c>
    </row>
    <row r="446" spans="1:11" x14ac:dyDescent="0.25">
      <c r="A446" s="19">
        <v>444</v>
      </c>
      <c r="B446" s="18" t="s">
        <v>292</v>
      </c>
      <c r="C446" s="18" t="s">
        <v>884</v>
      </c>
      <c r="D446" s="20">
        <v>42</v>
      </c>
      <c r="E446" s="20" t="s">
        <v>765</v>
      </c>
      <c r="F446" s="20" t="s">
        <v>894</v>
      </c>
      <c r="G446" s="20"/>
      <c r="H446" s="20"/>
      <c r="I446" s="20"/>
      <c r="J446" s="20" t="s">
        <v>895</v>
      </c>
      <c r="K446" t="e">
        <f>VLOOKUP(B446,Site!$B$1:$B$5698,2,0)</f>
        <v>#REF!</v>
      </c>
    </row>
    <row r="447" spans="1:11" x14ac:dyDescent="0.25">
      <c r="A447" s="19">
        <v>445</v>
      </c>
      <c r="B447" s="18" t="s">
        <v>293</v>
      </c>
      <c r="C447" s="18" t="s">
        <v>884</v>
      </c>
      <c r="D447" s="20">
        <v>42</v>
      </c>
      <c r="E447" s="20" t="s">
        <v>896</v>
      </c>
      <c r="F447" s="20" t="s">
        <v>899</v>
      </c>
      <c r="G447" s="20"/>
      <c r="H447" s="20"/>
      <c r="I447" s="20" t="s">
        <v>900</v>
      </c>
      <c r="J447" s="20" t="s">
        <v>901</v>
      </c>
      <c r="K447" t="e">
        <f>VLOOKUP(B447,Site!$B$1:$B$5698,2,0)</f>
        <v>#REF!</v>
      </c>
    </row>
    <row r="448" spans="1:11" x14ac:dyDescent="0.25">
      <c r="A448" s="19">
        <v>446</v>
      </c>
      <c r="B448" s="18" t="s">
        <v>295</v>
      </c>
      <c r="C448" s="18" t="s">
        <v>884</v>
      </c>
      <c r="D448" s="20">
        <v>42</v>
      </c>
      <c r="E448" s="20" t="s">
        <v>765</v>
      </c>
      <c r="F448" s="20" t="s">
        <v>894</v>
      </c>
      <c r="G448" s="20"/>
      <c r="H448" s="20"/>
      <c r="I448" s="20"/>
      <c r="J448" s="20" t="s">
        <v>895</v>
      </c>
      <c r="K448" t="e">
        <f>VLOOKUP(B448,Site!$B$1:$B$5698,2,0)</f>
        <v>#REF!</v>
      </c>
    </row>
    <row r="449" spans="1:11" x14ac:dyDescent="0.25">
      <c r="A449" s="19">
        <v>447</v>
      </c>
      <c r="B449" s="18" t="s">
        <v>296</v>
      </c>
      <c r="C449" s="18" t="s">
        <v>884</v>
      </c>
      <c r="D449" s="20">
        <v>28</v>
      </c>
      <c r="E449" s="20" t="s">
        <v>765</v>
      </c>
      <c r="F449" s="20" t="s">
        <v>894</v>
      </c>
      <c r="G449" s="20"/>
      <c r="H449" s="20"/>
      <c r="I449" s="20"/>
      <c r="J449" s="20" t="s">
        <v>895</v>
      </c>
      <c r="K449" t="e">
        <f>VLOOKUP(B449,Site!$B$1:$B$5698,2,0)</f>
        <v>#REF!</v>
      </c>
    </row>
    <row r="450" spans="1:11" x14ac:dyDescent="0.25">
      <c r="A450" s="19">
        <v>448</v>
      </c>
      <c r="B450" s="18" t="s">
        <v>297</v>
      </c>
      <c r="C450" s="18" t="s">
        <v>884</v>
      </c>
      <c r="D450" s="20">
        <v>42</v>
      </c>
      <c r="E450" s="20" t="s">
        <v>896</v>
      </c>
      <c r="F450" s="20" t="s">
        <v>894</v>
      </c>
      <c r="G450" s="20"/>
      <c r="H450" s="20"/>
      <c r="I450" s="20"/>
      <c r="J450" s="20" t="s">
        <v>895</v>
      </c>
      <c r="K450" t="e">
        <f>VLOOKUP(B450,Site!$B$1:$B$5698,2,0)</f>
        <v>#REF!</v>
      </c>
    </row>
    <row r="451" spans="1:11" x14ac:dyDescent="0.25">
      <c r="A451" s="19">
        <v>449</v>
      </c>
      <c r="B451" s="18" t="s">
        <v>298</v>
      </c>
      <c r="C451" s="18" t="s">
        <v>884</v>
      </c>
      <c r="D451" s="20">
        <v>42</v>
      </c>
      <c r="E451" s="20" t="s">
        <v>765</v>
      </c>
      <c r="F451" s="20" t="s">
        <v>894</v>
      </c>
      <c r="G451" s="20"/>
      <c r="H451" s="20"/>
      <c r="I451" s="20"/>
      <c r="J451" s="20" t="s">
        <v>895</v>
      </c>
      <c r="K451" t="e">
        <f>VLOOKUP(B451,Site!$B$1:$B$5698,2,0)</f>
        <v>#REF!</v>
      </c>
    </row>
    <row r="452" spans="1:11" x14ac:dyDescent="0.25">
      <c r="A452" s="19">
        <v>450</v>
      </c>
      <c r="B452" s="18" t="s">
        <v>299</v>
      </c>
      <c r="C452" s="18" t="s">
        <v>884</v>
      </c>
      <c r="D452" s="20">
        <v>42</v>
      </c>
      <c r="E452" s="20" t="s">
        <v>765</v>
      </c>
      <c r="F452" s="20" t="s">
        <v>894</v>
      </c>
      <c r="G452" s="20"/>
      <c r="H452" s="20"/>
      <c r="I452" s="20"/>
      <c r="J452" s="20" t="s">
        <v>895</v>
      </c>
      <c r="K452" t="e">
        <f>VLOOKUP(B452,Site!$B$1:$B$5698,2,0)</f>
        <v>#REF!</v>
      </c>
    </row>
    <row r="453" spans="1:11" x14ac:dyDescent="0.25">
      <c r="A453" s="19">
        <v>451</v>
      </c>
      <c r="B453" s="18" t="s">
        <v>300</v>
      </c>
      <c r="C453" s="18" t="s">
        <v>884</v>
      </c>
      <c r="D453" s="20">
        <v>42</v>
      </c>
      <c r="E453" s="20" t="s">
        <v>765</v>
      </c>
      <c r="F453" s="20" t="s">
        <v>894</v>
      </c>
      <c r="G453" s="20"/>
      <c r="H453" s="20"/>
      <c r="I453" s="20"/>
      <c r="J453" s="20" t="s">
        <v>895</v>
      </c>
      <c r="K453" t="e">
        <f>VLOOKUP(B453,Site!$B$1:$B$5698,2,0)</f>
        <v>#REF!</v>
      </c>
    </row>
    <row r="454" spans="1:11" x14ac:dyDescent="0.25">
      <c r="A454" s="19">
        <v>452</v>
      </c>
      <c r="B454" s="18" t="s">
        <v>301</v>
      </c>
      <c r="C454" s="18" t="s">
        <v>884</v>
      </c>
      <c r="D454" s="20">
        <v>42</v>
      </c>
      <c r="E454" s="20" t="s">
        <v>765</v>
      </c>
      <c r="F454" s="20" t="s">
        <v>894</v>
      </c>
      <c r="G454" s="20"/>
      <c r="H454" s="20"/>
      <c r="I454" s="20"/>
      <c r="J454" s="20" t="s">
        <v>895</v>
      </c>
      <c r="K454" t="e">
        <f>VLOOKUP(B454,Site!$B$1:$B$5698,2,0)</f>
        <v>#REF!</v>
      </c>
    </row>
    <row r="455" spans="1:11" x14ac:dyDescent="0.25">
      <c r="A455" s="19">
        <v>453</v>
      </c>
      <c r="B455" s="18" t="s">
        <v>302</v>
      </c>
      <c r="C455" s="18" t="s">
        <v>884</v>
      </c>
      <c r="D455" s="20">
        <v>45</v>
      </c>
      <c r="E455" s="20" t="s">
        <v>765</v>
      </c>
      <c r="F455" s="20" t="s">
        <v>894</v>
      </c>
      <c r="G455" s="20"/>
      <c r="H455" s="20"/>
      <c r="I455" s="20"/>
      <c r="J455" s="20" t="s">
        <v>895</v>
      </c>
      <c r="K455" t="e">
        <f>VLOOKUP(B455,Site!$B$1:$B$5698,2,0)</f>
        <v>#REF!</v>
      </c>
    </row>
    <row r="456" spans="1:11" x14ac:dyDescent="0.25">
      <c r="A456" s="19">
        <v>454</v>
      </c>
      <c r="B456" s="18" t="s">
        <v>303</v>
      </c>
      <c r="C456" s="18" t="s">
        <v>884</v>
      </c>
      <c r="D456" s="20">
        <v>45</v>
      </c>
      <c r="E456" s="20" t="s">
        <v>765</v>
      </c>
      <c r="F456" s="20" t="s">
        <v>894</v>
      </c>
      <c r="G456" s="20"/>
      <c r="H456" s="20"/>
      <c r="I456" s="20"/>
      <c r="J456" s="20" t="s">
        <v>895</v>
      </c>
      <c r="K456" t="e">
        <f>VLOOKUP(B456,Site!$B$1:$B$5698,2,0)</f>
        <v>#REF!</v>
      </c>
    </row>
    <row r="457" spans="1:11" x14ac:dyDescent="0.25">
      <c r="A457" s="19">
        <v>455</v>
      </c>
      <c r="B457" s="18" t="s">
        <v>304</v>
      </c>
      <c r="C457" s="18" t="s">
        <v>884</v>
      </c>
      <c r="D457" s="20">
        <v>45</v>
      </c>
      <c r="E457" s="20" t="s">
        <v>765</v>
      </c>
      <c r="F457" s="20" t="s">
        <v>894</v>
      </c>
      <c r="G457" s="20"/>
      <c r="H457" s="20"/>
      <c r="I457" s="20"/>
      <c r="J457" s="20" t="s">
        <v>895</v>
      </c>
      <c r="K457" t="e">
        <f>VLOOKUP(B457,Site!$B$1:$B$5698,2,0)</f>
        <v>#REF!</v>
      </c>
    </row>
    <row r="458" spans="1:11" x14ac:dyDescent="0.25">
      <c r="A458" s="19">
        <v>456</v>
      </c>
      <c r="B458" s="18" t="s">
        <v>305</v>
      </c>
      <c r="C458" s="18" t="s">
        <v>884</v>
      </c>
      <c r="D458" s="20">
        <v>45</v>
      </c>
      <c r="E458" s="20" t="s">
        <v>765</v>
      </c>
      <c r="F458" s="20" t="s">
        <v>894</v>
      </c>
      <c r="G458" s="20"/>
      <c r="H458" s="20"/>
      <c r="I458" s="20"/>
      <c r="J458" s="20" t="s">
        <v>895</v>
      </c>
      <c r="K458" t="e">
        <f>VLOOKUP(B458,Site!$B$1:$B$5698,2,0)</f>
        <v>#REF!</v>
      </c>
    </row>
    <row r="459" spans="1:11" x14ac:dyDescent="0.25">
      <c r="A459" s="19">
        <v>457</v>
      </c>
      <c r="B459" s="18" t="s">
        <v>306</v>
      </c>
      <c r="C459" s="18" t="s">
        <v>884</v>
      </c>
      <c r="D459" s="20">
        <v>45</v>
      </c>
      <c r="E459" s="20" t="s">
        <v>765</v>
      </c>
      <c r="F459" s="20" t="s">
        <v>894</v>
      </c>
      <c r="G459" s="20"/>
      <c r="H459" s="20"/>
      <c r="I459" s="20"/>
      <c r="J459" s="20" t="s">
        <v>895</v>
      </c>
      <c r="K459" t="e">
        <f>VLOOKUP(B459,Site!$B$1:$B$5698,2,0)</f>
        <v>#REF!</v>
      </c>
    </row>
    <row r="460" spans="1:11" x14ac:dyDescent="0.25">
      <c r="A460" s="19">
        <v>458</v>
      </c>
      <c r="B460" s="18" t="s">
        <v>307</v>
      </c>
      <c r="C460" s="18" t="s">
        <v>884</v>
      </c>
      <c r="D460" s="20">
        <v>45</v>
      </c>
      <c r="E460" s="20" t="s">
        <v>765</v>
      </c>
      <c r="F460" s="20" t="s">
        <v>894</v>
      </c>
      <c r="G460" s="20"/>
      <c r="H460" s="20"/>
      <c r="I460" s="20"/>
      <c r="J460" s="20" t="s">
        <v>895</v>
      </c>
      <c r="K460" t="e">
        <f>VLOOKUP(B460,Site!$B$1:$B$5698,2,0)</f>
        <v>#REF!</v>
      </c>
    </row>
    <row r="461" spans="1:11" x14ac:dyDescent="0.25">
      <c r="A461" s="19">
        <v>459</v>
      </c>
      <c r="B461" s="18" t="s">
        <v>308</v>
      </c>
      <c r="C461" s="18" t="s">
        <v>884</v>
      </c>
      <c r="D461" s="20">
        <v>45</v>
      </c>
      <c r="E461" s="20" t="s">
        <v>765</v>
      </c>
      <c r="F461" s="20" t="s">
        <v>894</v>
      </c>
      <c r="G461" s="20"/>
      <c r="H461" s="20"/>
      <c r="I461" s="20"/>
      <c r="J461" s="20" t="s">
        <v>895</v>
      </c>
      <c r="K461" t="e">
        <f>VLOOKUP(B461,Site!$B$1:$B$5698,2,0)</f>
        <v>#REF!</v>
      </c>
    </row>
    <row r="462" spans="1:11" x14ac:dyDescent="0.25">
      <c r="A462" s="19">
        <v>460</v>
      </c>
      <c r="B462" s="18" t="s">
        <v>309</v>
      </c>
      <c r="C462" s="18" t="s">
        <v>884</v>
      </c>
      <c r="D462" s="20">
        <v>45</v>
      </c>
      <c r="E462" s="20" t="s">
        <v>765</v>
      </c>
      <c r="F462" s="20" t="s">
        <v>894</v>
      </c>
      <c r="G462" s="20"/>
      <c r="H462" s="20"/>
      <c r="I462" s="20"/>
      <c r="J462" s="20" t="s">
        <v>895</v>
      </c>
      <c r="K462" t="e">
        <f>VLOOKUP(B462,Site!$B$1:$B$5698,2,0)</f>
        <v>#REF!</v>
      </c>
    </row>
    <row r="463" spans="1:11" x14ac:dyDescent="0.25">
      <c r="A463" s="19">
        <v>461</v>
      </c>
      <c r="B463" s="18" t="s">
        <v>310</v>
      </c>
      <c r="C463" s="18" t="s">
        <v>884</v>
      </c>
      <c r="D463" s="20">
        <v>45</v>
      </c>
      <c r="E463" s="20" t="s">
        <v>765</v>
      </c>
      <c r="F463" s="20" t="s">
        <v>894</v>
      </c>
      <c r="G463" s="20"/>
      <c r="H463" s="20"/>
      <c r="I463" s="20"/>
      <c r="J463" s="20" t="s">
        <v>895</v>
      </c>
      <c r="K463" t="e">
        <f>VLOOKUP(B463,Site!$B$1:$B$5698,2,0)</f>
        <v>#REF!</v>
      </c>
    </row>
    <row r="464" spans="1:11" x14ac:dyDescent="0.25">
      <c r="A464" s="19">
        <v>462</v>
      </c>
      <c r="B464" s="18" t="s">
        <v>311</v>
      </c>
      <c r="C464" s="18" t="s">
        <v>884</v>
      </c>
      <c r="D464" s="20">
        <v>45</v>
      </c>
      <c r="E464" s="20" t="s">
        <v>765</v>
      </c>
      <c r="F464" s="20" t="s">
        <v>894</v>
      </c>
      <c r="G464" s="20"/>
      <c r="H464" s="20"/>
      <c r="I464" s="20"/>
      <c r="J464" s="20" t="s">
        <v>895</v>
      </c>
      <c r="K464" t="e">
        <f>VLOOKUP(B464,Site!$B$1:$B$5698,2,0)</f>
        <v>#REF!</v>
      </c>
    </row>
    <row r="465" spans="1:11" x14ac:dyDescent="0.25">
      <c r="A465" s="19">
        <v>463</v>
      </c>
      <c r="B465" s="18" t="s">
        <v>312</v>
      </c>
      <c r="C465" s="18" t="s">
        <v>884</v>
      </c>
      <c r="D465" s="20">
        <v>45</v>
      </c>
      <c r="E465" s="20" t="s">
        <v>765</v>
      </c>
      <c r="F465" s="20" t="s">
        <v>894</v>
      </c>
      <c r="G465" s="20"/>
      <c r="H465" s="20"/>
      <c r="I465" s="20"/>
      <c r="J465" s="20" t="s">
        <v>895</v>
      </c>
      <c r="K465" t="e">
        <f>VLOOKUP(B465,Site!$B$1:$B$5698,2,0)</f>
        <v>#REF!</v>
      </c>
    </row>
    <row r="466" spans="1:11" x14ac:dyDescent="0.25">
      <c r="A466" s="19">
        <v>464</v>
      </c>
      <c r="B466" s="18" t="s">
        <v>313</v>
      </c>
      <c r="C466" s="18" t="s">
        <v>884</v>
      </c>
      <c r="D466" s="20">
        <v>27</v>
      </c>
      <c r="E466" s="20" t="s">
        <v>760</v>
      </c>
      <c r="F466" s="20" t="s">
        <v>894</v>
      </c>
      <c r="G466" s="20"/>
      <c r="H466" s="20"/>
      <c r="I466" s="20"/>
      <c r="J466" s="20" t="s">
        <v>895</v>
      </c>
      <c r="K466" t="e">
        <f>VLOOKUP(B466,Site!$B$1:$B$5698,2,0)</f>
        <v>#REF!</v>
      </c>
    </row>
    <row r="467" spans="1:11" x14ac:dyDescent="0.25">
      <c r="A467" s="19">
        <v>465</v>
      </c>
      <c r="B467" s="18" t="s">
        <v>314</v>
      </c>
      <c r="C467" s="18" t="s">
        <v>884</v>
      </c>
      <c r="D467" s="20">
        <v>42</v>
      </c>
      <c r="E467" s="20" t="s">
        <v>765</v>
      </c>
      <c r="F467" s="20" t="s">
        <v>894</v>
      </c>
      <c r="G467" s="20"/>
      <c r="H467" s="20"/>
      <c r="I467" s="20"/>
      <c r="J467" s="20" t="s">
        <v>895</v>
      </c>
      <c r="K467" t="e">
        <f>VLOOKUP(B467,Site!$B$1:$B$5698,2,0)</f>
        <v>#REF!</v>
      </c>
    </row>
    <row r="468" spans="1:11" x14ac:dyDescent="0.25">
      <c r="A468" s="19">
        <v>466</v>
      </c>
      <c r="B468" s="18" t="s">
        <v>315</v>
      </c>
      <c r="C468" s="18" t="s">
        <v>884</v>
      </c>
      <c r="D468" s="20">
        <v>45</v>
      </c>
      <c r="E468" s="20" t="s">
        <v>765</v>
      </c>
      <c r="F468" s="20" t="s">
        <v>894</v>
      </c>
      <c r="G468" s="20"/>
      <c r="H468" s="20"/>
      <c r="I468" s="20"/>
      <c r="J468" s="20" t="s">
        <v>895</v>
      </c>
      <c r="K468" t="e">
        <f>VLOOKUP(B468,Site!$B$1:$B$5698,2,0)</f>
        <v>#REF!</v>
      </c>
    </row>
    <row r="469" spans="1:11" x14ac:dyDescent="0.25">
      <c r="A469" s="19">
        <v>467</v>
      </c>
      <c r="B469" s="18" t="s">
        <v>319</v>
      </c>
      <c r="C469" s="18" t="s">
        <v>884</v>
      </c>
      <c r="D469" s="20">
        <v>45</v>
      </c>
      <c r="E469" s="20" t="s">
        <v>896</v>
      </c>
      <c r="F469" s="20" t="s">
        <v>894</v>
      </c>
      <c r="G469" s="20"/>
      <c r="H469" s="20"/>
      <c r="I469" s="20"/>
      <c r="J469" s="20" t="s">
        <v>895</v>
      </c>
      <c r="K469" t="e">
        <f>VLOOKUP(B469,Site!$B$1:$B$5698,2,0)</f>
        <v>#REF!</v>
      </c>
    </row>
    <row r="470" spans="1:11" x14ac:dyDescent="0.25">
      <c r="A470" s="19">
        <v>468</v>
      </c>
      <c r="B470" s="18" t="s">
        <v>323</v>
      </c>
      <c r="C470" s="18" t="s">
        <v>884</v>
      </c>
      <c r="D470" s="20">
        <v>42</v>
      </c>
      <c r="E470" s="20" t="s">
        <v>896</v>
      </c>
      <c r="F470" s="20" t="s">
        <v>894</v>
      </c>
      <c r="G470" s="20"/>
      <c r="H470" s="20"/>
      <c r="I470" s="20"/>
      <c r="J470" s="20" t="s">
        <v>895</v>
      </c>
      <c r="K470" t="e">
        <f>VLOOKUP(B470,Site!$B$1:$B$5698,2,0)</f>
        <v>#REF!</v>
      </c>
    </row>
    <row r="471" spans="1:11" x14ac:dyDescent="0.25">
      <c r="A471" s="19">
        <v>469</v>
      </c>
      <c r="B471" s="18" t="s">
        <v>320</v>
      </c>
      <c r="C471" s="18" t="s">
        <v>884</v>
      </c>
      <c r="D471" s="20">
        <v>42</v>
      </c>
      <c r="E471" s="20" t="s">
        <v>896</v>
      </c>
      <c r="F471" s="20" t="s">
        <v>894</v>
      </c>
      <c r="G471" s="20"/>
      <c r="H471" s="20"/>
      <c r="I471" s="20"/>
      <c r="J471" s="20" t="s">
        <v>895</v>
      </c>
      <c r="K471" t="e">
        <f>VLOOKUP(B471,Site!$B$1:$B$5698,2,0)</f>
        <v>#REF!</v>
      </c>
    </row>
    <row r="472" spans="1:11" x14ac:dyDescent="0.25">
      <c r="A472" s="19">
        <v>470</v>
      </c>
      <c r="B472" s="18" t="s">
        <v>321</v>
      </c>
      <c r="C472" s="18" t="s">
        <v>884</v>
      </c>
      <c r="D472" s="20">
        <v>42</v>
      </c>
      <c r="E472" s="20" t="s">
        <v>896</v>
      </c>
      <c r="F472" s="20" t="s">
        <v>894</v>
      </c>
      <c r="G472" s="20"/>
      <c r="H472" s="20"/>
      <c r="I472" s="20"/>
      <c r="J472" s="20" t="s">
        <v>895</v>
      </c>
      <c r="K472" t="e">
        <f>VLOOKUP(B472,Site!$B$1:$B$5698,2,0)</f>
        <v>#REF!</v>
      </c>
    </row>
    <row r="473" spans="1:11" x14ac:dyDescent="0.25">
      <c r="A473" s="19">
        <v>471</v>
      </c>
      <c r="B473" s="18" t="s">
        <v>316</v>
      </c>
      <c r="C473" s="18" t="s">
        <v>884</v>
      </c>
      <c r="D473" s="20">
        <v>42</v>
      </c>
      <c r="E473" s="20" t="s">
        <v>896</v>
      </c>
      <c r="F473" s="20" t="s">
        <v>894</v>
      </c>
      <c r="G473" s="20"/>
      <c r="H473" s="20"/>
      <c r="I473" s="20"/>
      <c r="J473" s="20" t="s">
        <v>895</v>
      </c>
      <c r="K473" t="e">
        <f>VLOOKUP(B473,Site!$B$1:$B$5698,2,0)</f>
        <v>#REF!</v>
      </c>
    </row>
    <row r="474" spans="1:11" x14ac:dyDescent="0.25">
      <c r="A474" s="19">
        <v>472</v>
      </c>
      <c r="B474" s="18" t="s">
        <v>317</v>
      </c>
      <c r="C474" s="18" t="s">
        <v>884</v>
      </c>
      <c r="D474" s="20">
        <v>42</v>
      </c>
      <c r="E474" s="20" t="s">
        <v>896</v>
      </c>
      <c r="F474" s="20" t="s">
        <v>894</v>
      </c>
      <c r="G474" s="20"/>
      <c r="H474" s="20"/>
      <c r="I474" s="20"/>
      <c r="J474" s="20" t="s">
        <v>895</v>
      </c>
      <c r="K474" t="e">
        <f>VLOOKUP(B474,Site!$B$1:$B$5698,2,0)</f>
        <v>#REF!</v>
      </c>
    </row>
    <row r="475" spans="1:11" x14ac:dyDescent="0.25">
      <c r="A475" s="19">
        <v>473</v>
      </c>
      <c r="B475" s="18" t="s">
        <v>318</v>
      </c>
      <c r="C475" s="18" t="s">
        <v>884</v>
      </c>
      <c r="D475" s="20">
        <v>42</v>
      </c>
      <c r="E475" s="20" t="s">
        <v>896</v>
      </c>
      <c r="F475" s="20" t="s">
        <v>894</v>
      </c>
      <c r="G475" s="20"/>
      <c r="H475" s="20"/>
      <c r="I475" s="20"/>
      <c r="J475" s="20" t="s">
        <v>895</v>
      </c>
      <c r="K475" t="e">
        <f>VLOOKUP(B475,Site!$B$1:$B$5698,2,0)</f>
        <v>#REF!</v>
      </c>
    </row>
    <row r="476" spans="1:11" x14ac:dyDescent="0.25">
      <c r="A476" s="19">
        <v>474</v>
      </c>
      <c r="B476" s="18" t="s">
        <v>322</v>
      </c>
      <c r="C476" s="18" t="s">
        <v>884</v>
      </c>
      <c r="D476" s="20">
        <v>42</v>
      </c>
      <c r="E476" s="20" t="s">
        <v>896</v>
      </c>
      <c r="F476" s="20" t="s">
        <v>894</v>
      </c>
      <c r="G476" s="20"/>
      <c r="H476" s="20"/>
      <c r="I476" s="20"/>
      <c r="J476" s="20" t="s">
        <v>895</v>
      </c>
      <c r="K476" t="e">
        <f>VLOOKUP(B476,Site!$B$1:$B$5698,2,0)</f>
        <v>#REF!</v>
      </c>
    </row>
    <row r="477" spans="1:11" x14ac:dyDescent="0.25">
      <c r="A477" s="19">
        <v>475</v>
      </c>
      <c r="B477" s="18" t="s">
        <v>387</v>
      </c>
      <c r="C477" s="18" t="s">
        <v>884</v>
      </c>
      <c r="D477" s="20">
        <v>42</v>
      </c>
      <c r="E477" s="20" t="s">
        <v>843</v>
      </c>
      <c r="F477" s="20" t="s">
        <v>894</v>
      </c>
      <c r="G477" s="20"/>
      <c r="H477" s="20"/>
      <c r="I477" s="20"/>
      <c r="J477" s="20" t="s">
        <v>895</v>
      </c>
      <c r="K477" t="e">
        <f>VLOOKUP(B477,Site!$B$1:$B$5698,2,0)</f>
        <v>#REF!</v>
      </c>
    </row>
    <row r="478" spans="1:11" x14ac:dyDescent="0.25">
      <c r="A478" s="19">
        <v>476</v>
      </c>
      <c r="B478" s="18" t="s">
        <v>417</v>
      </c>
      <c r="C478" s="18" t="s">
        <v>884</v>
      </c>
      <c r="D478" s="20">
        <v>42</v>
      </c>
      <c r="E478" s="20" t="s">
        <v>843</v>
      </c>
      <c r="F478" s="20" t="s">
        <v>894</v>
      </c>
      <c r="G478" s="20"/>
      <c r="H478" s="20"/>
      <c r="I478" s="20"/>
      <c r="J478" s="20" t="s">
        <v>895</v>
      </c>
      <c r="K478" t="e">
        <f>VLOOKUP(B478,Site!$B$1:$B$5698,2,0)</f>
        <v>#REF!</v>
      </c>
    </row>
    <row r="479" spans="1:11" x14ac:dyDescent="0.25">
      <c r="A479" s="19">
        <v>477</v>
      </c>
      <c r="B479" s="18" t="s">
        <v>494</v>
      </c>
      <c r="C479" s="18" t="s">
        <v>884</v>
      </c>
      <c r="D479" s="20">
        <v>42</v>
      </c>
      <c r="E479" s="20" t="s">
        <v>843</v>
      </c>
      <c r="F479" s="20" t="s">
        <v>897</v>
      </c>
      <c r="G479" s="20"/>
      <c r="H479" s="20"/>
      <c r="I479" s="20"/>
      <c r="J479" s="20" t="s">
        <v>898</v>
      </c>
      <c r="K479" t="e">
        <f>VLOOKUP(B479,Site!$B$1:$B$5698,2,0)</f>
        <v>#REF!</v>
      </c>
    </row>
    <row r="480" spans="1:11" x14ac:dyDescent="0.25">
      <c r="A480" s="19">
        <v>478</v>
      </c>
      <c r="B480" s="18" t="s">
        <v>495</v>
      </c>
      <c r="C480" s="18" t="s">
        <v>884</v>
      </c>
      <c r="D480" s="20">
        <v>42</v>
      </c>
      <c r="E480" s="20" t="s">
        <v>843</v>
      </c>
      <c r="F480" s="20" t="s">
        <v>897</v>
      </c>
      <c r="G480" s="20"/>
      <c r="H480" s="20"/>
      <c r="I480" s="20"/>
      <c r="J480" s="20" t="s">
        <v>898</v>
      </c>
      <c r="K480" t="e">
        <f>VLOOKUP(B480,Site!$B$1:$B$5698,2,0)</f>
        <v>#REF!</v>
      </c>
    </row>
    <row r="481" spans="1:11" x14ac:dyDescent="0.25">
      <c r="A481" s="19">
        <v>479</v>
      </c>
      <c r="B481" s="18" t="s">
        <v>482</v>
      </c>
      <c r="C481" s="18" t="s">
        <v>884</v>
      </c>
      <c r="D481" s="20">
        <v>42</v>
      </c>
      <c r="E481" s="20" t="s">
        <v>843</v>
      </c>
      <c r="F481" s="20" t="s">
        <v>897</v>
      </c>
      <c r="G481" s="20"/>
      <c r="H481" s="20"/>
      <c r="I481" s="20"/>
      <c r="J481" s="20" t="s">
        <v>898</v>
      </c>
      <c r="K481" t="e">
        <f>VLOOKUP(B481,Site!$B$1:$B$5698,2,0)</f>
        <v>#REF!</v>
      </c>
    </row>
    <row r="482" spans="1:11" x14ac:dyDescent="0.25">
      <c r="A482" s="19">
        <v>480</v>
      </c>
      <c r="B482" s="18" t="s">
        <v>532</v>
      </c>
      <c r="C482" s="18" t="s">
        <v>884</v>
      </c>
      <c r="D482" s="20">
        <v>42</v>
      </c>
      <c r="E482" s="20" t="s">
        <v>843</v>
      </c>
      <c r="F482" s="20" t="s">
        <v>897</v>
      </c>
      <c r="G482" s="20"/>
      <c r="H482" s="20"/>
      <c r="I482" s="20"/>
      <c r="J482" s="20" t="s">
        <v>898</v>
      </c>
      <c r="K482" t="e">
        <f>VLOOKUP(B482,Site!$B$1:$B$5698,2,0)</f>
        <v>#REF!</v>
      </c>
    </row>
    <row r="483" spans="1:11" x14ac:dyDescent="0.25">
      <c r="A483" s="19">
        <v>481</v>
      </c>
      <c r="B483" s="18" t="s">
        <v>531</v>
      </c>
      <c r="C483" s="18" t="s">
        <v>884</v>
      </c>
      <c r="D483" s="20">
        <v>42</v>
      </c>
      <c r="E483" s="20" t="s">
        <v>843</v>
      </c>
      <c r="F483" s="20" t="s">
        <v>897</v>
      </c>
      <c r="G483" s="20"/>
      <c r="H483" s="20"/>
      <c r="I483" s="20"/>
      <c r="J483" s="20" t="s">
        <v>898</v>
      </c>
      <c r="K483" t="e">
        <f>VLOOKUP(B483,Site!$B$1:$B$5698,2,0)</f>
        <v>#REF!</v>
      </c>
    </row>
    <row r="484" spans="1:11" x14ac:dyDescent="0.25">
      <c r="A484" s="19">
        <v>482</v>
      </c>
      <c r="B484" s="18" t="s">
        <v>561</v>
      </c>
      <c r="C484" s="18" t="s">
        <v>884</v>
      </c>
      <c r="D484" s="20">
        <v>42</v>
      </c>
      <c r="E484" s="20" t="s">
        <v>843</v>
      </c>
      <c r="F484" s="20" t="s">
        <v>897</v>
      </c>
      <c r="G484" s="20"/>
      <c r="H484" s="20"/>
      <c r="I484" s="20"/>
      <c r="J484" s="20" t="s">
        <v>898</v>
      </c>
      <c r="K484" t="e">
        <f>VLOOKUP(B484,Site!$B$1:$B$5698,2,0)</f>
        <v>#REF!</v>
      </c>
    </row>
    <row r="485" spans="1:11" x14ac:dyDescent="0.25">
      <c r="A485" s="19">
        <v>483</v>
      </c>
      <c r="B485" s="18" t="s">
        <v>562</v>
      </c>
      <c r="C485" s="18" t="s">
        <v>884</v>
      </c>
      <c r="D485" s="20">
        <v>39</v>
      </c>
      <c r="E485" s="20" t="s">
        <v>843</v>
      </c>
      <c r="F485" s="20" t="s">
        <v>897</v>
      </c>
      <c r="G485" s="20"/>
      <c r="H485" s="20"/>
      <c r="I485" s="20"/>
      <c r="J485" s="20" t="s">
        <v>898</v>
      </c>
      <c r="K485" t="e">
        <f>VLOOKUP(B485,Site!$B$1:$B$5698,2,0)</f>
        <v>#REF!</v>
      </c>
    </row>
    <row r="486" spans="1:11" x14ac:dyDescent="0.25">
      <c r="A486" s="19">
        <v>484</v>
      </c>
      <c r="B486" s="18" t="s">
        <v>563</v>
      </c>
      <c r="C486" s="18" t="s">
        <v>884</v>
      </c>
      <c r="D486" s="20">
        <v>42</v>
      </c>
      <c r="E486" s="20" t="s">
        <v>843</v>
      </c>
      <c r="F486" s="20" t="s">
        <v>897</v>
      </c>
      <c r="G486" s="20"/>
      <c r="H486" s="20"/>
      <c r="I486" s="20"/>
      <c r="J486" s="20" t="s">
        <v>898</v>
      </c>
      <c r="K486" t="e">
        <f>VLOOKUP(B486,Site!$B$1:$B$5698,2,0)</f>
        <v>#REF!</v>
      </c>
    </row>
    <row r="487" spans="1:11" x14ac:dyDescent="0.25">
      <c r="A487" s="19">
        <v>485</v>
      </c>
      <c r="B487" s="18" t="s">
        <v>554</v>
      </c>
      <c r="C487" s="18" t="s">
        <v>884</v>
      </c>
      <c r="D487" s="20">
        <v>42</v>
      </c>
      <c r="E487" s="20" t="s">
        <v>877</v>
      </c>
      <c r="F487" s="20" t="s">
        <v>897</v>
      </c>
      <c r="G487" s="20"/>
      <c r="H487" s="20"/>
      <c r="I487" s="20"/>
      <c r="J487" s="20" t="s">
        <v>898</v>
      </c>
      <c r="K487" t="e">
        <f>VLOOKUP(B487,Site!$B$1:$B$5698,2,0)</f>
        <v>#REF!</v>
      </c>
    </row>
    <row r="488" spans="1:11" x14ac:dyDescent="0.25">
      <c r="A488" s="19">
        <v>486</v>
      </c>
      <c r="B488" s="18" t="s">
        <v>564</v>
      </c>
      <c r="C488" s="18" t="s">
        <v>884</v>
      </c>
      <c r="D488" s="20">
        <v>42</v>
      </c>
      <c r="E488" s="20" t="s">
        <v>843</v>
      </c>
      <c r="F488" s="20" t="s">
        <v>897</v>
      </c>
      <c r="G488" s="20"/>
      <c r="H488" s="20"/>
      <c r="I488" s="20"/>
      <c r="J488" s="20" t="s">
        <v>898</v>
      </c>
      <c r="K488" t="e">
        <f>VLOOKUP(B488,Site!$B$1:$B$5698,2,0)</f>
        <v>#REF!</v>
      </c>
    </row>
    <row r="489" spans="1:11" x14ac:dyDescent="0.25">
      <c r="A489" s="19">
        <v>487</v>
      </c>
      <c r="B489" s="18" t="s">
        <v>565</v>
      </c>
      <c r="C489" s="18" t="s">
        <v>884</v>
      </c>
      <c r="D489" s="20">
        <v>36</v>
      </c>
      <c r="E489" s="20" t="s">
        <v>843</v>
      </c>
      <c r="F489" s="20" t="s">
        <v>897</v>
      </c>
      <c r="G489" s="20"/>
      <c r="H489" s="20"/>
      <c r="I489" s="20"/>
      <c r="J489" s="20" t="s">
        <v>898</v>
      </c>
      <c r="K489" t="e">
        <f>VLOOKUP(B489,Site!$B$1:$B$5698,2,0)</f>
        <v>#REF!</v>
      </c>
    </row>
    <row r="490" spans="1:11" x14ac:dyDescent="0.25">
      <c r="A490" s="19">
        <v>488</v>
      </c>
      <c r="B490" s="18" t="s">
        <v>566</v>
      </c>
      <c r="C490" s="18" t="s">
        <v>884</v>
      </c>
      <c r="D490" s="20">
        <v>42</v>
      </c>
      <c r="E490" s="20" t="s">
        <v>843</v>
      </c>
      <c r="F490" s="20" t="s">
        <v>897</v>
      </c>
      <c r="G490" s="20"/>
      <c r="H490" s="20"/>
      <c r="I490" s="20"/>
      <c r="J490" s="20" t="s">
        <v>898</v>
      </c>
      <c r="K490" t="e">
        <f>VLOOKUP(B490,Site!$B$1:$B$5698,2,0)</f>
        <v>#REF!</v>
      </c>
    </row>
    <row r="491" spans="1:11" x14ac:dyDescent="0.25">
      <c r="A491" s="19">
        <v>489</v>
      </c>
      <c r="B491" s="18" t="s">
        <v>567</v>
      </c>
      <c r="C491" s="18" t="s">
        <v>884</v>
      </c>
      <c r="D491" s="20">
        <v>42</v>
      </c>
      <c r="E491" s="20" t="s">
        <v>843</v>
      </c>
      <c r="F491" s="20" t="s">
        <v>897</v>
      </c>
      <c r="G491" s="20"/>
      <c r="H491" s="20"/>
      <c r="I491" s="20"/>
      <c r="J491" s="20" t="s">
        <v>898</v>
      </c>
      <c r="K491" t="e">
        <f>VLOOKUP(B491,Site!$B$1:$B$5698,2,0)</f>
        <v>#REF!</v>
      </c>
    </row>
    <row r="492" spans="1:11" x14ac:dyDescent="0.25">
      <c r="A492" s="19">
        <v>490</v>
      </c>
      <c r="B492" s="18" t="s">
        <v>559</v>
      </c>
      <c r="C492" s="18" t="s">
        <v>884</v>
      </c>
      <c r="D492" s="20">
        <v>42</v>
      </c>
      <c r="E492" s="20" t="s">
        <v>877</v>
      </c>
      <c r="F492" s="20" t="s">
        <v>897</v>
      </c>
      <c r="G492" s="20"/>
      <c r="H492" s="20"/>
      <c r="I492" s="20"/>
      <c r="J492" s="20" t="s">
        <v>898</v>
      </c>
      <c r="K492" t="e">
        <f>VLOOKUP(B492,Site!$B$1:$B$5698,2,0)</f>
        <v>#REF!</v>
      </c>
    </row>
    <row r="493" spans="1:11" x14ac:dyDescent="0.25">
      <c r="A493" s="19">
        <v>491</v>
      </c>
      <c r="B493" s="18" t="s">
        <v>558</v>
      </c>
      <c r="C493" s="18" t="s">
        <v>884</v>
      </c>
      <c r="D493" s="20">
        <v>42</v>
      </c>
      <c r="E493" s="20" t="s">
        <v>877</v>
      </c>
      <c r="F493" s="20" t="s">
        <v>897</v>
      </c>
      <c r="G493" s="20"/>
      <c r="H493" s="20"/>
      <c r="I493" s="20"/>
      <c r="J493" s="20" t="s">
        <v>898</v>
      </c>
      <c r="K493" t="e">
        <f>VLOOKUP(B493,Site!$B$1:$B$5698,2,0)</f>
        <v>#REF!</v>
      </c>
    </row>
    <row r="494" spans="1:11" x14ac:dyDescent="0.25">
      <c r="A494" s="19">
        <v>492</v>
      </c>
      <c r="B494" s="18" t="s">
        <v>568</v>
      </c>
      <c r="C494" s="18" t="s">
        <v>884</v>
      </c>
      <c r="D494" s="20">
        <v>42</v>
      </c>
      <c r="E494" s="20" t="s">
        <v>843</v>
      </c>
      <c r="F494" s="20" t="s">
        <v>897</v>
      </c>
      <c r="G494" s="20"/>
      <c r="H494" s="20"/>
      <c r="I494" s="20"/>
      <c r="J494" s="20" t="s">
        <v>898</v>
      </c>
      <c r="K494" t="e">
        <f>VLOOKUP(B494,Site!$B$1:$B$5698,2,0)</f>
        <v>#REF!</v>
      </c>
    </row>
    <row r="495" spans="1:11" x14ac:dyDescent="0.25">
      <c r="A495" s="19">
        <v>493</v>
      </c>
      <c r="B495" s="18" t="s">
        <v>548</v>
      </c>
      <c r="C495" s="18" t="s">
        <v>884</v>
      </c>
      <c r="D495" s="20">
        <v>42</v>
      </c>
      <c r="E495" s="20" t="s">
        <v>877</v>
      </c>
      <c r="F495" s="20" t="s">
        <v>897</v>
      </c>
      <c r="G495" s="20"/>
      <c r="H495" s="20"/>
      <c r="I495" s="20"/>
      <c r="J495" s="20" t="s">
        <v>898</v>
      </c>
      <c r="K495" t="e">
        <f>VLOOKUP(B495,Site!$B$1:$B$5698,2,0)</f>
        <v>#REF!</v>
      </c>
    </row>
    <row r="496" spans="1:11" x14ac:dyDescent="0.25">
      <c r="A496" s="19">
        <v>494</v>
      </c>
      <c r="B496" s="18" t="s">
        <v>555</v>
      </c>
      <c r="C496" s="18" t="s">
        <v>884</v>
      </c>
      <c r="D496" s="20">
        <v>42</v>
      </c>
      <c r="E496" s="20" t="s">
        <v>877</v>
      </c>
      <c r="F496" s="20" t="s">
        <v>897</v>
      </c>
      <c r="G496" s="20"/>
      <c r="H496" s="20"/>
      <c r="I496" s="20"/>
      <c r="J496" s="20" t="s">
        <v>898</v>
      </c>
      <c r="K496" t="e">
        <f>VLOOKUP(B496,Site!$B$1:$B$5698,2,0)</f>
        <v>#REF!</v>
      </c>
    </row>
    <row r="497" spans="1:11" x14ac:dyDescent="0.25">
      <c r="A497" s="19">
        <v>495</v>
      </c>
      <c r="B497" s="18" t="s">
        <v>569</v>
      </c>
      <c r="C497" s="18" t="s">
        <v>884</v>
      </c>
      <c r="D497" s="20">
        <v>42</v>
      </c>
      <c r="E497" s="20" t="s">
        <v>843</v>
      </c>
      <c r="F497" s="20" t="s">
        <v>897</v>
      </c>
      <c r="G497" s="20"/>
      <c r="H497" s="20"/>
      <c r="I497" s="20"/>
      <c r="J497" s="20" t="s">
        <v>898</v>
      </c>
      <c r="K497" t="e">
        <f>VLOOKUP(B497,Site!$B$1:$B$5698,2,0)</f>
        <v>#REF!</v>
      </c>
    </row>
    <row r="498" spans="1:11" x14ac:dyDescent="0.25">
      <c r="A498" s="19">
        <v>496</v>
      </c>
      <c r="B498" s="18" t="s">
        <v>560</v>
      </c>
      <c r="C498" s="18" t="s">
        <v>884</v>
      </c>
      <c r="D498" s="20">
        <v>42</v>
      </c>
      <c r="E498" s="20" t="s">
        <v>877</v>
      </c>
      <c r="F498" s="20" t="s">
        <v>897</v>
      </c>
      <c r="G498" s="20"/>
      <c r="H498" s="20"/>
      <c r="I498" s="20"/>
      <c r="J498" s="20" t="s">
        <v>898</v>
      </c>
      <c r="K498" t="e">
        <f>VLOOKUP(B498,Site!$B$1:$B$5698,2,0)</f>
        <v>#REF!</v>
      </c>
    </row>
    <row r="499" spans="1:11" x14ac:dyDescent="0.25">
      <c r="A499" s="19">
        <v>497</v>
      </c>
      <c r="B499" s="18" t="s">
        <v>556</v>
      </c>
      <c r="C499" s="18" t="s">
        <v>884</v>
      </c>
      <c r="D499" s="20">
        <v>42</v>
      </c>
      <c r="E499" s="20" t="s">
        <v>877</v>
      </c>
      <c r="F499" s="20" t="s">
        <v>897</v>
      </c>
      <c r="G499" s="20"/>
      <c r="H499" s="20"/>
      <c r="I499" s="20"/>
      <c r="J499" s="20" t="s">
        <v>898</v>
      </c>
      <c r="K499" t="e">
        <f>VLOOKUP(B499,Site!$B$1:$B$5698,2,0)</f>
        <v>#REF!</v>
      </c>
    </row>
    <row r="500" spans="1:11" x14ac:dyDescent="0.25">
      <c r="A500" s="19">
        <v>498</v>
      </c>
      <c r="B500" s="18" t="s">
        <v>557</v>
      </c>
      <c r="C500" s="18" t="s">
        <v>884</v>
      </c>
      <c r="D500" s="20">
        <v>42</v>
      </c>
      <c r="E500" s="20" t="s">
        <v>877</v>
      </c>
      <c r="F500" s="20" t="s">
        <v>897</v>
      </c>
      <c r="G500" s="20"/>
      <c r="H500" s="20"/>
      <c r="I500" s="20"/>
      <c r="J500" s="20" t="s">
        <v>898</v>
      </c>
      <c r="K500" t="e">
        <f>VLOOKUP(B500,Site!$B$1:$B$5698,2,0)</f>
        <v>#REF!</v>
      </c>
    </row>
    <row r="501" spans="1:11" x14ac:dyDescent="0.25">
      <c r="A501" s="19">
        <v>499</v>
      </c>
      <c r="B501" s="18" t="s">
        <v>549</v>
      </c>
      <c r="C501" s="18" t="s">
        <v>884</v>
      </c>
      <c r="D501" s="20">
        <v>42</v>
      </c>
      <c r="E501" s="20" t="s">
        <v>877</v>
      </c>
      <c r="F501" s="20" t="s">
        <v>897</v>
      </c>
      <c r="G501" s="20"/>
      <c r="H501" s="20"/>
      <c r="I501" s="20"/>
      <c r="J501" s="20" t="s">
        <v>898</v>
      </c>
      <c r="K501" t="e">
        <f>VLOOKUP(B501,Site!$B$1:$B$5698,2,0)</f>
        <v>#REF!</v>
      </c>
    </row>
    <row r="502" spans="1:11" x14ac:dyDescent="0.25">
      <c r="A502" s="19">
        <v>500</v>
      </c>
      <c r="B502" s="18" t="s">
        <v>550</v>
      </c>
      <c r="C502" s="18" t="s">
        <v>884</v>
      </c>
      <c r="D502" s="20">
        <v>42</v>
      </c>
      <c r="E502" s="20" t="s">
        <v>877</v>
      </c>
      <c r="F502" s="20" t="s">
        <v>897</v>
      </c>
      <c r="G502" s="20"/>
      <c r="H502" s="20"/>
      <c r="I502" s="20"/>
      <c r="J502" s="20" t="s">
        <v>898</v>
      </c>
      <c r="K502" t="e">
        <f>VLOOKUP(B502,Site!$B$1:$B$5698,2,0)</f>
        <v>#REF!</v>
      </c>
    </row>
    <row r="503" spans="1:11" x14ac:dyDescent="0.25">
      <c r="A503" s="19">
        <v>501</v>
      </c>
      <c r="B503" s="18" t="s">
        <v>551</v>
      </c>
      <c r="C503" s="18" t="s">
        <v>884</v>
      </c>
      <c r="D503" s="20">
        <v>42</v>
      </c>
      <c r="E503" s="20" t="s">
        <v>877</v>
      </c>
      <c r="F503" s="20" t="s">
        <v>897</v>
      </c>
      <c r="G503" s="20"/>
      <c r="H503" s="20"/>
      <c r="I503" s="20"/>
      <c r="J503" s="20" t="s">
        <v>898</v>
      </c>
      <c r="K503" t="e">
        <f>VLOOKUP(B503,Site!$B$1:$B$5698,2,0)</f>
        <v>#REF!</v>
      </c>
    </row>
    <row r="504" spans="1:11" x14ac:dyDescent="0.25">
      <c r="A504" s="19">
        <v>502</v>
      </c>
      <c r="B504" s="18" t="s">
        <v>552</v>
      </c>
      <c r="C504" s="18" t="s">
        <v>884</v>
      </c>
      <c r="D504" s="20">
        <v>42</v>
      </c>
      <c r="E504" s="20" t="s">
        <v>877</v>
      </c>
      <c r="F504" s="20" t="s">
        <v>897</v>
      </c>
      <c r="G504" s="20"/>
      <c r="H504" s="20"/>
      <c r="I504" s="20"/>
      <c r="J504" s="20" t="s">
        <v>898</v>
      </c>
      <c r="K504" t="e">
        <f>VLOOKUP(B504,Site!$B$1:$B$5698,2,0)</f>
        <v>#REF!</v>
      </c>
    </row>
    <row r="505" spans="1:11" x14ac:dyDescent="0.25">
      <c r="A505" s="19">
        <v>503</v>
      </c>
      <c r="B505" s="18" t="s">
        <v>553</v>
      </c>
      <c r="C505" s="18" t="s">
        <v>884</v>
      </c>
      <c r="D505" s="20">
        <v>42</v>
      </c>
      <c r="E505" s="20" t="s">
        <v>877</v>
      </c>
      <c r="F505" s="20" t="s">
        <v>897</v>
      </c>
      <c r="G505" s="20"/>
      <c r="H505" s="20"/>
      <c r="I505" s="20"/>
      <c r="J505" s="20" t="s">
        <v>898</v>
      </c>
      <c r="K505" t="e">
        <f>VLOOKUP(B505,Site!$B$1:$B$5698,2,0)</f>
        <v>#REF!</v>
      </c>
    </row>
    <row r="506" spans="1:11" x14ac:dyDescent="0.25">
      <c r="A506" s="19">
        <v>504</v>
      </c>
      <c r="B506" s="18" t="s">
        <v>570</v>
      </c>
      <c r="C506" s="18" t="s">
        <v>884</v>
      </c>
      <c r="D506" s="20">
        <v>42</v>
      </c>
      <c r="E506" s="20" t="s">
        <v>843</v>
      </c>
      <c r="F506" s="20" t="s">
        <v>897</v>
      </c>
      <c r="G506" s="20"/>
      <c r="H506" s="20"/>
      <c r="I506" s="20"/>
      <c r="J506" s="20" t="s">
        <v>898</v>
      </c>
      <c r="K506" t="e">
        <f>VLOOKUP(B506,Site!$B$1:$B$5698,2,0)</f>
        <v>#REF!</v>
      </c>
    </row>
    <row r="507" spans="1:11" x14ac:dyDescent="0.25">
      <c r="A507" s="19">
        <v>505</v>
      </c>
      <c r="B507" s="18" t="s">
        <v>571</v>
      </c>
      <c r="C507" s="18" t="s">
        <v>884</v>
      </c>
      <c r="D507" s="20">
        <v>42</v>
      </c>
      <c r="E507" s="20" t="s">
        <v>843</v>
      </c>
      <c r="F507" s="20" t="s">
        <v>897</v>
      </c>
      <c r="G507" s="20"/>
      <c r="H507" s="20"/>
      <c r="I507" s="20"/>
      <c r="J507" s="20" t="s">
        <v>898</v>
      </c>
      <c r="K507" t="e">
        <f>VLOOKUP(B507,Site!$B$1:$B$5698,2,0)</f>
        <v>#REF!</v>
      </c>
    </row>
    <row r="508" spans="1:11" x14ac:dyDescent="0.25">
      <c r="A508" s="19">
        <v>506</v>
      </c>
      <c r="B508" s="18" t="s">
        <v>572</v>
      </c>
      <c r="C508" s="18" t="s">
        <v>884</v>
      </c>
      <c r="D508" s="20">
        <v>42</v>
      </c>
      <c r="E508" s="20" t="s">
        <v>843</v>
      </c>
      <c r="F508" s="20" t="s">
        <v>897</v>
      </c>
      <c r="G508" s="20"/>
      <c r="H508" s="20"/>
      <c r="I508" s="20"/>
      <c r="J508" s="20" t="s">
        <v>898</v>
      </c>
      <c r="K508" t="e">
        <f>VLOOKUP(B508,Site!$B$1:$B$5698,2,0)</f>
        <v>#REF!</v>
      </c>
    </row>
    <row r="509" spans="1:11" x14ac:dyDescent="0.25">
      <c r="A509" s="19">
        <v>507</v>
      </c>
      <c r="B509" s="18" t="s">
        <v>573</v>
      </c>
      <c r="C509" s="18" t="s">
        <v>884</v>
      </c>
      <c r="D509" s="20">
        <v>42</v>
      </c>
      <c r="E509" s="20" t="s">
        <v>843</v>
      </c>
      <c r="F509" s="20" t="s">
        <v>897</v>
      </c>
      <c r="G509" s="20"/>
      <c r="H509" s="20"/>
      <c r="I509" s="20"/>
      <c r="J509" s="20" t="s">
        <v>898</v>
      </c>
      <c r="K509" t="e">
        <f>VLOOKUP(B509,Site!$B$1:$B$5698,2,0)</f>
        <v>#REF!</v>
      </c>
    </row>
    <row r="510" spans="1:11" x14ac:dyDescent="0.25">
      <c r="A510" s="19">
        <v>508</v>
      </c>
      <c r="B510" s="18" t="s">
        <v>574</v>
      </c>
      <c r="C510" s="18" t="s">
        <v>884</v>
      </c>
      <c r="D510" s="20">
        <v>42</v>
      </c>
      <c r="E510" s="20" t="s">
        <v>843</v>
      </c>
      <c r="F510" s="20" t="s">
        <v>897</v>
      </c>
      <c r="G510" s="20"/>
      <c r="H510" s="20"/>
      <c r="I510" s="20"/>
      <c r="J510" s="20" t="s">
        <v>898</v>
      </c>
      <c r="K510" t="e">
        <f>VLOOKUP(B510,Site!$B$1:$B$5698,2,0)</f>
        <v>#REF!</v>
      </c>
    </row>
    <row r="511" spans="1:11" x14ac:dyDescent="0.25">
      <c r="A511" s="19">
        <v>509</v>
      </c>
      <c r="B511" s="18" t="s">
        <v>575</v>
      </c>
      <c r="C511" s="18" t="s">
        <v>884</v>
      </c>
      <c r="D511" s="20">
        <v>42</v>
      </c>
      <c r="E511" s="20" t="s">
        <v>843</v>
      </c>
      <c r="F511" s="20" t="s">
        <v>897</v>
      </c>
      <c r="G511" s="20"/>
      <c r="H511" s="20"/>
      <c r="I511" s="20"/>
      <c r="J511" s="20" t="s">
        <v>898</v>
      </c>
      <c r="K511" t="e">
        <f>VLOOKUP(B511,Site!$B$1:$B$5698,2,0)</f>
        <v>#REF!</v>
      </c>
    </row>
    <row r="512" spans="1:11" x14ac:dyDescent="0.25">
      <c r="A512" s="19">
        <v>510</v>
      </c>
      <c r="B512" s="18" t="s">
        <v>576</v>
      </c>
      <c r="C512" s="18" t="s">
        <v>884</v>
      </c>
      <c r="D512" s="20">
        <v>42</v>
      </c>
      <c r="E512" s="20" t="s">
        <v>843</v>
      </c>
      <c r="F512" s="20" t="s">
        <v>897</v>
      </c>
      <c r="G512" s="20"/>
      <c r="H512" s="20"/>
      <c r="I512" s="20"/>
      <c r="J512" s="20" t="s">
        <v>898</v>
      </c>
      <c r="K512" t="e">
        <f>VLOOKUP(B512,Site!$B$1:$B$5698,2,0)</f>
        <v>#REF!</v>
      </c>
    </row>
    <row r="513" spans="1:11" x14ac:dyDescent="0.25">
      <c r="A513" s="19">
        <v>511</v>
      </c>
      <c r="B513" s="18" t="s">
        <v>577</v>
      </c>
      <c r="C513" s="18" t="s">
        <v>884</v>
      </c>
      <c r="D513" s="20">
        <v>42</v>
      </c>
      <c r="E513" s="20" t="s">
        <v>843</v>
      </c>
      <c r="F513" s="20" t="s">
        <v>897</v>
      </c>
      <c r="G513" s="20"/>
      <c r="H513" s="20"/>
      <c r="I513" s="20"/>
      <c r="J513" s="20" t="s">
        <v>898</v>
      </c>
      <c r="K513" t="e">
        <f>VLOOKUP(B513,Site!$B$1:$B$5698,2,0)</f>
        <v>#REF!</v>
      </c>
    </row>
    <row r="514" spans="1:11" x14ac:dyDescent="0.25">
      <c r="A514" s="19">
        <v>512</v>
      </c>
      <c r="B514" s="18" t="s">
        <v>578</v>
      </c>
      <c r="C514" s="18" t="s">
        <v>884</v>
      </c>
      <c r="D514" s="20">
        <v>42</v>
      </c>
      <c r="E514" s="20" t="s">
        <v>843</v>
      </c>
      <c r="F514" s="20" t="s">
        <v>897</v>
      </c>
      <c r="G514" s="20"/>
      <c r="H514" s="20"/>
      <c r="I514" s="20"/>
      <c r="J514" s="20" t="s">
        <v>898</v>
      </c>
      <c r="K514" t="e">
        <f>VLOOKUP(B514,Site!$B$1:$B$5698,2,0)</f>
        <v>#REF!</v>
      </c>
    </row>
    <row r="515" spans="1:11" x14ac:dyDescent="0.25">
      <c r="A515" s="19">
        <v>513</v>
      </c>
      <c r="B515" s="18" t="s">
        <v>579</v>
      </c>
      <c r="C515" s="18" t="s">
        <v>884</v>
      </c>
      <c r="D515" s="20">
        <v>42</v>
      </c>
      <c r="E515" s="20" t="s">
        <v>843</v>
      </c>
      <c r="F515" s="20" t="s">
        <v>897</v>
      </c>
      <c r="G515" s="20"/>
      <c r="H515" s="20"/>
      <c r="I515" s="20"/>
      <c r="J515" s="20" t="s">
        <v>898</v>
      </c>
      <c r="K515" t="e">
        <f>VLOOKUP(B515,Site!$B$1:$B$5698,2,0)</f>
        <v>#REF!</v>
      </c>
    </row>
    <row r="516" spans="1:11" x14ac:dyDescent="0.25">
      <c r="A516" s="19">
        <v>514</v>
      </c>
      <c r="B516" s="18" t="s">
        <v>580</v>
      </c>
      <c r="C516" s="18" t="s">
        <v>884</v>
      </c>
      <c r="D516" s="20">
        <v>42</v>
      </c>
      <c r="E516" s="20" t="s">
        <v>843</v>
      </c>
      <c r="F516" s="20" t="s">
        <v>897</v>
      </c>
      <c r="G516" s="20"/>
      <c r="H516" s="20"/>
      <c r="I516" s="20"/>
      <c r="J516" s="20" t="s">
        <v>898</v>
      </c>
      <c r="K516" t="e">
        <f>VLOOKUP(B516,Site!$B$1:$B$5698,2,0)</f>
        <v>#REF!</v>
      </c>
    </row>
    <row r="517" spans="1:11" x14ac:dyDescent="0.25">
      <c r="A517" s="19">
        <v>515</v>
      </c>
      <c r="B517" s="18" t="s">
        <v>581</v>
      </c>
      <c r="C517" s="18" t="s">
        <v>884</v>
      </c>
      <c r="D517" s="20">
        <v>42</v>
      </c>
      <c r="E517" s="20" t="s">
        <v>843</v>
      </c>
      <c r="F517" s="20" t="s">
        <v>897</v>
      </c>
      <c r="G517" s="20"/>
      <c r="H517" s="20"/>
      <c r="I517" s="20"/>
      <c r="J517" s="20" t="s">
        <v>898</v>
      </c>
      <c r="K517" t="e">
        <f>VLOOKUP(B517,Site!$B$1:$B$5698,2,0)</f>
        <v>#REF!</v>
      </c>
    </row>
    <row r="518" spans="1:11" x14ac:dyDescent="0.25">
      <c r="A518" s="19">
        <v>516</v>
      </c>
      <c r="B518" s="18" t="s">
        <v>582</v>
      </c>
      <c r="C518" s="18" t="s">
        <v>884</v>
      </c>
      <c r="D518" s="20">
        <v>42</v>
      </c>
      <c r="E518" s="20" t="s">
        <v>843</v>
      </c>
      <c r="F518" s="20" t="s">
        <v>897</v>
      </c>
      <c r="G518" s="20"/>
      <c r="H518" s="20"/>
      <c r="I518" s="20"/>
      <c r="J518" s="20" t="s">
        <v>898</v>
      </c>
      <c r="K518" t="e">
        <f>VLOOKUP(B518,Site!$B$1:$B$5698,2,0)</f>
        <v>#REF!</v>
      </c>
    </row>
    <row r="519" spans="1:11" x14ac:dyDescent="0.25">
      <c r="A519" s="19">
        <v>517</v>
      </c>
      <c r="B519" s="18" t="s">
        <v>583</v>
      </c>
      <c r="C519" s="18" t="s">
        <v>884</v>
      </c>
      <c r="D519" s="20">
        <v>42</v>
      </c>
      <c r="E519" s="20" t="s">
        <v>843</v>
      </c>
      <c r="F519" s="20" t="s">
        <v>897</v>
      </c>
      <c r="G519" s="20"/>
      <c r="H519" s="20"/>
      <c r="I519" s="20"/>
      <c r="J519" s="20" t="s">
        <v>898</v>
      </c>
      <c r="K519" t="e">
        <f>VLOOKUP(B519,Site!$B$1:$B$5698,2,0)</f>
        <v>#REF!</v>
      </c>
    </row>
    <row r="520" spans="1:11" x14ac:dyDescent="0.25">
      <c r="A520" s="19">
        <v>518</v>
      </c>
      <c r="B520" s="18" t="s">
        <v>584</v>
      </c>
      <c r="C520" s="18" t="s">
        <v>884</v>
      </c>
      <c r="D520" s="20">
        <v>42</v>
      </c>
      <c r="E520" s="20" t="s">
        <v>843</v>
      </c>
      <c r="F520" s="20" t="s">
        <v>897</v>
      </c>
      <c r="G520" s="20"/>
      <c r="H520" s="20"/>
      <c r="I520" s="20"/>
      <c r="J520" s="20" t="s">
        <v>898</v>
      </c>
      <c r="K520" t="e">
        <f>VLOOKUP(B520,Site!$B$1:$B$5698,2,0)</f>
        <v>#REF!</v>
      </c>
    </row>
    <row r="521" spans="1:11" x14ac:dyDescent="0.25">
      <c r="A521" s="19">
        <v>519</v>
      </c>
      <c r="B521" s="18" t="s">
        <v>585</v>
      </c>
      <c r="C521" s="18" t="s">
        <v>884</v>
      </c>
      <c r="D521" s="20">
        <v>30</v>
      </c>
      <c r="E521" s="20" t="s">
        <v>843</v>
      </c>
      <c r="F521" s="20" t="s">
        <v>897</v>
      </c>
      <c r="G521" s="20"/>
      <c r="H521" s="20"/>
      <c r="I521" s="20"/>
      <c r="J521" s="20" t="s">
        <v>898</v>
      </c>
      <c r="K521" t="e">
        <f>VLOOKUP(B521,Site!$B$1:$B$5698,2,0)</f>
        <v>#REF!</v>
      </c>
    </row>
    <row r="522" spans="1:11" x14ac:dyDescent="0.25">
      <c r="A522" s="19">
        <v>520</v>
      </c>
      <c r="B522" s="18" t="s">
        <v>586</v>
      </c>
      <c r="C522" s="18" t="s">
        <v>884</v>
      </c>
      <c r="D522" s="20">
        <v>42</v>
      </c>
      <c r="E522" s="20" t="s">
        <v>843</v>
      </c>
      <c r="F522" s="20" t="s">
        <v>897</v>
      </c>
      <c r="G522" s="20"/>
      <c r="H522" s="20"/>
      <c r="I522" s="20"/>
      <c r="J522" s="20" t="s">
        <v>898</v>
      </c>
      <c r="K522" t="e">
        <f>VLOOKUP(B522,Site!$B$1:$B$5698,2,0)</f>
        <v>#REF!</v>
      </c>
    </row>
    <row r="523" spans="1:11" x14ac:dyDescent="0.25">
      <c r="A523" s="19">
        <v>521</v>
      </c>
      <c r="B523" s="18" t="s">
        <v>587</v>
      </c>
      <c r="C523" s="18" t="s">
        <v>884</v>
      </c>
      <c r="D523" s="20">
        <v>42</v>
      </c>
      <c r="E523" s="20" t="s">
        <v>843</v>
      </c>
      <c r="F523" s="20" t="s">
        <v>897</v>
      </c>
      <c r="G523" s="20"/>
      <c r="H523" s="20"/>
      <c r="I523" s="20"/>
      <c r="J523" s="20" t="s">
        <v>898</v>
      </c>
      <c r="K523" t="e">
        <f>VLOOKUP(B523,Site!$B$1:$B$5698,2,0)</f>
        <v>#REF!</v>
      </c>
    </row>
    <row r="524" spans="1:11" x14ac:dyDescent="0.25">
      <c r="A524" s="19">
        <v>522</v>
      </c>
      <c r="B524" s="18" t="s">
        <v>592</v>
      </c>
      <c r="C524" s="18" t="s">
        <v>884</v>
      </c>
      <c r="D524" s="20">
        <v>42</v>
      </c>
      <c r="E524" s="20" t="s">
        <v>843</v>
      </c>
      <c r="F524" s="20" t="s">
        <v>897</v>
      </c>
      <c r="G524" s="20"/>
      <c r="H524" s="20"/>
      <c r="I524" s="20"/>
      <c r="J524" s="20" t="s">
        <v>898</v>
      </c>
      <c r="K524" t="e">
        <f>VLOOKUP(B524,Site!$B$1:$B$5698,2,0)</f>
        <v>#REF!</v>
      </c>
    </row>
    <row r="525" spans="1:11" x14ac:dyDescent="0.25">
      <c r="A525" s="19">
        <v>523</v>
      </c>
      <c r="B525" s="18" t="s">
        <v>593</v>
      </c>
      <c r="C525" s="18" t="s">
        <v>884</v>
      </c>
      <c r="D525" s="20">
        <v>42</v>
      </c>
      <c r="E525" s="20" t="s">
        <v>843</v>
      </c>
      <c r="F525" s="20" t="s">
        <v>897</v>
      </c>
      <c r="G525" s="20"/>
      <c r="H525" s="20"/>
      <c r="I525" s="20"/>
      <c r="J525" s="20" t="s">
        <v>898</v>
      </c>
      <c r="K525" t="e">
        <f>VLOOKUP(B525,Site!$B$1:$B$5698,2,0)</f>
        <v>#N/A</v>
      </c>
    </row>
    <row r="526" spans="1:11" x14ac:dyDescent="0.25">
      <c r="A526" s="19">
        <v>524</v>
      </c>
      <c r="B526" s="18" t="s">
        <v>594</v>
      </c>
      <c r="C526" s="18" t="s">
        <v>884</v>
      </c>
      <c r="D526" s="20">
        <v>42</v>
      </c>
      <c r="E526" s="20" t="s">
        <v>843</v>
      </c>
      <c r="F526" s="20" t="s">
        <v>897</v>
      </c>
      <c r="G526" s="20"/>
      <c r="H526" s="20"/>
      <c r="I526" s="20"/>
      <c r="J526" s="20" t="s">
        <v>898</v>
      </c>
      <c r="K526" t="e">
        <f>VLOOKUP(B526,Site!$B$1:$B$5698,2,0)</f>
        <v>#REF!</v>
      </c>
    </row>
    <row r="527" spans="1:11" x14ac:dyDescent="0.25">
      <c r="A527" s="19">
        <v>525</v>
      </c>
      <c r="B527" s="18" t="s">
        <v>595</v>
      </c>
      <c r="C527" s="18" t="s">
        <v>884</v>
      </c>
      <c r="D527" s="20">
        <v>36</v>
      </c>
      <c r="E527" s="20" t="s">
        <v>843</v>
      </c>
      <c r="F527" s="20" t="s">
        <v>897</v>
      </c>
      <c r="G527" s="20"/>
      <c r="H527" s="20"/>
      <c r="I527" s="20"/>
      <c r="J527" s="20" t="s">
        <v>898</v>
      </c>
      <c r="K527" t="e">
        <f>VLOOKUP(B527,Site!$B$1:$B$5698,2,0)</f>
        <v>#REF!</v>
      </c>
    </row>
    <row r="528" spans="1:11" x14ac:dyDescent="0.25">
      <c r="A528" s="19">
        <v>526</v>
      </c>
      <c r="B528" s="18" t="s">
        <v>596</v>
      </c>
      <c r="C528" s="18" t="s">
        <v>884</v>
      </c>
      <c r="D528" s="20">
        <v>42</v>
      </c>
      <c r="E528" s="20" t="s">
        <v>843</v>
      </c>
      <c r="F528" s="20" t="s">
        <v>897</v>
      </c>
      <c r="G528" s="20"/>
      <c r="H528" s="20"/>
      <c r="I528" s="20"/>
      <c r="J528" s="20" t="s">
        <v>898</v>
      </c>
      <c r="K528" t="e">
        <f>VLOOKUP(B528,Site!$B$1:$B$5698,2,0)</f>
        <v>#REF!</v>
      </c>
    </row>
    <row r="529" spans="1:11" x14ac:dyDescent="0.25">
      <c r="A529" s="19">
        <v>527</v>
      </c>
      <c r="B529" s="18" t="s">
        <v>597</v>
      </c>
      <c r="C529" s="18" t="s">
        <v>884</v>
      </c>
      <c r="D529" s="20">
        <v>30</v>
      </c>
      <c r="E529" s="20" t="s">
        <v>843</v>
      </c>
      <c r="F529" s="20" t="s">
        <v>897</v>
      </c>
      <c r="G529" s="20"/>
      <c r="H529" s="20"/>
      <c r="I529" s="20"/>
      <c r="J529" s="20" t="s">
        <v>898</v>
      </c>
      <c r="K529" t="e">
        <f>VLOOKUP(B529,Site!$B$1:$B$5698,2,0)</f>
        <v>#REF!</v>
      </c>
    </row>
    <row r="530" spans="1:11" x14ac:dyDescent="0.25">
      <c r="A530" s="19">
        <v>528</v>
      </c>
      <c r="B530" s="18" t="s">
        <v>598</v>
      </c>
      <c r="C530" s="18" t="s">
        <v>884</v>
      </c>
      <c r="D530" s="20">
        <v>42</v>
      </c>
      <c r="E530" s="20" t="s">
        <v>843</v>
      </c>
      <c r="F530" s="20" t="s">
        <v>897</v>
      </c>
      <c r="G530" s="20"/>
      <c r="H530" s="20"/>
      <c r="I530" s="20"/>
      <c r="J530" s="20" t="s">
        <v>898</v>
      </c>
      <c r="K530" t="e">
        <f>VLOOKUP(B530,Site!$B$1:$B$5698,2,0)</f>
        <v>#REF!</v>
      </c>
    </row>
    <row r="531" spans="1:11" x14ac:dyDescent="0.25">
      <c r="A531" s="19">
        <v>529</v>
      </c>
      <c r="B531" s="18" t="s">
        <v>599</v>
      </c>
      <c r="C531" s="18" t="s">
        <v>882</v>
      </c>
      <c r="D531" s="20">
        <v>36</v>
      </c>
      <c r="E531" s="20" t="s">
        <v>843</v>
      </c>
      <c r="F531" s="20" t="s">
        <v>897</v>
      </c>
      <c r="G531" s="20"/>
      <c r="H531" s="20"/>
      <c r="I531" s="20"/>
      <c r="J531" s="20" t="s">
        <v>898</v>
      </c>
      <c r="K531" t="e">
        <f>VLOOKUP(B531,Site!$B$1:$B$5698,2,0)</f>
        <v>#REF!</v>
      </c>
    </row>
    <row r="532" spans="1:11" x14ac:dyDescent="0.25">
      <c r="A532" s="19">
        <v>530</v>
      </c>
      <c r="B532" s="18" t="s">
        <v>600</v>
      </c>
      <c r="C532" s="18" t="s">
        <v>884</v>
      </c>
      <c r="D532" s="20">
        <v>42</v>
      </c>
      <c r="E532" s="20" t="s">
        <v>843</v>
      </c>
      <c r="F532" s="20" t="s">
        <v>897</v>
      </c>
      <c r="G532" s="20"/>
      <c r="H532" s="20"/>
      <c r="I532" s="20"/>
      <c r="J532" s="20" t="s">
        <v>898</v>
      </c>
      <c r="K532" t="e">
        <f>VLOOKUP(B532,Site!$B$1:$B$5698,2,0)</f>
        <v>#REF!</v>
      </c>
    </row>
    <row r="533" spans="1:11" x14ac:dyDescent="0.25">
      <c r="A533" s="19">
        <v>531</v>
      </c>
      <c r="B533" s="18" t="s">
        <v>744</v>
      </c>
      <c r="C533" s="18" t="s">
        <v>884</v>
      </c>
      <c r="D533" s="20">
        <v>42</v>
      </c>
      <c r="E533" s="20" t="s">
        <v>843</v>
      </c>
      <c r="F533" s="20" t="s">
        <v>897</v>
      </c>
      <c r="G533" s="20"/>
      <c r="H533" s="20"/>
      <c r="I533" s="20"/>
      <c r="J533" s="20" t="s">
        <v>898</v>
      </c>
      <c r="K533" t="e">
        <f>VLOOKUP(B533,Site!$B$1:$B$5698,2,0)</f>
        <v>#REF!</v>
      </c>
    </row>
    <row r="534" spans="1:11" x14ac:dyDescent="0.25">
      <c r="A534" s="19">
        <v>532</v>
      </c>
      <c r="B534" s="18" t="s">
        <v>746</v>
      </c>
      <c r="C534" s="18" t="s">
        <v>884</v>
      </c>
      <c r="D534" s="20">
        <v>42</v>
      </c>
      <c r="E534" s="20" t="s">
        <v>843</v>
      </c>
      <c r="F534" s="20" t="s">
        <v>897</v>
      </c>
      <c r="G534" s="20"/>
      <c r="H534" s="20"/>
      <c r="I534" s="20"/>
      <c r="J534" s="20" t="s">
        <v>898</v>
      </c>
      <c r="K534" t="e">
        <f>VLOOKUP(B534,Site!$B$1:$B$5698,2,0)</f>
        <v>#REF!</v>
      </c>
    </row>
    <row r="535" spans="1:11" x14ac:dyDescent="0.25">
      <c r="A535" s="19">
        <v>533</v>
      </c>
      <c r="B535" s="18" t="s">
        <v>748</v>
      </c>
      <c r="C535" s="18" t="s">
        <v>884</v>
      </c>
      <c r="D535" s="20">
        <v>32</v>
      </c>
      <c r="E535" s="20" t="s">
        <v>877</v>
      </c>
      <c r="F535" s="20" t="s">
        <v>897</v>
      </c>
      <c r="G535" s="20"/>
      <c r="H535" s="20"/>
      <c r="I535" s="20"/>
      <c r="J535" s="20" t="s">
        <v>898</v>
      </c>
      <c r="K535" t="e">
        <f>VLOOKUP(B535,Site!$B$1:$B$5698,2,0)</f>
        <v>#REF!</v>
      </c>
    </row>
    <row r="536" spans="1:11" x14ac:dyDescent="0.25">
      <c r="A536" s="19">
        <v>534</v>
      </c>
      <c r="B536" s="18" t="s">
        <v>37</v>
      </c>
      <c r="C536" s="18" t="s">
        <v>903</v>
      </c>
      <c r="D536" s="22">
        <v>31</v>
      </c>
      <c r="E536" s="18" t="s">
        <v>878</v>
      </c>
      <c r="F536" s="20" t="s">
        <v>894</v>
      </c>
      <c r="G536" s="20"/>
      <c r="H536" s="20"/>
      <c r="I536" s="20"/>
      <c r="J536" s="20" t="s">
        <v>898</v>
      </c>
      <c r="K536" t="e">
        <f>VLOOKUP(B536,Site!$B$1:$B$5698,2,0)</f>
        <v>#REF!</v>
      </c>
    </row>
    <row r="537" spans="1:11" x14ac:dyDescent="0.25">
      <c r="A537" s="19">
        <v>535</v>
      </c>
      <c r="B537" s="18" t="s">
        <v>51</v>
      </c>
      <c r="C537" s="18" t="s">
        <v>903</v>
      </c>
      <c r="D537" s="22">
        <v>45</v>
      </c>
      <c r="E537" s="18" t="s">
        <v>878</v>
      </c>
      <c r="F537" s="20" t="s">
        <v>904</v>
      </c>
      <c r="G537" s="20"/>
      <c r="H537" s="20"/>
      <c r="I537" s="20"/>
      <c r="J537" s="20" t="s">
        <v>905</v>
      </c>
      <c r="K537" t="e">
        <f>VLOOKUP(B537,Site!$B$1:$B$5698,2,0)</f>
        <v>#REF!</v>
      </c>
    </row>
    <row r="538" spans="1:11" x14ac:dyDescent="0.25">
      <c r="A538" s="19">
        <v>536</v>
      </c>
      <c r="B538" s="18" t="s">
        <v>4</v>
      </c>
      <c r="C538" s="18" t="s">
        <v>903</v>
      </c>
      <c r="D538" s="22">
        <v>45</v>
      </c>
      <c r="E538" s="18" t="s">
        <v>878</v>
      </c>
      <c r="F538" s="20" t="s">
        <v>904</v>
      </c>
      <c r="G538" s="20"/>
      <c r="H538" s="20"/>
      <c r="I538" s="20"/>
      <c r="J538" s="20" t="s">
        <v>905</v>
      </c>
      <c r="K538" t="e">
        <f>VLOOKUP(B538,Site!$B$1:$B$5698,2,0)</f>
        <v>#REF!</v>
      </c>
    </row>
    <row r="539" spans="1:11" x14ac:dyDescent="0.25">
      <c r="A539" s="19">
        <v>537</v>
      </c>
      <c r="B539" s="18" t="s">
        <v>58</v>
      </c>
      <c r="C539" s="18" t="s">
        <v>903</v>
      </c>
      <c r="D539" s="22">
        <v>45</v>
      </c>
      <c r="E539" s="18" t="s">
        <v>878</v>
      </c>
      <c r="F539" s="20" t="s">
        <v>894</v>
      </c>
      <c r="G539" s="20"/>
      <c r="H539" s="20"/>
      <c r="I539" s="20"/>
      <c r="J539" s="20" t="s">
        <v>898</v>
      </c>
      <c r="K539" t="e">
        <f>VLOOKUP(B539,Site!$B$1:$B$5698,2,0)</f>
        <v>#REF!</v>
      </c>
    </row>
    <row r="540" spans="1:11" x14ac:dyDescent="0.25">
      <c r="A540" s="19">
        <v>538</v>
      </c>
      <c r="B540" s="18" t="s">
        <v>591</v>
      </c>
      <c r="C540" s="22">
        <v>0</v>
      </c>
      <c r="D540" s="22">
        <v>0</v>
      </c>
      <c r="E540" s="18" t="s">
        <v>878</v>
      </c>
      <c r="F540" s="20" t="s">
        <v>906</v>
      </c>
      <c r="G540" s="20"/>
      <c r="H540" s="20"/>
      <c r="I540" s="20"/>
      <c r="J540" s="20" t="s">
        <v>907</v>
      </c>
      <c r="K540" t="e">
        <f>VLOOKUP(B540,Site!$B$1:$B$5698,2,0)</f>
        <v>#REF!</v>
      </c>
    </row>
    <row r="541" spans="1:11" x14ac:dyDescent="0.25">
      <c r="A541" s="19">
        <v>539</v>
      </c>
      <c r="B541" s="18" t="s">
        <v>64</v>
      </c>
      <c r="C541" s="18" t="s">
        <v>903</v>
      </c>
      <c r="D541" s="22">
        <v>128</v>
      </c>
      <c r="E541" s="18" t="s">
        <v>908</v>
      </c>
      <c r="F541" s="20" t="s">
        <v>906</v>
      </c>
      <c r="G541" s="20"/>
      <c r="H541" s="20"/>
      <c r="I541" s="20"/>
      <c r="J541" s="20" t="s">
        <v>905</v>
      </c>
      <c r="K541" t="e">
        <f>VLOOKUP(B541,Site!$B$1:$B$5698,2,0)</f>
        <v>#REF!</v>
      </c>
    </row>
    <row r="542" spans="1:11" x14ac:dyDescent="0.25">
      <c r="A542" s="19">
        <v>540</v>
      </c>
      <c r="B542" s="18" t="s">
        <v>14</v>
      </c>
      <c r="C542" s="18" t="s">
        <v>909</v>
      </c>
      <c r="D542" s="22">
        <v>27</v>
      </c>
      <c r="E542" s="18" t="s">
        <v>878</v>
      </c>
      <c r="F542" s="20" t="s">
        <v>894</v>
      </c>
      <c r="G542" s="20"/>
      <c r="H542" s="20"/>
      <c r="I542" s="20"/>
      <c r="J542" s="20" t="s">
        <v>898</v>
      </c>
      <c r="K542" t="e">
        <f>VLOOKUP(B542,Site!$B$1:$B$5698,2,0)</f>
        <v>#REF!</v>
      </c>
    </row>
    <row r="543" spans="1:11" x14ac:dyDescent="0.25">
      <c r="A543" s="19">
        <v>541</v>
      </c>
      <c r="B543" s="18" t="s">
        <v>36</v>
      </c>
      <c r="C543" s="18" t="s">
        <v>909</v>
      </c>
      <c r="D543" s="22">
        <v>26</v>
      </c>
      <c r="E543" s="18" t="s">
        <v>843</v>
      </c>
      <c r="F543" s="20" t="s">
        <v>894</v>
      </c>
      <c r="G543" s="20"/>
      <c r="H543" s="20"/>
      <c r="I543" s="20"/>
      <c r="J543" s="20" t="s">
        <v>898</v>
      </c>
      <c r="K543" t="e">
        <f>VLOOKUP(B543,Site!$B$1:$B$5698,2,0)</f>
        <v>#REF!</v>
      </c>
    </row>
    <row r="544" spans="1:11" x14ac:dyDescent="0.25">
      <c r="A544" s="19">
        <v>542</v>
      </c>
      <c r="B544" s="18" t="s">
        <v>424</v>
      </c>
      <c r="C544" s="18" t="s">
        <v>883</v>
      </c>
      <c r="D544" s="22">
        <v>0</v>
      </c>
      <c r="E544" s="18" t="s">
        <v>883</v>
      </c>
      <c r="F544" s="20" t="s">
        <v>894</v>
      </c>
      <c r="G544" s="20"/>
      <c r="H544" s="20"/>
      <c r="I544" s="20"/>
      <c r="J544" s="20" t="s">
        <v>898</v>
      </c>
      <c r="K544" t="e">
        <f>VLOOKUP(B544,Site!$B$1:$B$5698,2,0)</f>
        <v>#REF!</v>
      </c>
    </row>
    <row r="545" spans="1:11" x14ac:dyDescent="0.25">
      <c r="A545" s="19">
        <v>543</v>
      </c>
      <c r="B545" s="18" t="s">
        <v>438</v>
      </c>
      <c r="C545" s="18" t="s">
        <v>883</v>
      </c>
      <c r="D545" s="22">
        <v>0</v>
      </c>
      <c r="E545" s="18" t="s">
        <v>883</v>
      </c>
      <c r="F545" s="20" t="s">
        <v>894</v>
      </c>
      <c r="G545" s="20"/>
      <c r="H545" s="20"/>
      <c r="I545" s="20"/>
      <c r="J545" s="20" t="s">
        <v>898</v>
      </c>
      <c r="K545" t="e">
        <f>VLOOKUP(B545,Site!$B$1:$B$5698,2,0)</f>
        <v>#REF!</v>
      </c>
    </row>
    <row r="546" spans="1:11" x14ac:dyDescent="0.25">
      <c r="A546" s="19">
        <v>544</v>
      </c>
      <c r="B546" s="18" t="s">
        <v>449</v>
      </c>
      <c r="C546" s="18" t="s">
        <v>909</v>
      </c>
      <c r="D546" s="22">
        <v>28</v>
      </c>
      <c r="E546" s="18" t="s">
        <v>878</v>
      </c>
      <c r="F546" s="20" t="s">
        <v>897</v>
      </c>
      <c r="G546" s="20"/>
      <c r="H546" s="20"/>
      <c r="I546" s="20"/>
      <c r="J546" s="20" t="s">
        <v>898</v>
      </c>
      <c r="K546" t="e">
        <f>VLOOKUP(B546,Site!$B$1:$B$5698,2,0)</f>
        <v>#REF!</v>
      </c>
    </row>
    <row r="547" spans="1:11" x14ac:dyDescent="0.25">
      <c r="A547" s="19">
        <v>545</v>
      </c>
      <c r="B547" s="18" t="s">
        <v>547</v>
      </c>
      <c r="C547" s="18" t="s">
        <v>883</v>
      </c>
      <c r="D547" s="22">
        <v>0</v>
      </c>
      <c r="E547" s="18" t="s">
        <v>883</v>
      </c>
      <c r="F547" s="20" t="s">
        <v>897</v>
      </c>
      <c r="G547" s="20"/>
      <c r="H547" s="20"/>
      <c r="I547" s="20"/>
      <c r="J547" s="20" t="s">
        <v>898</v>
      </c>
      <c r="K547" t="e">
        <f>VLOOKUP(B547,Site!$B$1:$B$5698,2,0)</f>
        <v>#REF!</v>
      </c>
    </row>
    <row r="548" spans="1:11" x14ac:dyDescent="0.25">
      <c r="A548" s="19">
        <v>546</v>
      </c>
      <c r="B548" s="18" t="s">
        <v>588</v>
      </c>
      <c r="C548" s="18" t="s">
        <v>909</v>
      </c>
      <c r="D548" s="22">
        <v>36</v>
      </c>
      <c r="E548" s="18" t="s">
        <v>910</v>
      </c>
      <c r="F548" s="20" t="s">
        <v>897</v>
      </c>
      <c r="G548" s="20"/>
      <c r="H548" s="20"/>
      <c r="I548" s="20"/>
      <c r="J548" s="20" t="s">
        <v>898</v>
      </c>
      <c r="K548" t="e">
        <f>VLOOKUP(B548,Site!$B$1:$B$5698,2,0)</f>
        <v>#REF!</v>
      </c>
    </row>
    <row r="549" spans="1:11" x14ac:dyDescent="0.25">
      <c r="A549" s="19">
        <v>547</v>
      </c>
      <c r="B549" s="18" t="s">
        <v>546</v>
      </c>
      <c r="C549" s="18" t="s">
        <v>883</v>
      </c>
      <c r="D549" s="22">
        <v>0</v>
      </c>
      <c r="E549" s="18" t="s">
        <v>883</v>
      </c>
      <c r="F549" s="20" t="s">
        <v>897</v>
      </c>
      <c r="G549" s="20"/>
      <c r="H549" s="20"/>
      <c r="I549" s="20"/>
      <c r="J549" s="20" t="s">
        <v>898</v>
      </c>
      <c r="K549" t="e">
        <f>VLOOKUP(B549,Site!$B$1:$B$5698,2,0)</f>
        <v>#REF!</v>
      </c>
    </row>
    <row r="550" spans="1:11" x14ac:dyDescent="0.25">
      <c r="A550" s="19">
        <v>548</v>
      </c>
      <c r="B550" s="18" t="s">
        <v>450</v>
      </c>
      <c r="C550" s="18" t="s">
        <v>909</v>
      </c>
      <c r="D550" s="22">
        <v>24</v>
      </c>
      <c r="E550" s="18" t="s">
        <v>878</v>
      </c>
      <c r="F550" s="20" t="s">
        <v>897</v>
      </c>
      <c r="G550" s="20"/>
      <c r="H550" s="20"/>
      <c r="I550" s="20"/>
      <c r="J550" s="20" t="s">
        <v>898</v>
      </c>
      <c r="K550" t="e">
        <f>VLOOKUP(B550,Site!$B$1:$B$5698,2,0)</f>
        <v>#REF!</v>
      </c>
    </row>
    <row r="551" spans="1:11" x14ac:dyDescent="0.25">
      <c r="A551" s="19">
        <v>549</v>
      </c>
      <c r="B551" s="18" t="s">
        <v>466</v>
      </c>
      <c r="C551" s="18" t="s">
        <v>883</v>
      </c>
      <c r="D551" s="22">
        <v>0</v>
      </c>
      <c r="E551" s="18" t="s">
        <v>883</v>
      </c>
      <c r="F551" s="20" t="s">
        <v>897</v>
      </c>
      <c r="G551" s="20"/>
      <c r="H551" s="20"/>
      <c r="I551" s="20"/>
      <c r="J551" s="20" t="s">
        <v>898</v>
      </c>
      <c r="K551" t="e">
        <f>VLOOKUP(B551,Site!$B$1:$B$5698,2,0)</f>
        <v>#REF!</v>
      </c>
    </row>
    <row r="552" spans="1:11" x14ac:dyDescent="0.25">
      <c r="A552" s="19">
        <v>550</v>
      </c>
      <c r="B552" s="18" t="s">
        <v>465</v>
      </c>
      <c r="C552" s="18" t="s">
        <v>883</v>
      </c>
      <c r="D552" s="22">
        <v>0</v>
      </c>
      <c r="E552" s="18" t="s">
        <v>883</v>
      </c>
      <c r="F552" s="20" t="s">
        <v>897</v>
      </c>
      <c r="G552" s="20"/>
      <c r="H552" s="20"/>
      <c r="I552" s="20"/>
      <c r="J552" s="20" t="s">
        <v>898</v>
      </c>
      <c r="K552" t="e">
        <f>VLOOKUP(B552,Site!$B$1:$B$5698,2,0)</f>
        <v>#REF!</v>
      </c>
    </row>
    <row r="553" spans="1:11" x14ac:dyDescent="0.25">
      <c r="A553" s="19">
        <v>551</v>
      </c>
      <c r="B553" s="18" t="s">
        <v>345</v>
      </c>
      <c r="C553" s="18" t="s">
        <v>903</v>
      </c>
      <c r="D553" s="22">
        <v>45</v>
      </c>
      <c r="E553" s="18" t="s">
        <v>878</v>
      </c>
      <c r="F553" s="20" t="s">
        <v>904</v>
      </c>
      <c r="G553" s="20"/>
      <c r="H553" s="20"/>
      <c r="I553" s="20"/>
      <c r="J553" s="20" t="s">
        <v>905</v>
      </c>
      <c r="K553" t="e">
        <f>VLOOKUP(B553,Site!$B$1:$B$5698,2,0)</f>
        <v>#REF!</v>
      </c>
    </row>
    <row r="554" spans="1:11" x14ac:dyDescent="0.25">
      <c r="A554" s="19">
        <v>552</v>
      </c>
      <c r="B554" s="18" t="s">
        <v>420</v>
      </c>
      <c r="C554" s="18" t="s">
        <v>909</v>
      </c>
      <c r="D554" s="22">
        <v>15</v>
      </c>
      <c r="E554" s="18" t="s">
        <v>843</v>
      </c>
      <c r="F554" s="20" t="s">
        <v>897</v>
      </c>
      <c r="G554" s="20"/>
      <c r="H554" s="20"/>
      <c r="I554" s="20"/>
      <c r="J554" s="20" t="s">
        <v>898</v>
      </c>
      <c r="K554" t="e">
        <f>VLOOKUP(B554,Site!$B$1:$B$5698,2,0)</f>
        <v>#REF!</v>
      </c>
    </row>
    <row r="555" spans="1:11" x14ac:dyDescent="0.25">
      <c r="A555" s="19">
        <v>553</v>
      </c>
      <c r="B555" s="18" t="s">
        <v>7</v>
      </c>
      <c r="C555" s="18" t="s">
        <v>903</v>
      </c>
      <c r="D555" s="22">
        <v>45</v>
      </c>
      <c r="E555" s="18" t="s">
        <v>878</v>
      </c>
      <c r="F555" s="20" t="s">
        <v>904</v>
      </c>
      <c r="G555" s="20"/>
      <c r="H555" s="20"/>
      <c r="I555" s="20"/>
      <c r="J555" s="18" t="s">
        <v>905</v>
      </c>
      <c r="K555" t="e">
        <f>VLOOKUP(B555,Site!$B$1:$B$5698,2,0)</f>
        <v>#REF!</v>
      </c>
    </row>
    <row r="556" spans="1:11" x14ac:dyDescent="0.25">
      <c r="A556" s="19">
        <v>554</v>
      </c>
      <c r="B556" s="18" t="s">
        <v>283</v>
      </c>
      <c r="C556" s="18" t="s">
        <v>903</v>
      </c>
      <c r="D556" s="22">
        <v>45</v>
      </c>
      <c r="E556" s="18" t="s">
        <v>878</v>
      </c>
      <c r="F556" s="20" t="s">
        <v>904</v>
      </c>
      <c r="G556" s="20"/>
      <c r="H556" s="20"/>
      <c r="I556" s="20"/>
      <c r="J556" s="18" t="s">
        <v>905</v>
      </c>
      <c r="K556" t="e">
        <f>VLOOKUP(B556,Site!$B$1:$B$5698,2,0)</f>
        <v>#REF!</v>
      </c>
    </row>
    <row r="557" spans="1:11" x14ac:dyDescent="0.25">
      <c r="A557" s="19">
        <v>555</v>
      </c>
      <c r="B557" s="18" t="s">
        <v>378</v>
      </c>
      <c r="C557" s="18" t="s">
        <v>903</v>
      </c>
      <c r="D557" s="22">
        <v>50</v>
      </c>
      <c r="E557" s="18" t="s">
        <v>878</v>
      </c>
      <c r="F557" s="20" t="s">
        <v>904</v>
      </c>
      <c r="G557" s="20"/>
      <c r="H557" s="20"/>
      <c r="I557" s="20"/>
      <c r="J557" s="20" t="s">
        <v>905</v>
      </c>
      <c r="K557" t="e">
        <f>VLOOKUP(B557,Site!$B$1:$B$5698,2,0)</f>
        <v>#REF!</v>
      </c>
    </row>
    <row r="558" spans="1:11" x14ac:dyDescent="0.25">
      <c r="A558" s="19">
        <v>556</v>
      </c>
      <c r="B558" s="18" t="s">
        <v>294</v>
      </c>
      <c r="C558" s="18" t="s">
        <v>903</v>
      </c>
      <c r="D558" s="22">
        <v>50</v>
      </c>
      <c r="E558" s="18" t="s">
        <v>878</v>
      </c>
      <c r="F558" s="20" t="s">
        <v>897</v>
      </c>
      <c r="G558" s="20"/>
      <c r="H558" s="20"/>
      <c r="I558" s="20"/>
      <c r="J558" s="20" t="s">
        <v>898</v>
      </c>
      <c r="K558" t="e">
        <f>VLOOKUP(B558,Site!$B$1:$B$5698,2,0)</f>
        <v>#REF!</v>
      </c>
    </row>
    <row r="559" spans="1:11" x14ac:dyDescent="0.25">
      <c r="A559" s="19">
        <v>557</v>
      </c>
      <c r="B559" s="18" t="s">
        <v>601</v>
      </c>
      <c r="C559" s="18" t="s">
        <v>911</v>
      </c>
      <c r="D559" s="22">
        <v>6</v>
      </c>
      <c r="E559" s="18" t="s">
        <v>878</v>
      </c>
      <c r="F559" s="20" t="s">
        <v>897</v>
      </c>
      <c r="G559" s="20"/>
      <c r="H559" s="20"/>
      <c r="I559" s="20"/>
      <c r="J559" s="20" t="s">
        <v>898</v>
      </c>
      <c r="K559" t="e">
        <f>VLOOKUP(B559,Site!$B$1:$B$5698,2,0)</f>
        <v>#REF!</v>
      </c>
    </row>
    <row r="560" spans="1:11" x14ac:dyDescent="0.25">
      <c r="A560" s="19">
        <v>558</v>
      </c>
      <c r="B560" s="18" t="s">
        <v>750</v>
      </c>
      <c r="C560" s="18" t="s">
        <v>912</v>
      </c>
      <c r="D560" s="22">
        <v>30</v>
      </c>
      <c r="E560" s="18" t="s">
        <v>843</v>
      </c>
      <c r="F560" s="20" t="s">
        <v>913</v>
      </c>
      <c r="G560" s="20"/>
      <c r="H560" s="20"/>
      <c r="I560" s="20"/>
      <c r="J560" s="20" t="s">
        <v>898</v>
      </c>
      <c r="K560" t="e">
        <f>VLOOKUP(B560,Site!$B$1:$B$5698,2,0)</f>
        <v>#REF!</v>
      </c>
    </row>
    <row r="561" spans="1:11" x14ac:dyDescent="0.25">
      <c r="A561" s="19">
        <v>559</v>
      </c>
      <c r="B561" s="18" t="s">
        <v>752</v>
      </c>
      <c r="C561" s="18" t="s">
        <v>912</v>
      </c>
      <c r="D561" s="22">
        <v>42</v>
      </c>
      <c r="E561" s="18" t="s">
        <v>843</v>
      </c>
      <c r="F561" s="20" t="s">
        <v>913</v>
      </c>
      <c r="G561" s="20"/>
      <c r="H561" s="20"/>
      <c r="I561" s="20"/>
      <c r="J561" s="20" t="s">
        <v>898</v>
      </c>
      <c r="K561" t="e">
        <f>VLOOKUP(B561,Site!$B$1:$B$5698,2,0)</f>
        <v>#REF!</v>
      </c>
    </row>
    <row r="562" spans="1:11" x14ac:dyDescent="0.25">
      <c r="A562" s="19">
        <v>560</v>
      </c>
      <c r="B562" s="18" t="s">
        <v>831</v>
      </c>
      <c r="C562" s="18" t="s">
        <v>912</v>
      </c>
      <c r="D562" s="18">
        <v>42</v>
      </c>
      <c r="E562" s="18" t="s">
        <v>843</v>
      </c>
      <c r="F562" s="20" t="s">
        <v>897</v>
      </c>
      <c r="G562" s="20"/>
      <c r="H562" s="20"/>
      <c r="I562" s="20"/>
      <c r="J562" s="18" t="s">
        <v>898</v>
      </c>
      <c r="K562" t="e">
        <f>VLOOKUP(B562,Site!$B$1:$B$5698,2,0)</f>
        <v>#REF!</v>
      </c>
    </row>
    <row r="563" spans="1:11" x14ac:dyDescent="0.25">
      <c r="A563" s="19">
        <v>561</v>
      </c>
      <c r="B563" s="18" t="s">
        <v>828</v>
      </c>
      <c r="C563" s="18" t="s">
        <v>912</v>
      </c>
      <c r="D563" s="18">
        <v>42</v>
      </c>
      <c r="E563" s="18" t="s">
        <v>843</v>
      </c>
      <c r="F563" s="20" t="s">
        <v>897</v>
      </c>
      <c r="G563" s="20"/>
      <c r="H563" s="20"/>
      <c r="I563" s="20"/>
      <c r="J563" s="18" t="s">
        <v>898</v>
      </c>
      <c r="K563" t="e">
        <f>VLOOKUP(B563,Site!$B$1:$B$5698,2,0)</f>
        <v>#N/A</v>
      </c>
    </row>
    <row r="564" spans="1:11" x14ac:dyDescent="0.25">
      <c r="A564" s="19">
        <v>562</v>
      </c>
      <c r="B564" s="18" t="s">
        <v>816</v>
      </c>
      <c r="C564" s="18" t="s">
        <v>914</v>
      </c>
      <c r="D564" s="22">
        <v>6</v>
      </c>
      <c r="E564" s="18" t="s">
        <v>915</v>
      </c>
      <c r="F564" s="20" t="s">
        <v>897</v>
      </c>
      <c r="G564" s="20"/>
      <c r="H564" s="20"/>
      <c r="I564" s="20"/>
      <c r="J564" s="18" t="s">
        <v>898</v>
      </c>
      <c r="K564" t="e">
        <f>VLOOKUP(B564,Site!$B$1:$B$5698,2,0)</f>
        <v>#REF!</v>
      </c>
    </row>
    <row r="565" spans="1:11" x14ac:dyDescent="0.25">
      <c r="A565" s="19">
        <v>563</v>
      </c>
      <c r="B565" s="18" t="s">
        <v>821</v>
      </c>
      <c r="C565" s="18" t="s">
        <v>912</v>
      </c>
      <c r="D565" s="18">
        <v>42</v>
      </c>
      <c r="E565" s="18" t="s">
        <v>843</v>
      </c>
      <c r="F565" s="20" t="s">
        <v>897</v>
      </c>
      <c r="G565" s="20"/>
      <c r="H565" s="20"/>
      <c r="I565" s="20"/>
      <c r="J565" s="18" t="s">
        <v>898</v>
      </c>
      <c r="K565" t="e">
        <f>VLOOKUP(B565,Site!$B$1:$B$5698,2,0)</f>
        <v>#REF!</v>
      </c>
    </row>
    <row r="566" spans="1:11" x14ac:dyDescent="0.25">
      <c r="A566" s="19">
        <v>564</v>
      </c>
      <c r="B566" s="18" t="s">
        <v>824</v>
      </c>
      <c r="C566" s="18" t="s">
        <v>912</v>
      </c>
      <c r="D566" s="18">
        <v>42</v>
      </c>
      <c r="E566" s="18" t="s">
        <v>843</v>
      </c>
      <c r="F566" s="20" t="s">
        <v>897</v>
      </c>
      <c r="G566" s="20"/>
      <c r="H566" s="20"/>
      <c r="I566" s="20"/>
      <c r="J566" s="18" t="s">
        <v>898</v>
      </c>
      <c r="K566" t="e">
        <f>VLOOKUP(B566,Site!$B$1:$B$5698,2,0)</f>
        <v>#REF!</v>
      </c>
    </row>
    <row r="567" spans="1:11" x14ac:dyDescent="0.25">
      <c r="A567" s="19">
        <v>565</v>
      </c>
      <c r="B567" s="18" t="s">
        <v>830</v>
      </c>
      <c r="C567" s="18" t="s">
        <v>912</v>
      </c>
      <c r="D567" s="18">
        <v>42</v>
      </c>
      <c r="E567" s="18" t="s">
        <v>843</v>
      </c>
      <c r="F567" s="20" t="s">
        <v>897</v>
      </c>
      <c r="G567" s="20"/>
      <c r="H567" s="20"/>
      <c r="I567" s="20"/>
      <c r="J567" s="18" t="s">
        <v>898</v>
      </c>
      <c r="K567" t="e">
        <f>VLOOKUP(B567,Site!$B$1:$B$5698,2,0)</f>
        <v>#REF!</v>
      </c>
    </row>
    <row r="568" spans="1:11" x14ac:dyDescent="0.25">
      <c r="A568" s="19">
        <v>566</v>
      </c>
      <c r="B568" s="15" t="s">
        <v>844</v>
      </c>
      <c r="C568" s="23" t="s">
        <v>903</v>
      </c>
      <c r="D568" s="23" t="e">
        <f>VLOOKUP($B568,Site!$B$2:$N$1568,20,0)</f>
        <v>#REF!</v>
      </c>
      <c r="E568" s="23" t="e">
        <f>VLOOKUP($B568,Site!$B$2:$N$1568,19,0)</f>
        <v>#REF!</v>
      </c>
      <c r="F568" s="20" t="s">
        <v>897</v>
      </c>
      <c r="G568" s="2"/>
      <c r="H568" s="2"/>
      <c r="I568" s="2"/>
      <c r="J568" s="18" t="s">
        <v>898</v>
      </c>
    </row>
    <row r="569" spans="1:11" x14ac:dyDescent="0.25">
      <c r="A569" s="19">
        <v>567</v>
      </c>
      <c r="B569" s="15" t="s">
        <v>829</v>
      </c>
      <c r="C569" s="23" t="s">
        <v>912</v>
      </c>
      <c r="D569" s="23" t="e">
        <f>VLOOKUP(B569,Site!$B$2:$N$1568,20,0)</f>
        <v>#REF!</v>
      </c>
      <c r="E569" s="23" t="e">
        <f>VLOOKUP($B569,Site!$B$2:$N$1568,19,0)</f>
        <v>#REF!</v>
      </c>
      <c r="F569" s="20" t="s">
        <v>897</v>
      </c>
      <c r="G569" s="2"/>
      <c r="H569" s="2"/>
      <c r="I569" s="2"/>
      <c r="J569" s="18" t="s">
        <v>898</v>
      </c>
    </row>
    <row r="570" spans="1:11" x14ac:dyDescent="0.25">
      <c r="A570" s="19">
        <v>568</v>
      </c>
      <c r="B570" s="15" t="s">
        <v>845</v>
      </c>
      <c r="C570" s="23" t="s">
        <v>912</v>
      </c>
      <c r="D570" s="23" t="e">
        <f>VLOOKUP(B570,Site!$B$2:$N$1568,20,0)</f>
        <v>#REF!</v>
      </c>
      <c r="E570" s="23" t="e">
        <f>VLOOKUP($B570,Site!$B$2:$N$1568,19,0)</f>
        <v>#REF!</v>
      </c>
      <c r="F570" s="20" t="s">
        <v>897</v>
      </c>
      <c r="G570" s="2"/>
      <c r="H570" s="2"/>
      <c r="I570" s="2"/>
      <c r="J570" s="18" t="s">
        <v>898</v>
      </c>
    </row>
    <row r="571" spans="1:11" x14ac:dyDescent="0.25">
      <c r="A571" s="19">
        <v>569</v>
      </c>
      <c r="B571" s="15" t="s">
        <v>846</v>
      </c>
      <c r="C571" s="23" t="s">
        <v>912</v>
      </c>
      <c r="D571" s="23" t="e">
        <f>VLOOKUP(B571,Site!$B$2:$N$1568,20,0)</f>
        <v>#REF!</v>
      </c>
      <c r="E571" s="23" t="e">
        <f>VLOOKUP($B571,Site!$B$2:$N$1568,19,0)</f>
        <v>#REF!</v>
      </c>
      <c r="F571" s="20" t="s">
        <v>897</v>
      </c>
      <c r="G571" s="2"/>
      <c r="H571" s="2"/>
      <c r="I571" s="2"/>
      <c r="J571" s="18" t="s">
        <v>898</v>
      </c>
    </row>
    <row r="572" spans="1:11" x14ac:dyDescent="0.25">
      <c r="A572" s="19">
        <v>570</v>
      </c>
      <c r="B572" s="15" t="s">
        <v>847</v>
      </c>
      <c r="C572" s="23" t="s">
        <v>912</v>
      </c>
      <c r="D572" s="23" t="e">
        <f>VLOOKUP(B572,Site!$B$2:$N$1568,20,0)</f>
        <v>#REF!</v>
      </c>
      <c r="E572" s="23" t="e">
        <f>VLOOKUP($B572,Site!$B$2:$N$1568,19,0)</f>
        <v>#REF!</v>
      </c>
      <c r="F572" s="20" t="s">
        <v>897</v>
      </c>
      <c r="G572" s="2"/>
      <c r="H572" s="2"/>
      <c r="I572" s="2"/>
      <c r="J572" s="18" t="s">
        <v>898</v>
      </c>
    </row>
    <row r="573" spans="1:11" x14ac:dyDescent="0.25">
      <c r="A573" s="19">
        <v>571</v>
      </c>
      <c r="B573" s="15" t="s">
        <v>848</v>
      </c>
      <c r="C573" s="23" t="s">
        <v>912</v>
      </c>
      <c r="D573" s="23" t="e">
        <f>VLOOKUP(B573,Site!$B$2:$N$1568,20,0)</f>
        <v>#REF!</v>
      </c>
      <c r="E573" s="23" t="e">
        <f>VLOOKUP($B573,Site!$B$2:$N$1568,19,0)</f>
        <v>#REF!</v>
      </c>
      <c r="F573" s="20" t="s">
        <v>897</v>
      </c>
      <c r="G573" s="2"/>
      <c r="H573" s="2"/>
      <c r="I573" s="2"/>
      <c r="J573" s="18" t="s">
        <v>898</v>
      </c>
    </row>
    <row r="574" spans="1:11" x14ac:dyDescent="0.25">
      <c r="A574" s="19">
        <v>572</v>
      </c>
      <c r="B574" s="15" t="s">
        <v>849</v>
      </c>
      <c r="C574" s="23" t="s">
        <v>912</v>
      </c>
      <c r="D574" s="23" t="e">
        <f>VLOOKUP(B574,Site!$B$2:$N$1568,20,0)</f>
        <v>#REF!</v>
      </c>
      <c r="E574" s="23" t="e">
        <f>VLOOKUP($B574,Site!$B$2:$N$1568,19,0)</f>
        <v>#REF!</v>
      </c>
      <c r="F574" s="20" t="s">
        <v>897</v>
      </c>
      <c r="G574" s="2"/>
      <c r="H574" s="2"/>
      <c r="I574" s="2"/>
      <c r="J574" s="18" t="s">
        <v>898</v>
      </c>
    </row>
    <row r="575" spans="1:11" x14ac:dyDescent="0.25">
      <c r="A575" s="19">
        <v>573</v>
      </c>
      <c r="B575" s="15" t="s">
        <v>850</v>
      </c>
      <c r="C575" s="23" t="s">
        <v>912</v>
      </c>
      <c r="D575" s="23" t="e">
        <f>VLOOKUP(B575,Site!$B$2:$N$1568,20,0)</f>
        <v>#REF!</v>
      </c>
      <c r="E575" s="23" t="e">
        <f>VLOOKUP($B575,Site!$B$2:$N$1568,19,0)</f>
        <v>#REF!</v>
      </c>
      <c r="F575" s="20" t="s">
        <v>897</v>
      </c>
      <c r="G575" s="2"/>
      <c r="H575" s="2"/>
      <c r="I575" s="2"/>
      <c r="J575" s="18" t="s">
        <v>898</v>
      </c>
    </row>
    <row r="576" spans="1:11" x14ac:dyDescent="0.25">
      <c r="A576" s="19">
        <v>574</v>
      </c>
      <c r="B576" s="15" t="s">
        <v>851</v>
      </c>
      <c r="C576" s="23" t="s">
        <v>912</v>
      </c>
      <c r="D576" s="23" t="e">
        <f>VLOOKUP(B576,Site!$B$2:$N$1568,20,0)</f>
        <v>#REF!</v>
      </c>
      <c r="E576" s="23" t="e">
        <f>VLOOKUP($B576,Site!$B$2:$N$1568,19,0)</f>
        <v>#REF!</v>
      </c>
      <c r="F576" s="20" t="s">
        <v>897</v>
      </c>
      <c r="G576" s="2"/>
      <c r="H576" s="2"/>
      <c r="I576" s="2"/>
      <c r="J576" s="18" t="s">
        <v>898</v>
      </c>
    </row>
    <row r="577" spans="1:10" x14ac:dyDescent="0.25">
      <c r="A577" s="19">
        <v>575</v>
      </c>
      <c r="B577" s="15" t="s">
        <v>852</v>
      </c>
      <c r="C577" s="23" t="s">
        <v>912</v>
      </c>
      <c r="D577" s="23" t="e">
        <f>VLOOKUP(B577,Site!$B$2:$N$1568,20,0)</f>
        <v>#REF!</v>
      </c>
      <c r="E577" s="23" t="e">
        <f>VLOOKUP($B577,Site!$B$2:$N$1568,19,0)</f>
        <v>#REF!</v>
      </c>
      <c r="F577" s="20" t="s">
        <v>897</v>
      </c>
      <c r="G577" s="2"/>
      <c r="H577" s="2"/>
      <c r="I577" s="2"/>
      <c r="J577" s="18" t="s">
        <v>898</v>
      </c>
    </row>
    <row r="578" spans="1:10" x14ac:dyDescent="0.25">
      <c r="A578" s="19">
        <v>576</v>
      </c>
      <c r="B578" s="15" t="s">
        <v>853</v>
      </c>
      <c r="C578" s="23" t="s">
        <v>912</v>
      </c>
      <c r="D578" s="23" t="e">
        <f>VLOOKUP(B578,Site!$B$2:$N$1568,20,0)</f>
        <v>#REF!</v>
      </c>
      <c r="E578" s="23" t="e">
        <f>VLOOKUP($B578,Site!$B$2:$N$1568,19,0)</f>
        <v>#REF!</v>
      </c>
      <c r="F578" s="20" t="s">
        <v>897</v>
      </c>
      <c r="G578" s="2"/>
      <c r="H578" s="2"/>
      <c r="I578" s="2"/>
      <c r="J578" s="18" t="s">
        <v>898</v>
      </c>
    </row>
    <row r="579" spans="1:10" x14ac:dyDescent="0.25">
      <c r="A579" s="19">
        <v>577</v>
      </c>
      <c r="B579" s="15" t="s">
        <v>854</v>
      </c>
      <c r="C579" s="23" t="s">
        <v>912</v>
      </c>
      <c r="D579" s="23" t="e">
        <f>VLOOKUP(B579,Site!$B$2:$N$1568,20,0)</f>
        <v>#REF!</v>
      </c>
      <c r="E579" s="23" t="e">
        <f>VLOOKUP($B579,Site!$B$2:$N$1568,19,0)</f>
        <v>#REF!</v>
      </c>
      <c r="F579" s="20" t="s">
        <v>897</v>
      </c>
      <c r="G579" s="2"/>
      <c r="H579" s="2"/>
      <c r="I579" s="2"/>
      <c r="J579" s="18" t="s">
        <v>898</v>
      </c>
    </row>
    <row r="580" spans="1:10" x14ac:dyDescent="0.25">
      <c r="A580" s="19">
        <v>578</v>
      </c>
      <c r="B580" s="15" t="s">
        <v>855</v>
      </c>
      <c r="C580" s="23" t="s">
        <v>912</v>
      </c>
      <c r="D580" s="23" t="e">
        <f>VLOOKUP(B580,Site!$B$2:$N$1568,20,0)</f>
        <v>#REF!</v>
      </c>
      <c r="E580" s="23" t="e">
        <f>VLOOKUP($B580,Site!$B$2:$N$1568,19,0)</f>
        <v>#REF!</v>
      </c>
      <c r="F580" s="20" t="s">
        <v>897</v>
      </c>
      <c r="G580" s="2"/>
      <c r="H580" s="2"/>
      <c r="I580" s="2"/>
      <c r="J580" s="18" t="s">
        <v>898</v>
      </c>
    </row>
    <row r="581" spans="1:10" x14ac:dyDescent="0.25">
      <c r="A581" s="19">
        <v>579</v>
      </c>
      <c r="B581" s="15" t="s">
        <v>856</v>
      </c>
      <c r="C581" s="23" t="s">
        <v>912</v>
      </c>
      <c r="D581" s="23" t="e">
        <f>VLOOKUP(B581,Site!$B$2:$N$1568,20,0)</f>
        <v>#REF!</v>
      </c>
      <c r="E581" s="23" t="e">
        <f>VLOOKUP($B581,Site!$B$2:$N$1568,19,0)</f>
        <v>#REF!</v>
      </c>
      <c r="F581" s="20" t="s">
        <v>897</v>
      </c>
      <c r="G581" s="2"/>
      <c r="H581" s="2"/>
      <c r="I581" s="2"/>
      <c r="J581" s="18" t="s">
        <v>898</v>
      </c>
    </row>
    <row r="582" spans="1:10" x14ac:dyDescent="0.25">
      <c r="A582" s="19">
        <v>580</v>
      </c>
      <c r="B582" s="15" t="s">
        <v>857</v>
      </c>
      <c r="C582" s="23" t="s">
        <v>912</v>
      </c>
      <c r="D582" s="23" t="e">
        <f>VLOOKUP(B582,Site!$B$2:$N$1568,20,0)</f>
        <v>#REF!</v>
      </c>
      <c r="E582" s="23" t="e">
        <f>VLOOKUP($B582,Site!$B$2:$N$1568,19,0)</f>
        <v>#REF!</v>
      </c>
      <c r="F582" s="20" t="s">
        <v>897</v>
      </c>
      <c r="G582" s="2"/>
      <c r="H582" s="2"/>
      <c r="I582" s="2"/>
      <c r="J582" s="18" t="s">
        <v>898</v>
      </c>
    </row>
    <row r="583" spans="1:10" x14ac:dyDescent="0.25">
      <c r="A583" s="19">
        <v>581</v>
      </c>
      <c r="B583" s="15" t="s">
        <v>858</v>
      </c>
      <c r="C583" s="23" t="s">
        <v>912</v>
      </c>
      <c r="D583" s="23" t="e">
        <f>VLOOKUP(B583,Site!$B$2:$N$1568,20,0)</f>
        <v>#REF!</v>
      </c>
      <c r="E583" s="23" t="e">
        <f>VLOOKUP($B583,Site!$B$2:$N$1568,19,0)</f>
        <v>#REF!</v>
      </c>
      <c r="F583" s="20" t="s">
        <v>897</v>
      </c>
      <c r="G583" s="2"/>
      <c r="H583" s="2"/>
      <c r="I583" s="2"/>
      <c r="J583" s="18" t="s">
        <v>898</v>
      </c>
    </row>
    <row r="584" spans="1:10" x14ac:dyDescent="0.25">
      <c r="A584" s="19">
        <v>582</v>
      </c>
      <c r="B584" s="15" t="s">
        <v>859</v>
      </c>
      <c r="C584" s="23" t="s">
        <v>912</v>
      </c>
      <c r="D584" s="23" t="e">
        <f>VLOOKUP(B584,Site!$B$2:$N$1568,20,0)</f>
        <v>#REF!</v>
      </c>
      <c r="E584" s="23" t="e">
        <f>VLOOKUP($B584,Site!$B$2:$N$1568,19,0)</f>
        <v>#REF!</v>
      </c>
      <c r="F584" s="20" t="s">
        <v>897</v>
      </c>
      <c r="G584" s="2"/>
      <c r="H584" s="2"/>
      <c r="I584" s="2"/>
      <c r="J584" s="18" t="s">
        <v>898</v>
      </c>
    </row>
    <row r="585" spans="1:10" x14ac:dyDescent="0.25">
      <c r="A585" s="19">
        <v>583</v>
      </c>
      <c r="B585" s="15" t="s">
        <v>860</v>
      </c>
      <c r="C585" s="23" t="s">
        <v>912</v>
      </c>
      <c r="D585" s="23" t="e">
        <f>VLOOKUP(B585,Site!$B$2:$N$1568,20,0)</f>
        <v>#REF!</v>
      </c>
      <c r="E585" s="23" t="e">
        <f>VLOOKUP($B585,Site!$B$2:$N$1568,19,0)</f>
        <v>#REF!</v>
      </c>
      <c r="F585" s="20" t="s">
        <v>897</v>
      </c>
      <c r="G585" s="2"/>
      <c r="H585" s="2"/>
      <c r="I585" s="2"/>
      <c r="J585" s="18" t="s">
        <v>898</v>
      </c>
    </row>
    <row r="586" spans="1:10" x14ac:dyDescent="0.25">
      <c r="A586" s="19">
        <v>584</v>
      </c>
      <c r="B586" s="15" t="s">
        <v>861</v>
      </c>
      <c r="C586" s="23" t="s">
        <v>912</v>
      </c>
      <c r="D586" s="23" t="e">
        <f>VLOOKUP(B586,Site!$B$2:$N$1568,20,0)</f>
        <v>#REF!</v>
      </c>
      <c r="E586" s="23" t="e">
        <f>VLOOKUP($B586,Site!$B$2:$N$1568,19,0)</f>
        <v>#REF!</v>
      </c>
      <c r="F586" s="20" t="s">
        <v>897</v>
      </c>
      <c r="G586" s="2"/>
      <c r="H586" s="2"/>
      <c r="I586" s="2"/>
      <c r="J586" s="18" t="s">
        <v>898</v>
      </c>
    </row>
    <row r="587" spans="1:10" x14ac:dyDescent="0.25">
      <c r="A587" s="19">
        <v>585</v>
      </c>
      <c r="B587" s="15" t="s">
        <v>862</v>
      </c>
      <c r="C587" s="23" t="s">
        <v>912</v>
      </c>
      <c r="D587" s="23" t="e">
        <f>VLOOKUP(B587,Site!$B$2:$N$1568,20,0)</f>
        <v>#REF!</v>
      </c>
      <c r="E587" s="23" t="e">
        <f>VLOOKUP($B587,Site!$B$2:$N$1568,19,0)</f>
        <v>#REF!</v>
      </c>
      <c r="F587" s="20" t="s">
        <v>897</v>
      </c>
      <c r="G587" s="2"/>
      <c r="H587" s="2"/>
      <c r="I587" s="2"/>
      <c r="J587" s="18" t="s">
        <v>898</v>
      </c>
    </row>
    <row r="588" spans="1:10" x14ac:dyDescent="0.25">
      <c r="A588" s="19">
        <v>586</v>
      </c>
      <c r="B588" s="15" t="s">
        <v>863</v>
      </c>
      <c r="C588" s="23" t="s">
        <v>912</v>
      </c>
      <c r="D588" s="23" t="e">
        <f>VLOOKUP(B588,Site!$B$2:$N$1568,20,0)</f>
        <v>#REF!</v>
      </c>
      <c r="E588" s="23" t="e">
        <f>VLOOKUP($B588,Site!$B$2:$N$1568,19,0)</f>
        <v>#REF!</v>
      </c>
      <c r="F588" s="20" t="s">
        <v>897</v>
      </c>
      <c r="G588" s="2"/>
      <c r="H588" s="2"/>
      <c r="I588" s="2"/>
      <c r="J588" s="18" t="s">
        <v>898</v>
      </c>
    </row>
    <row r="589" spans="1:10" x14ac:dyDescent="0.25">
      <c r="A589" s="19">
        <v>587</v>
      </c>
      <c r="B589" s="15" t="s">
        <v>864</v>
      </c>
      <c r="C589" s="23" t="s">
        <v>912</v>
      </c>
      <c r="D589" s="23" t="e">
        <f>VLOOKUP(B589,Site!$B$2:$N$1568,20,0)</f>
        <v>#REF!</v>
      </c>
      <c r="E589" s="23" t="e">
        <f>VLOOKUP($B589,Site!$B$2:$N$1568,19,0)</f>
        <v>#REF!</v>
      </c>
      <c r="F589" s="20" t="s">
        <v>897</v>
      </c>
      <c r="G589" s="2"/>
      <c r="H589" s="2"/>
      <c r="I589" s="2"/>
      <c r="J589" s="18" t="s">
        <v>898</v>
      </c>
    </row>
    <row r="590" spans="1:10" x14ac:dyDescent="0.25">
      <c r="A590" s="19">
        <v>588</v>
      </c>
      <c r="B590" s="17" t="s">
        <v>866</v>
      </c>
      <c r="C590" s="23" t="s">
        <v>912</v>
      </c>
      <c r="D590" s="23" t="e">
        <f>VLOOKUP(B590,Site!$B$2:$N$1568,20,0)</f>
        <v>#REF!</v>
      </c>
      <c r="E590" s="23" t="e">
        <f>VLOOKUP($B590,Site!$B$2:$N$1568,19,0)</f>
        <v>#REF!</v>
      </c>
      <c r="F590" s="20" t="s">
        <v>897</v>
      </c>
      <c r="G590" s="2"/>
      <c r="H590" s="2"/>
      <c r="I590" s="2"/>
      <c r="J590" s="18" t="s">
        <v>898</v>
      </c>
    </row>
    <row r="591" spans="1:10" x14ac:dyDescent="0.25">
      <c r="A591" s="19">
        <v>589</v>
      </c>
      <c r="B591" s="17" t="s">
        <v>868</v>
      </c>
      <c r="C591" s="23" t="s">
        <v>912</v>
      </c>
      <c r="D591" s="23" t="e">
        <f>VLOOKUP(B591,Site!$B$2:$N$1568,20,0)</f>
        <v>#REF!</v>
      </c>
      <c r="E591" s="23" t="e">
        <f>VLOOKUP($B591,Site!$B$2:$N$1568,19,0)</f>
        <v>#REF!</v>
      </c>
      <c r="F591" s="20" t="s">
        <v>897</v>
      </c>
      <c r="G591" s="2"/>
      <c r="H591" s="2"/>
      <c r="I591" s="2"/>
      <c r="J591" s="18" t="s">
        <v>898</v>
      </c>
    </row>
    <row r="592" spans="1:10" x14ac:dyDescent="0.25">
      <c r="A592" s="19">
        <v>590</v>
      </c>
      <c r="B592" s="17" t="s">
        <v>869</v>
      </c>
      <c r="C592" s="23" t="s">
        <v>912</v>
      </c>
      <c r="D592" s="23" t="e">
        <f>VLOOKUP(B592,Site!$B$2:$N$1568,20,0)</f>
        <v>#REF!</v>
      </c>
      <c r="E592" s="23" t="e">
        <f>VLOOKUP($B592,Site!$B$2:$N$1568,19,0)</f>
        <v>#REF!</v>
      </c>
      <c r="F592" s="20" t="s">
        <v>897</v>
      </c>
      <c r="G592" s="2"/>
      <c r="H592" s="2"/>
      <c r="I592" s="2"/>
      <c r="J592" s="18" t="s">
        <v>898</v>
      </c>
    </row>
    <row r="593" spans="1:10" x14ac:dyDescent="0.25">
      <c r="A593" s="19">
        <v>591</v>
      </c>
      <c r="B593" s="17" t="s">
        <v>867</v>
      </c>
      <c r="C593" s="23" t="s">
        <v>912</v>
      </c>
      <c r="D593" s="23" t="e">
        <f>VLOOKUP(B593,Site!$B$2:$N$1568,20,0)</f>
        <v>#REF!</v>
      </c>
      <c r="E593" s="23" t="e">
        <f>VLOOKUP($B593,Site!$B$2:$N$1568,19,0)</f>
        <v>#REF!</v>
      </c>
      <c r="F593" s="20" t="s">
        <v>897</v>
      </c>
      <c r="G593" s="2"/>
      <c r="H593" s="2"/>
      <c r="I593" s="2"/>
      <c r="J593" s="18" t="s">
        <v>898</v>
      </c>
    </row>
    <row r="594" spans="1:10" x14ac:dyDescent="0.25">
      <c r="A594" s="19">
        <v>592</v>
      </c>
      <c r="B594" s="17" t="s">
        <v>871</v>
      </c>
      <c r="C594" s="23" t="s">
        <v>912</v>
      </c>
      <c r="D594" s="23" t="e">
        <f>VLOOKUP(B594,Site!$B$2:$N$1568,20,0)</f>
        <v>#REF!</v>
      </c>
      <c r="E594" s="23" t="e">
        <f>VLOOKUP($B594,Site!$B$2:$N$1568,19,0)</f>
        <v>#REF!</v>
      </c>
      <c r="F594" s="20" t="s">
        <v>897</v>
      </c>
      <c r="G594" s="2"/>
      <c r="H594" s="2"/>
      <c r="I594" s="2"/>
      <c r="J594" s="18" t="s">
        <v>898</v>
      </c>
    </row>
    <row r="595" spans="1:10" x14ac:dyDescent="0.25">
      <c r="A595" s="19">
        <v>593</v>
      </c>
      <c r="B595" s="17" t="s">
        <v>872</v>
      </c>
      <c r="C595" s="23" t="s">
        <v>912</v>
      </c>
      <c r="D595" s="23" t="e">
        <f>VLOOKUP(B595,Site!$B$2:$N$1568,20,0)</f>
        <v>#REF!</v>
      </c>
      <c r="E595" s="23" t="e">
        <f>VLOOKUP($B595,Site!$B$2:$N$1568,19,0)</f>
        <v>#REF!</v>
      </c>
      <c r="F595" s="20" t="s">
        <v>897</v>
      </c>
      <c r="G595" s="2"/>
      <c r="H595" s="2"/>
      <c r="I595" s="2"/>
      <c r="J595" s="18" t="s">
        <v>898</v>
      </c>
    </row>
    <row r="596" spans="1:10" x14ac:dyDescent="0.25">
      <c r="A596" s="19">
        <v>594</v>
      </c>
      <c r="B596" s="17" t="s">
        <v>870</v>
      </c>
      <c r="C596" s="23" t="s">
        <v>912</v>
      </c>
      <c r="D596" s="23" t="e">
        <f>VLOOKUP(B596,Site!$B$2:$N$1568,20,0)</f>
        <v>#REF!</v>
      </c>
      <c r="E596" s="23" t="e">
        <f>VLOOKUP($B596,Site!$B$2:$N$1568,19,0)</f>
        <v>#REF!</v>
      </c>
      <c r="F596" s="20" t="s">
        <v>897</v>
      </c>
      <c r="G596" s="2"/>
      <c r="H596" s="2"/>
      <c r="I596" s="2"/>
      <c r="J596" s="18" t="s">
        <v>898</v>
      </c>
    </row>
    <row r="597" spans="1:10" ht="15.75" x14ac:dyDescent="0.25">
      <c r="A597" s="19">
        <v>595</v>
      </c>
      <c r="B597" s="16" t="s">
        <v>865</v>
      </c>
      <c r="C597" s="23" t="s">
        <v>912</v>
      </c>
      <c r="D597" s="23" t="e">
        <f>VLOOKUP(B597,Site!$B$2:$N$1568,20,0)</f>
        <v>#REF!</v>
      </c>
      <c r="E597" s="23" t="e">
        <f>VLOOKUP($B597,Site!$B$2:$N$1568,19,0)</f>
        <v>#REF!</v>
      </c>
      <c r="F597" s="20" t="s">
        <v>897</v>
      </c>
      <c r="G597" s="2"/>
      <c r="H597" s="2"/>
      <c r="I597" s="2"/>
      <c r="J597" s="18" t="s">
        <v>898</v>
      </c>
    </row>
    <row r="598" spans="1:10" ht="15.75" x14ac:dyDescent="0.25">
      <c r="A598" s="19">
        <v>596</v>
      </c>
      <c r="B598" s="16" t="s">
        <v>873</v>
      </c>
      <c r="C598" s="23" t="s">
        <v>912</v>
      </c>
      <c r="D598" s="23" t="e">
        <f>VLOOKUP(B598,Site!$B$2:$N$1568,20,0)</f>
        <v>#REF!</v>
      </c>
      <c r="E598" s="23" t="e">
        <f>VLOOKUP($B598,Site!$B$2:$N$1568,19,0)</f>
        <v>#REF!</v>
      </c>
      <c r="F598" s="20" t="s">
        <v>898</v>
      </c>
      <c r="G598" s="2"/>
      <c r="H598" s="2"/>
      <c r="I598" s="2"/>
      <c r="J598" s="18" t="s">
        <v>898</v>
      </c>
    </row>
    <row r="599" spans="1:10" ht="15.75" x14ac:dyDescent="0.25">
      <c r="A599" s="19">
        <v>597</v>
      </c>
      <c r="B599" s="16" t="s">
        <v>874</v>
      </c>
      <c r="C599" s="23" t="s">
        <v>912</v>
      </c>
      <c r="D599" s="23" t="e">
        <f>VLOOKUP(B599,Site!$B$2:$N$1568,20,0)</f>
        <v>#REF!</v>
      </c>
      <c r="E599" s="23" t="e">
        <f>VLOOKUP($B599,Site!$B$2:$N$1568,19,0)</f>
        <v>#REF!</v>
      </c>
      <c r="F599" s="20" t="s">
        <v>897</v>
      </c>
      <c r="G599" s="2"/>
      <c r="H599" s="2"/>
      <c r="I599" s="2"/>
      <c r="J599" s="18" t="s">
        <v>898</v>
      </c>
    </row>
    <row r="600" spans="1:10" ht="15.75" x14ac:dyDescent="0.25">
      <c r="A600" s="19">
        <v>598</v>
      </c>
      <c r="B600" s="16" t="s">
        <v>876</v>
      </c>
      <c r="C600" s="23" t="s">
        <v>912</v>
      </c>
      <c r="D600" s="23" t="e">
        <f>VLOOKUP(B600,Site!$B$2:$N$1568,20,0)</f>
        <v>#REF!</v>
      </c>
      <c r="E600" s="23" t="e">
        <f>VLOOKUP($B600,Site!$B$2:$N$1568,19,0)</f>
        <v>#REF!</v>
      </c>
      <c r="F600" s="20" t="s">
        <v>897</v>
      </c>
      <c r="G600" s="2"/>
      <c r="H600" s="2"/>
      <c r="I600" s="2"/>
      <c r="J600" s="18" t="s">
        <v>898</v>
      </c>
    </row>
    <row r="601" spans="1:10" ht="15.75" x14ac:dyDescent="0.25">
      <c r="A601" s="19">
        <v>599</v>
      </c>
      <c r="B601" s="16" t="s">
        <v>875</v>
      </c>
      <c r="C601" s="23" t="s">
        <v>912</v>
      </c>
      <c r="D601" s="23" t="e">
        <f>VLOOKUP(B601,Site!$B$2:$N$1568,20,0)</f>
        <v>#REF!</v>
      </c>
      <c r="E601" s="23" t="e">
        <f>VLOOKUP($B601,Site!$B$2:$N$1568,19,0)</f>
        <v>#REF!</v>
      </c>
      <c r="F601" s="20" t="s">
        <v>897</v>
      </c>
      <c r="G601" s="2"/>
      <c r="H601" s="2"/>
      <c r="I601" s="2"/>
      <c r="J601" s="18" t="s">
        <v>898</v>
      </c>
    </row>
  </sheetData>
  <autoFilter ref="A2:K601" xr:uid="{FE5424F2-F361-40EC-8912-D153AB7C7F7B}"/>
  <mergeCells count="9">
    <mergeCell ref="H1:H2"/>
    <mergeCell ref="I1:I2"/>
    <mergeCell ref="J1:J2"/>
    <mergeCell ref="A1:A2"/>
    <mergeCell ref="B1:B2"/>
    <mergeCell ref="C1:C2"/>
    <mergeCell ref="D1:D2"/>
    <mergeCell ref="E1:E2"/>
    <mergeCell ref="G1:G2"/>
  </mergeCells>
  <conditionalFormatting sqref="B568:B589">
    <cfRule type="duplicateValues" dxfId="9" priority="5"/>
  </conditionalFormatting>
  <conditionalFormatting sqref="B590:B596">
    <cfRule type="duplicateValues" dxfId="8" priority="1"/>
    <cfRule type="duplicateValues" dxfId="7" priority="2"/>
    <cfRule type="duplicateValues" dxfId="6" priority="3"/>
    <cfRule type="duplicateValues" dxfId="5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C487-3FC6-48D9-89A3-AD0403D82B5C}">
  <dimension ref="A1:L600"/>
  <sheetViews>
    <sheetView workbookViewId="0">
      <selection activeCell="I572" sqref="I572"/>
    </sheetView>
  </sheetViews>
  <sheetFormatPr defaultRowHeight="15" x14ac:dyDescent="0.25"/>
  <cols>
    <col min="1" max="1" width="5" bestFit="1" customWidth="1"/>
    <col min="2" max="2" width="9.85546875" bestFit="1" customWidth="1"/>
    <col min="3" max="3" width="30.140625" bestFit="1" customWidth="1"/>
    <col min="4" max="4" width="15.85546875" bestFit="1" customWidth="1"/>
    <col min="5" max="5" width="16.140625" bestFit="1" customWidth="1"/>
    <col min="6" max="6" width="24.140625" bestFit="1" customWidth="1"/>
    <col min="7" max="7" width="8.5703125" bestFit="1" customWidth="1"/>
    <col min="8" max="8" width="10.85546875" bestFit="1" customWidth="1"/>
    <col min="9" max="9" width="16.140625" bestFit="1" customWidth="1"/>
    <col min="10" max="10" width="12.28515625" bestFit="1" customWidth="1"/>
    <col min="11" max="11" width="14.7109375" bestFit="1" customWidth="1"/>
    <col min="12" max="12" width="13.7109375" customWidth="1"/>
  </cols>
  <sheetData>
    <row r="1" spans="1:12" ht="28.5" x14ac:dyDescent="0.25">
      <c r="A1" s="24" t="s">
        <v>0</v>
      </c>
      <c r="B1" s="24" t="s">
        <v>1413</v>
      </c>
      <c r="C1" s="25" t="s">
        <v>916</v>
      </c>
      <c r="D1" s="25" t="s">
        <v>917</v>
      </c>
      <c r="E1" s="25" t="s">
        <v>918</v>
      </c>
      <c r="F1" s="25" t="s">
        <v>919</v>
      </c>
      <c r="G1" s="25" t="s">
        <v>881</v>
      </c>
      <c r="H1" s="25" t="s">
        <v>880</v>
      </c>
      <c r="I1" s="25" t="s">
        <v>920</v>
      </c>
      <c r="J1" s="25" t="s">
        <v>921</v>
      </c>
      <c r="K1" s="25" t="s">
        <v>922</v>
      </c>
      <c r="L1" s="24" t="s">
        <v>923</v>
      </c>
    </row>
    <row r="2" spans="1:12" x14ac:dyDescent="0.25">
      <c r="A2" s="26">
        <v>1</v>
      </c>
      <c r="B2" s="26" t="s">
        <v>37</v>
      </c>
      <c r="C2" s="27" t="s">
        <v>924</v>
      </c>
      <c r="D2" s="27" t="s">
        <v>756</v>
      </c>
      <c r="E2" s="27" t="s">
        <v>878</v>
      </c>
      <c r="F2" s="28">
        <v>2923889477</v>
      </c>
      <c r="G2" s="27" t="s">
        <v>903</v>
      </c>
      <c r="H2" s="29">
        <v>31</v>
      </c>
      <c r="I2" s="27" t="s">
        <v>925</v>
      </c>
      <c r="J2" s="29">
        <v>8</v>
      </c>
      <c r="K2" s="27" t="s">
        <v>878</v>
      </c>
      <c r="L2" s="19">
        <v>60</v>
      </c>
    </row>
    <row r="3" spans="1:12" x14ac:dyDescent="0.25">
      <c r="A3" s="26">
        <v>2</v>
      </c>
      <c r="B3" s="26" t="s">
        <v>38</v>
      </c>
      <c r="C3" s="27" t="s">
        <v>926</v>
      </c>
      <c r="D3" s="27" t="s">
        <v>756</v>
      </c>
      <c r="E3" s="27" t="s">
        <v>759</v>
      </c>
      <c r="F3" s="17">
        <v>913135609</v>
      </c>
      <c r="G3" s="27" t="s">
        <v>912</v>
      </c>
      <c r="H3" s="29">
        <v>36</v>
      </c>
      <c r="I3" s="27" t="s">
        <v>927</v>
      </c>
      <c r="J3" s="29">
        <v>8</v>
      </c>
      <c r="K3" s="27" t="s">
        <v>878</v>
      </c>
      <c r="L3" s="30">
        <v>60</v>
      </c>
    </row>
    <row r="4" spans="1:12" x14ac:dyDescent="0.25">
      <c r="A4" s="26">
        <v>3</v>
      </c>
      <c r="B4" s="26" t="s">
        <v>39</v>
      </c>
      <c r="C4" s="27" t="s">
        <v>928</v>
      </c>
      <c r="D4" s="27" t="s">
        <v>756</v>
      </c>
      <c r="E4" s="27" t="s">
        <v>842</v>
      </c>
      <c r="F4" s="17">
        <v>2923823194</v>
      </c>
      <c r="G4" s="27" t="s">
        <v>903</v>
      </c>
      <c r="H4" s="29">
        <v>30</v>
      </c>
      <c r="I4" s="27" t="s">
        <v>929</v>
      </c>
      <c r="J4" s="29">
        <v>20</v>
      </c>
      <c r="K4" s="27" t="s">
        <v>842</v>
      </c>
      <c r="L4" s="30">
        <v>60</v>
      </c>
    </row>
    <row r="5" spans="1:12" x14ac:dyDescent="0.25">
      <c r="A5" s="26">
        <v>4</v>
      </c>
      <c r="B5" s="26" t="s">
        <v>40</v>
      </c>
      <c r="C5" s="27" t="s">
        <v>930</v>
      </c>
      <c r="D5" s="27" t="s">
        <v>756</v>
      </c>
      <c r="E5" s="27" t="s">
        <v>759</v>
      </c>
      <c r="F5" s="17">
        <v>908099992</v>
      </c>
      <c r="G5" s="27" t="s">
        <v>912</v>
      </c>
      <c r="H5" s="29">
        <v>31</v>
      </c>
      <c r="I5" s="27" t="s">
        <v>931</v>
      </c>
      <c r="J5" s="29">
        <v>8.5</v>
      </c>
      <c r="K5" s="27" t="s">
        <v>878</v>
      </c>
      <c r="L5" s="30">
        <v>60</v>
      </c>
    </row>
    <row r="6" spans="1:12" x14ac:dyDescent="0.25">
      <c r="A6" s="26">
        <v>5</v>
      </c>
      <c r="B6" s="26" t="s">
        <v>41</v>
      </c>
      <c r="C6" s="27" t="s">
        <v>932</v>
      </c>
      <c r="D6" s="27" t="s">
        <v>756</v>
      </c>
      <c r="E6" s="27" t="s">
        <v>933</v>
      </c>
      <c r="F6" s="17">
        <v>903303637</v>
      </c>
      <c r="G6" s="27" t="s">
        <v>912</v>
      </c>
      <c r="H6" s="29">
        <v>36</v>
      </c>
      <c r="I6" s="27" t="s">
        <v>934</v>
      </c>
      <c r="J6" s="29">
        <v>12</v>
      </c>
      <c r="K6" s="27" t="s">
        <v>765</v>
      </c>
      <c r="L6" s="30">
        <v>60</v>
      </c>
    </row>
    <row r="7" spans="1:12" x14ac:dyDescent="0.25">
      <c r="A7" s="26">
        <v>6</v>
      </c>
      <c r="B7" s="26" t="s">
        <v>141</v>
      </c>
      <c r="C7" s="27" t="s">
        <v>935</v>
      </c>
      <c r="D7" s="27" t="s">
        <v>756</v>
      </c>
      <c r="E7" s="27" t="s">
        <v>759</v>
      </c>
      <c r="F7" s="17" t="s">
        <v>936</v>
      </c>
      <c r="G7" s="27" t="s">
        <v>912</v>
      </c>
      <c r="H7" s="29">
        <v>39</v>
      </c>
      <c r="I7" s="27" t="s">
        <v>934</v>
      </c>
      <c r="J7" s="29">
        <v>12</v>
      </c>
      <c r="K7" s="27" t="s">
        <v>937</v>
      </c>
      <c r="L7" s="30">
        <v>60</v>
      </c>
    </row>
    <row r="8" spans="1:12" x14ac:dyDescent="0.25">
      <c r="A8" s="26">
        <v>7</v>
      </c>
      <c r="B8" s="26" t="s">
        <v>142</v>
      </c>
      <c r="C8" s="27" t="s">
        <v>938</v>
      </c>
      <c r="D8" s="27" t="s">
        <v>756</v>
      </c>
      <c r="E8" s="27" t="s">
        <v>933</v>
      </c>
      <c r="F8" s="17">
        <v>903303637</v>
      </c>
      <c r="G8" s="27" t="s">
        <v>912</v>
      </c>
      <c r="H8" s="29">
        <v>39</v>
      </c>
      <c r="I8" s="27" t="s">
        <v>934</v>
      </c>
      <c r="J8" s="29">
        <v>12</v>
      </c>
      <c r="K8" s="27" t="s">
        <v>765</v>
      </c>
      <c r="L8" s="30">
        <v>60</v>
      </c>
    </row>
    <row r="9" spans="1:12" x14ac:dyDescent="0.25">
      <c r="A9" s="26">
        <v>8</v>
      </c>
      <c r="B9" s="26" t="s">
        <v>42</v>
      </c>
      <c r="C9" s="27" t="s">
        <v>939</v>
      </c>
      <c r="D9" s="27" t="s">
        <v>756</v>
      </c>
      <c r="E9" s="27" t="s">
        <v>933</v>
      </c>
      <c r="F9" s="17">
        <v>903303637</v>
      </c>
      <c r="G9" s="27" t="s">
        <v>912</v>
      </c>
      <c r="H9" s="29">
        <v>30</v>
      </c>
      <c r="I9" s="27" t="s">
        <v>934</v>
      </c>
      <c r="J9" s="29">
        <v>8</v>
      </c>
      <c r="K9" s="27" t="s">
        <v>765</v>
      </c>
      <c r="L9" s="30">
        <v>60</v>
      </c>
    </row>
    <row r="10" spans="1:12" x14ac:dyDescent="0.25">
      <c r="A10" s="26">
        <v>9</v>
      </c>
      <c r="B10" s="26" t="s">
        <v>43</v>
      </c>
      <c r="C10" s="27" t="s">
        <v>940</v>
      </c>
      <c r="D10" s="27" t="s">
        <v>756</v>
      </c>
      <c r="E10" s="27" t="s">
        <v>933</v>
      </c>
      <c r="F10" s="17">
        <v>903303637</v>
      </c>
      <c r="G10" s="27" t="s">
        <v>912</v>
      </c>
      <c r="H10" s="29">
        <v>42</v>
      </c>
      <c r="I10" s="27" t="s">
        <v>934</v>
      </c>
      <c r="J10" s="29">
        <v>12</v>
      </c>
      <c r="K10" s="27" t="s">
        <v>765</v>
      </c>
      <c r="L10" s="30">
        <v>60</v>
      </c>
    </row>
    <row r="11" spans="1:12" x14ac:dyDescent="0.25">
      <c r="A11" s="26">
        <v>10</v>
      </c>
      <c r="B11" s="26" t="s">
        <v>44</v>
      </c>
      <c r="C11" s="27" t="s">
        <v>941</v>
      </c>
      <c r="D11" s="27" t="s">
        <v>756</v>
      </c>
      <c r="E11" s="27" t="s">
        <v>759</v>
      </c>
      <c r="F11" s="17">
        <v>939595596</v>
      </c>
      <c r="G11" s="27" t="s">
        <v>912</v>
      </c>
      <c r="H11" s="29">
        <v>42</v>
      </c>
      <c r="I11" s="27" t="s">
        <v>942</v>
      </c>
      <c r="J11" s="29">
        <v>8</v>
      </c>
      <c r="K11" s="27" t="s">
        <v>937</v>
      </c>
      <c r="L11" s="30">
        <v>60</v>
      </c>
    </row>
    <row r="12" spans="1:12" x14ac:dyDescent="0.25">
      <c r="A12" s="26">
        <v>11</v>
      </c>
      <c r="B12" s="26" t="s">
        <v>28</v>
      </c>
      <c r="C12" s="27" t="s">
        <v>943</v>
      </c>
      <c r="D12" s="27" t="s">
        <v>756</v>
      </c>
      <c r="E12" s="27" t="s">
        <v>759</v>
      </c>
      <c r="F12" s="17">
        <v>939315678</v>
      </c>
      <c r="G12" s="27" t="s">
        <v>912</v>
      </c>
      <c r="H12" s="29">
        <v>39</v>
      </c>
      <c r="I12" s="27" t="s">
        <v>934</v>
      </c>
      <c r="J12" s="29">
        <v>12</v>
      </c>
      <c r="K12" s="27" t="s">
        <v>937</v>
      </c>
      <c r="L12" s="30">
        <v>60</v>
      </c>
    </row>
    <row r="13" spans="1:12" x14ac:dyDescent="0.25">
      <c r="A13" s="26">
        <v>12</v>
      </c>
      <c r="B13" s="26" t="s">
        <v>143</v>
      </c>
      <c r="C13" s="27" t="s">
        <v>944</v>
      </c>
      <c r="D13" s="27" t="s">
        <v>756</v>
      </c>
      <c r="E13" s="27" t="s">
        <v>933</v>
      </c>
      <c r="F13" s="17">
        <v>903303637</v>
      </c>
      <c r="G13" s="27" t="s">
        <v>912</v>
      </c>
      <c r="H13" s="29">
        <v>39</v>
      </c>
      <c r="I13" s="27" t="s">
        <v>934</v>
      </c>
      <c r="J13" s="29">
        <v>12</v>
      </c>
      <c r="K13" s="27" t="s">
        <v>765</v>
      </c>
      <c r="L13" s="30">
        <v>60</v>
      </c>
    </row>
    <row r="14" spans="1:12" x14ac:dyDescent="0.25">
      <c r="A14" s="26">
        <v>13</v>
      </c>
      <c r="B14" s="26" t="s">
        <v>144</v>
      </c>
      <c r="C14" s="27" t="s">
        <v>945</v>
      </c>
      <c r="D14" s="27" t="s">
        <v>756</v>
      </c>
      <c r="E14" s="27" t="s">
        <v>771</v>
      </c>
      <c r="F14" s="17">
        <v>939185125</v>
      </c>
      <c r="G14" s="27" t="s">
        <v>912</v>
      </c>
      <c r="H14" s="29">
        <v>39</v>
      </c>
      <c r="I14" s="27" t="s">
        <v>934</v>
      </c>
      <c r="J14" s="29">
        <v>12</v>
      </c>
      <c r="K14" s="27" t="s">
        <v>765</v>
      </c>
      <c r="L14" s="30">
        <v>60</v>
      </c>
    </row>
    <row r="15" spans="1:12" x14ac:dyDescent="0.25">
      <c r="A15" s="26">
        <v>14</v>
      </c>
      <c r="B15" s="26" t="s">
        <v>45</v>
      </c>
      <c r="C15" s="27" t="s">
        <v>946</v>
      </c>
      <c r="D15" s="27" t="s">
        <v>756</v>
      </c>
      <c r="E15" s="27" t="s">
        <v>933</v>
      </c>
      <c r="F15" s="17">
        <v>903303637</v>
      </c>
      <c r="G15" s="27" t="s">
        <v>912</v>
      </c>
      <c r="H15" s="29">
        <v>30</v>
      </c>
      <c r="I15" s="27" t="s">
        <v>934</v>
      </c>
      <c r="J15" s="29">
        <v>12</v>
      </c>
      <c r="K15" s="27" t="s">
        <v>765</v>
      </c>
      <c r="L15" s="30">
        <v>60</v>
      </c>
    </row>
    <row r="16" spans="1:12" x14ac:dyDescent="0.25">
      <c r="A16" s="26">
        <v>15</v>
      </c>
      <c r="B16" s="26" t="s">
        <v>29</v>
      </c>
      <c r="C16" s="27" t="s">
        <v>947</v>
      </c>
      <c r="D16" s="27" t="s">
        <v>756</v>
      </c>
      <c r="E16" s="27" t="s">
        <v>772</v>
      </c>
      <c r="F16" s="17">
        <v>907729992</v>
      </c>
      <c r="G16" s="27" t="s">
        <v>912</v>
      </c>
      <c r="H16" s="29">
        <v>30</v>
      </c>
      <c r="I16" s="27" t="s">
        <v>942</v>
      </c>
      <c r="J16" s="29">
        <v>5</v>
      </c>
      <c r="K16" s="27" t="s">
        <v>765</v>
      </c>
      <c r="L16" s="30">
        <v>60</v>
      </c>
    </row>
    <row r="17" spans="1:12" x14ac:dyDescent="0.25">
      <c r="A17" s="26">
        <v>16</v>
      </c>
      <c r="B17" s="26" t="s">
        <v>46</v>
      </c>
      <c r="C17" s="27" t="s">
        <v>948</v>
      </c>
      <c r="D17" s="27" t="s">
        <v>756</v>
      </c>
      <c r="E17" s="27" t="s">
        <v>772</v>
      </c>
      <c r="F17" s="17">
        <v>907729992</v>
      </c>
      <c r="G17" s="27" t="s">
        <v>912</v>
      </c>
      <c r="H17" s="29">
        <v>39</v>
      </c>
      <c r="I17" s="27" t="s">
        <v>934</v>
      </c>
      <c r="J17" s="29">
        <v>12</v>
      </c>
      <c r="K17" s="27" t="s">
        <v>765</v>
      </c>
      <c r="L17" s="30">
        <v>60</v>
      </c>
    </row>
    <row r="18" spans="1:12" x14ac:dyDescent="0.25">
      <c r="A18" s="26">
        <v>17</v>
      </c>
      <c r="B18" s="26" t="s">
        <v>47</v>
      </c>
      <c r="C18" s="27" t="s">
        <v>949</v>
      </c>
      <c r="D18" s="27" t="s">
        <v>756</v>
      </c>
      <c r="E18" s="27" t="s">
        <v>772</v>
      </c>
      <c r="F18" s="17">
        <v>907729992</v>
      </c>
      <c r="G18" s="27" t="s">
        <v>912</v>
      </c>
      <c r="H18" s="29">
        <v>30</v>
      </c>
      <c r="I18" s="27" t="s">
        <v>942</v>
      </c>
      <c r="J18" s="29">
        <v>5</v>
      </c>
      <c r="K18" s="27" t="s">
        <v>765</v>
      </c>
      <c r="L18" s="30">
        <v>60</v>
      </c>
    </row>
    <row r="19" spans="1:12" x14ac:dyDescent="0.25">
      <c r="A19" s="26">
        <v>18</v>
      </c>
      <c r="B19" s="26" t="s">
        <v>30</v>
      </c>
      <c r="C19" s="27" t="s">
        <v>950</v>
      </c>
      <c r="D19" s="27" t="s">
        <v>756</v>
      </c>
      <c r="E19" s="27" t="s">
        <v>759</v>
      </c>
      <c r="F19" s="17">
        <v>908222677</v>
      </c>
      <c r="G19" s="27" t="s">
        <v>912</v>
      </c>
      <c r="H19" s="29">
        <v>29</v>
      </c>
      <c r="I19" s="27" t="s">
        <v>934</v>
      </c>
      <c r="J19" s="29">
        <v>12</v>
      </c>
      <c r="K19" s="27" t="s">
        <v>937</v>
      </c>
      <c r="L19" s="30">
        <v>60</v>
      </c>
    </row>
    <row r="20" spans="1:12" x14ac:dyDescent="0.25">
      <c r="A20" s="26">
        <v>19</v>
      </c>
      <c r="B20" s="26" t="s">
        <v>48</v>
      </c>
      <c r="C20" s="27" t="s">
        <v>951</v>
      </c>
      <c r="D20" s="27" t="s">
        <v>756</v>
      </c>
      <c r="E20" s="27" t="s">
        <v>759</v>
      </c>
      <c r="F20" s="17">
        <v>913870900</v>
      </c>
      <c r="G20" s="27" t="s">
        <v>912</v>
      </c>
      <c r="H20" s="29">
        <v>39</v>
      </c>
      <c r="I20" s="27" t="s">
        <v>952</v>
      </c>
      <c r="J20" s="29">
        <v>5.5</v>
      </c>
      <c r="K20" s="27" t="s">
        <v>878</v>
      </c>
      <c r="L20" s="30">
        <v>60</v>
      </c>
    </row>
    <row r="21" spans="1:12" x14ac:dyDescent="0.25">
      <c r="A21" s="26">
        <v>20</v>
      </c>
      <c r="B21" s="26" t="s">
        <v>31</v>
      </c>
      <c r="C21" s="27" t="s">
        <v>953</v>
      </c>
      <c r="D21" s="27" t="s">
        <v>756</v>
      </c>
      <c r="E21" s="27" t="s">
        <v>759</v>
      </c>
      <c r="F21" s="17">
        <v>939000009</v>
      </c>
      <c r="G21" s="27" t="s">
        <v>912</v>
      </c>
      <c r="H21" s="29">
        <v>29</v>
      </c>
      <c r="I21" s="27" t="s">
        <v>942</v>
      </c>
      <c r="J21" s="29">
        <v>5</v>
      </c>
      <c r="K21" s="27" t="s">
        <v>878</v>
      </c>
      <c r="L21" s="30">
        <v>60</v>
      </c>
    </row>
    <row r="22" spans="1:12" x14ac:dyDescent="0.25">
      <c r="A22" s="26">
        <v>21</v>
      </c>
      <c r="B22" s="26" t="s">
        <v>145</v>
      </c>
      <c r="C22" s="27" t="s">
        <v>954</v>
      </c>
      <c r="D22" s="27" t="s">
        <v>756</v>
      </c>
      <c r="E22" s="27" t="s">
        <v>878</v>
      </c>
      <c r="F22" s="17" t="s">
        <v>955</v>
      </c>
      <c r="G22" s="27" t="s">
        <v>912</v>
      </c>
      <c r="H22" s="29">
        <v>39</v>
      </c>
      <c r="I22" s="27" t="s">
        <v>952</v>
      </c>
      <c r="J22" s="29">
        <v>12.5</v>
      </c>
      <c r="K22" s="27" t="s">
        <v>878</v>
      </c>
      <c r="L22" s="30">
        <v>60</v>
      </c>
    </row>
    <row r="23" spans="1:12" x14ac:dyDescent="0.25">
      <c r="A23" s="26">
        <v>22</v>
      </c>
      <c r="B23" s="26" t="s">
        <v>149</v>
      </c>
      <c r="C23" s="27" t="s">
        <v>956</v>
      </c>
      <c r="D23" s="27" t="s">
        <v>756</v>
      </c>
      <c r="E23" s="27" t="s">
        <v>759</v>
      </c>
      <c r="F23" s="17">
        <v>914674567</v>
      </c>
      <c r="G23" s="27" t="s">
        <v>912</v>
      </c>
      <c r="H23" s="29">
        <v>29</v>
      </c>
      <c r="I23" s="27" t="s">
        <v>925</v>
      </c>
      <c r="J23" s="29">
        <v>8</v>
      </c>
      <c r="K23" s="27" t="s">
        <v>878</v>
      </c>
      <c r="L23" s="30">
        <v>60</v>
      </c>
    </row>
    <row r="24" spans="1:12" x14ac:dyDescent="0.25">
      <c r="A24" s="26">
        <v>23</v>
      </c>
      <c r="B24" s="26" t="s">
        <v>146</v>
      </c>
      <c r="C24" s="27" t="s">
        <v>957</v>
      </c>
      <c r="D24" s="27" t="s">
        <v>756</v>
      </c>
      <c r="E24" s="27" t="s">
        <v>759</v>
      </c>
      <c r="F24" s="17">
        <v>939220880</v>
      </c>
      <c r="G24" s="27" t="s">
        <v>912</v>
      </c>
      <c r="H24" s="29">
        <v>42</v>
      </c>
      <c r="I24" s="27" t="s">
        <v>934</v>
      </c>
      <c r="J24" s="29">
        <v>12</v>
      </c>
      <c r="K24" s="27" t="s">
        <v>937</v>
      </c>
      <c r="L24" s="30">
        <v>60</v>
      </c>
    </row>
    <row r="25" spans="1:12" x14ac:dyDescent="0.25">
      <c r="A25" s="26">
        <v>24</v>
      </c>
      <c r="B25" s="26" t="s">
        <v>147</v>
      </c>
      <c r="C25" s="27" t="s">
        <v>958</v>
      </c>
      <c r="D25" s="27" t="s">
        <v>756</v>
      </c>
      <c r="E25" s="27" t="s">
        <v>772</v>
      </c>
      <c r="F25" s="17">
        <v>907729992</v>
      </c>
      <c r="G25" s="27" t="s">
        <v>912</v>
      </c>
      <c r="H25" s="29">
        <v>39</v>
      </c>
      <c r="I25" s="27" t="s">
        <v>934</v>
      </c>
      <c r="J25" s="29">
        <v>12</v>
      </c>
      <c r="K25" s="27" t="s">
        <v>765</v>
      </c>
      <c r="L25" s="30">
        <v>60</v>
      </c>
    </row>
    <row r="26" spans="1:12" x14ac:dyDescent="0.25">
      <c r="A26" s="26">
        <v>25</v>
      </c>
      <c r="B26" s="26" t="s">
        <v>150</v>
      </c>
      <c r="C26" s="27" t="s">
        <v>959</v>
      </c>
      <c r="D26" s="27" t="s">
        <v>756</v>
      </c>
      <c r="E26" s="27" t="s">
        <v>772</v>
      </c>
      <c r="F26" s="17">
        <v>907729992</v>
      </c>
      <c r="G26" s="27" t="s">
        <v>912</v>
      </c>
      <c r="H26" s="29">
        <v>39</v>
      </c>
      <c r="I26" s="27" t="s">
        <v>934</v>
      </c>
      <c r="J26" s="29">
        <v>12</v>
      </c>
      <c r="K26" s="27" t="s">
        <v>765</v>
      </c>
      <c r="L26" s="30">
        <v>60</v>
      </c>
    </row>
    <row r="27" spans="1:12" x14ac:dyDescent="0.25">
      <c r="A27" s="26">
        <v>26</v>
      </c>
      <c r="B27" s="26" t="s">
        <v>148</v>
      </c>
      <c r="C27" s="27" t="s">
        <v>960</v>
      </c>
      <c r="D27" s="27" t="s">
        <v>756</v>
      </c>
      <c r="E27" s="27" t="s">
        <v>772</v>
      </c>
      <c r="F27" s="17">
        <v>907729992</v>
      </c>
      <c r="G27" s="27" t="s">
        <v>912</v>
      </c>
      <c r="H27" s="29">
        <v>39</v>
      </c>
      <c r="I27" s="27" t="s">
        <v>934</v>
      </c>
      <c r="J27" s="29">
        <v>12</v>
      </c>
      <c r="K27" s="27" t="s">
        <v>765</v>
      </c>
      <c r="L27" s="30">
        <v>60</v>
      </c>
    </row>
    <row r="28" spans="1:12" x14ac:dyDescent="0.25">
      <c r="A28" s="26">
        <v>27</v>
      </c>
      <c r="B28" s="26" t="s">
        <v>49</v>
      </c>
      <c r="C28" s="27" t="s">
        <v>961</v>
      </c>
      <c r="D28" s="27" t="s">
        <v>756</v>
      </c>
      <c r="E28" s="27" t="s">
        <v>842</v>
      </c>
      <c r="F28" s="17">
        <v>2923823194</v>
      </c>
      <c r="G28" s="27" t="s">
        <v>903</v>
      </c>
      <c r="H28" s="29">
        <v>42</v>
      </c>
      <c r="I28" s="27" t="s">
        <v>929</v>
      </c>
      <c r="J28" s="29">
        <v>50</v>
      </c>
      <c r="K28" s="27" t="s">
        <v>842</v>
      </c>
      <c r="L28" s="30">
        <v>60</v>
      </c>
    </row>
    <row r="29" spans="1:12" x14ac:dyDescent="0.25">
      <c r="A29" s="26">
        <v>28</v>
      </c>
      <c r="B29" s="26" t="s">
        <v>50</v>
      </c>
      <c r="C29" s="27" t="s">
        <v>962</v>
      </c>
      <c r="D29" s="27" t="s">
        <v>756</v>
      </c>
      <c r="E29" s="27" t="s">
        <v>933</v>
      </c>
      <c r="F29" s="17">
        <v>903303637</v>
      </c>
      <c r="G29" s="27" t="s">
        <v>912</v>
      </c>
      <c r="H29" s="29">
        <v>42</v>
      </c>
      <c r="I29" s="27" t="s">
        <v>934</v>
      </c>
      <c r="J29" s="29">
        <v>12</v>
      </c>
      <c r="K29" s="27" t="s">
        <v>765</v>
      </c>
      <c r="L29" s="30">
        <v>60</v>
      </c>
    </row>
    <row r="30" spans="1:12" x14ac:dyDescent="0.25">
      <c r="A30" s="26">
        <v>29</v>
      </c>
      <c r="B30" s="26" t="s">
        <v>122</v>
      </c>
      <c r="C30" s="27" t="s">
        <v>963</v>
      </c>
      <c r="D30" s="27" t="s">
        <v>756</v>
      </c>
      <c r="E30" s="27" t="s">
        <v>933</v>
      </c>
      <c r="F30" s="17">
        <v>903303637</v>
      </c>
      <c r="G30" s="27" t="s">
        <v>912</v>
      </c>
      <c r="H30" s="29">
        <v>39</v>
      </c>
      <c r="I30" s="27" t="s">
        <v>934</v>
      </c>
      <c r="J30" s="29">
        <v>12</v>
      </c>
      <c r="K30" s="27" t="s">
        <v>765</v>
      </c>
      <c r="L30" s="30">
        <v>60</v>
      </c>
    </row>
    <row r="31" spans="1:12" x14ac:dyDescent="0.25">
      <c r="A31" s="26">
        <v>30</v>
      </c>
      <c r="B31" s="26" t="s">
        <v>51</v>
      </c>
      <c r="C31" s="27" t="s">
        <v>964</v>
      </c>
      <c r="D31" s="27" t="s">
        <v>756</v>
      </c>
      <c r="E31" s="27" t="s">
        <v>878</v>
      </c>
      <c r="F31" s="17">
        <v>919640296</v>
      </c>
      <c r="G31" s="27" t="s">
        <v>903</v>
      </c>
      <c r="H31" s="29">
        <v>45</v>
      </c>
      <c r="I31" s="27" t="s">
        <v>965</v>
      </c>
      <c r="J31" s="29">
        <v>15</v>
      </c>
      <c r="K31" s="27" t="s">
        <v>878</v>
      </c>
      <c r="L31" s="30">
        <v>60</v>
      </c>
    </row>
    <row r="32" spans="1:12" x14ac:dyDescent="0.25">
      <c r="A32" s="26">
        <v>31</v>
      </c>
      <c r="B32" s="26" t="s">
        <v>52</v>
      </c>
      <c r="C32" s="27" t="s">
        <v>966</v>
      </c>
      <c r="D32" s="27" t="s">
        <v>756</v>
      </c>
      <c r="E32" s="27" t="s">
        <v>967</v>
      </c>
      <c r="F32" s="17">
        <v>903460199</v>
      </c>
      <c r="G32" s="27" t="s">
        <v>912</v>
      </c>
      <c r="H32" s="29">
        <v>39</v>
      </c>
      <c r="I32" s="27" t="s">
        <v>934</v>
      </c>
      <c r="J32" s="29">
        <v>12</v>
      </c>
      <c r="K32" s="27" t="s">
        <v>765</v>
      </c>
      <c r="L32" s="30">
        <v>60</v>
      </c>
    </row>
    <row r="33" spans="1:12" x14ac:dyDescent="0.25">
      <c r="A33" s="26">
        <v>32</v>
      </c>
      <c r="B33" s="26" t="s">
        <v>53</v>
      </c>
      <c r="C33" s="27" t="s">
        <v>968</v>
      </c>
      <c r="D33" s="27" t="s">
        <v>756</v>
      </c>
      <c r="E33" s="27" t="s">
        <v>933</v>
      </c>
      <c r="F33" s="17">
        <v>903303637</v>
      </c>
      <c r="G33" s="27" t="s">
        <v>912</v>
      </c>
      <c r="H33" s="29">
        <v>42</v>
      </c>
      <c r="I33" s="27" t="s">
        <v>934</v>
      </c>
      <c r="J33" s="29">
        <v>12</v>
      </c>
      <c r="K33" s="27" t="s">
        <v>765</v>
      </c>
      <c r="L33" s="30">
        <v>60</v>
      </c>
    </row>
    <row r="34" spans="1:12" x14ac:dyDescent="0.25">
      <c r="A34" s="26">
        <v>33</v>
      </c>
      <c r="B34" s="26" t="s">
        <v>4</v>
      </c>
      <c r="C34" s="27" t="s">
        <v>969</v>
      </c>
      <c r="D34" s="27" t="s">
        <v>756</v>
      </c>
      <c r="E34" s="27" t="s">
        <v>878</v>
      </c>
      <c r="F34" s="17">
        <v>1992526230</v>
      </c>
      <c r="G34" s="27" t="s">
        <v>903</v>
      </c>
      <c r="H34" s="29">
        <v>45</v>
      </c>
      <c r="I34" s="27" t="s">
        <v>965</v>
      </c>
      <c r="J34" s="29">
        <v>15</v>
      </c>
      <c r="K34" s="27" t="s">
        <v>878</v>
      </c>
      <c r="L34" s="30">
        <v>60</v>
      </c>
    </row>
    <row r="35" spans="1:12" x14ac:dyDescent="0.25">
      <c r="A35" s="26">
        <v>34</v>
      </c>
      <c r="B35" s="26" t="s">
        <v>32</v>
      </c>
      <c r="C35" s="27" t="s">
        <v>970</v>
      </c>
      <c r="D35" s="27" t="s">
        <v>756</v>
      </c>
      <c r="E35" s="27" t="s">
        <v>774</v>
      </c>
      <c r="F35" s="17">
        <v>907498282</v>
      </c>
      <c r="G35" s="27" t="s">
        <v>912</v>
      </c>
      <c r="H35" s="29">
        <v>33</v>
      </c>
      <c r="I35" s="27" t="s">
        <v>942</v>
      </c>
      <c r="J35" s="29">
        <v>5</v>
      </c>
      <c r="K35" s="27" t="s">
        <v>765</v>
      </c>
      <c r="L35" s="30">
        <v>60</v>
      </c>
    </row>
    <row r="36" spans="1:12" x14ac:dyDescent="0.25">
      <c r="A36" s="26">
        <v>35</v>
      </c>
      <c r="B36" s="26" t="s">
        <v>54</v>
      </c>
      <c r="C36" s="27" t="s">
        <v>971</v>
      </c>
      <c r="D36" s="27" t="s">
        <v>756</v>
      </c>
      <c r="E36" s="27" t="s">
        <v>774</v>
      </c>
      <c r="F36" s="17">
        <v>907498282</v>
      </c>
      <c r="G36" s="27" t="s">
        <v>912</v>
      </c>
      <c r="H36" s="29">
        <v>31</v>
      </c>
      <c r="I36" s="27" t="s">
        <v>942</v>
      </c>
      <c r="J36" s="29">
        <v>5</v>
      </c>
      <c r="K36" s="27" t="s">
        <v>765</v>
      </c>
      <c r="L36" s="30">
        <v>60</v>
      </c>
    </row>
    <row r="37" spans="1:12" x14ac:dyDescent="0.25">
      <c r="A37" s="26">
        <v>36</v>
      </c>
      <c r="B37" s="26" t="s">
        <v>55</v>
      </c>
      <c r="C37" s="27" t="s">
        <v>972</v>
      </c>
      <c r="D37" s="27" t="s">
        <v>756</v>
      </c>
      <c r="E37" s="27" t="s">
        <v>774</v>
      </c>
      <c r="F37" s="17">
        <v>907498282</v>
      </c>
      <c r="G37" s="27" t="s">
        <v>912</v>
      </c>
      <c r="H37" s="29">
        <v>31</v>
      </c>
      <c r="I37" s="27" t="s">
        <v>942</v>
      </c>
      <c r="J37" s="29">
        <v>5</v>
      </c>
      <c r="K37" s="27" t="s">
        <v>765</v>
      </c>
      <c r="L37" s="30">
        <v>60</v>
      </c>
    </row>
    <row r="38" spans="1:12" x14ac:dyDescent="0.25">
      <c r="A38" s="26">
        <v>37</v>
      </c>
      <c r="B38" s="26" t="s">
        <v>56</v>
      </c>
      <c r="C38" s="27" t="s">
        <v>973</v>
      </c>
      <c r="D38" s="27" t="s">
        <v>756</v>
      </c>
      <c r="E38" s="27" t="s">
        <v>974</v>
      </c>
      <c r="F38" s="17">
        <v>907291771</v>
      </c>
      <c r="G38" s="27" t="s">
        <v>912</v>
      </c>
      <c r="H38" s="29">
        <v>45</v>
      </c>
      <c r="I38" s="27" t="s">
        <v>934</v>
      </c>
      <c r="J38" s="29">
        <v>12</v>
      </c>
      <c r="K38" s="27" t="s">
        <v>765</v>
      </c>
      <c r="L38" s="30">
        <v>60</v>
      </c>
    </row>
    <row r="39" spans="1:12" x14ac:dyDescent="0.25">
      <c r="A39" s="26">
        <v>38</v>
      </c>
      <c r="B39" s="26" t="s">
        <v>57</v>
      </c>
      <c r="C39" s="27" t="s">
        <v>975</v>
      </c>
      <c r="D39" s="27" t="s">
        <v>756</v>
      </c>
      <c r="E39" s="27" t="s">
        <v>774</v>
      </c>
      <c r="F39" s="17">
        <v>907498282</v>
      </c>
      <c r="G39" s="27" t="s">
        <v>912</v>
      </c>
      <c r="H39" s="29">
        <v>35</v>
      </c>
      <c r="I39" s="27" t="s">
        <v>942</v>
      </c>
      <c r="J39" s="29">
        <v>5</v>
      </c>
      <c r="K39" s="27" t="s">
        <v>765</v>
      </c>
      <c r="L39" s="30">
        <v>60</v>
      </c>
    </row>
    <row r="40" spans="1:12" x14ac:dyDescent="0.25">
      <c r="A40" s="26">
        <v>39</v>
      </c>
      <c r="B40" s="26" t="s">
        <v>33</v>
      </c>
      <c r="C40" s="27" t="s">
        <v>976</v>
      </c>
      <c r="D40" s="27" t="s">
        <v>756</v>
      </c>
      <c r="E40" s="27" t="s">
        <v>759</v>
      </c>
      <c r="F40" s="17">
        <v>939590999</v>
      </c>
      <c r="G40" s="27" t="s">
        <v>912</v>
      </c>
      <c r="H40" s="29">
        <v>30</v>
      </c>
      <c r="I40" s="27" t="s">
        <v>934</v>
      </c>
      <c r="J40" s="29">
        <v>12</v>
      </c>
      <c r="K40" s="27" t="s">
        <v>937</v>
      </c>
      <c r="L40" s="30">
        <v>60</v>
      </c>
    </row>
    <row r="41" spans="1:12" x14ac:dyDescent="0.25">
      <c r="A41" s="26">
        <v>40</v>
      </c>
      <c r="B41" s="26" t="s">
        <v>58</v>
      </c>
      <c r="C41" s="27" t="s">
        <v>977</v>
      </c>
      <c r="D41" s="27" t="s">
        <v>756</v>
      </c>
      <c r="E41" s="27" t="s">
        <v>878</v>
      </c>
      <c r="F41" s="17">
        <v>908099992</v>
      </c>
      <c r="G41" s="27" t="s">
        <v>903</v>
      </c>
      <c r="H41" s="29">
        <v>45</v>
      </c>
      <c r="I41" s="27" t="s">
        <v>931</v>
      </c>
      <c r="J41" s="29">
        <v>10</v>
      </c>
      <c r="K41" s="27" t="s">
        <v>878</v>
      </c>
      <c r="L41" s="30">
        <v>60</v>
      </c>
    </row>
    <row r="42" spans="1:12" x14ac:dyDescent="0.25">
      <c r="A42" s="26">
        <v>41</v>
      </c>
      <c r="B42" s="26" t="s">
        <v>34</v>
      </c>
      <c r="C42" s="27" t="s">
        <v>978</v>
      </c>
      <c r="D42" s="27" t="s">
        <v>756</v>
      </c>
      <c r="E42" s="27" t="s">
        <v>759</v>
      </c>
      <c r="F42" s="17">
        <v>939000071</v>
      </c>
      <c r="G42" s="27" t="s">
        <v>912</v>
      </c>
      <c r="H42" s="29">
        <v>30</v>
      </c>
      <c r="I42" s="27" t="s">
        <v>979</v>
      </c>
      <c r="J42" s="29">
        <v>8</v>
      </c>
      <c r="K42" s="27" t="s">
        <v>937</v>
      </c>
      <c r="L42" s="30">
        <v>60</v>
      </c>
    </row>
    <row r="43" spans="1:12" x14ac:dyDescent="0.25">
      <c r="A43" s="26">
        <v>42</v>
      </c>
      <c r="B43" s="26" t="s">
        <v>59</v>
      </c>
      <c r="C43" s="27" t="s">
        <v>980</v>
      </c>
      <c r="D43" s="27" t="s">
        <v>756</v>
      </c>
      <c r="E43" s="27" t="s">
        <v>878</v>
      </c>
      <c r="F43" s="17">
        <v>913974955</v>
      </c>
      <c r="G43" s="27" t="s">
        <v>912</v>
      </c>
      <c r="H43" s="29">
        <v>30</v>
      </c>
      <c r="I43" s="27" t="s">
        <v>981</v>
      </c>
      <c r="J43" s="29">
        <v>8</v>
      </c>
      <c r="K43" s="27" t="s">
        <v>878</v>
      </c>
      <c r="L43" s="30">
        <v>60</v>
      </c>
    </row>
    <row r="44" spans="1:12" x14ac:dyDescent="0.25">
      <c r="A44" s="26">
        <v>43</v>
      </c>
      <c r="B44" s="26" t="s">
        <v>151</v>
      </c>
      <c r="C44" s="27" t="s">
        <v>982</v>
      </c>
      <c r="D44" s="27" t="s">
        <v>756</v>
      </c>
      <c r="E44" s="27" t="s">
        <v>759</v>
      </c>
      <c r="F44" s="17">
        <v>912070881</v>
      </c>
      <c r="G44" s="27" t="s">
        <v>912</v>
      </c>
      <c r="H44" s="29">
        <v>39</v>
      </c>
      <c r="I44" s="27" t="s">
        <v>934</v>
      </c>
      <c r="J44" s="29">
        <v>12</v>
      </c>
      <c r="K44" s="27" t="s">
        <v>937</v>
      </c>
      <c r="L44" s="30">
        <v>60</v>
      </c>
    </row>
    <row r="45" spans="1:12" x14ac:dyDescent="0.25">
      <c r="A45" s="26">
        <v>44</v>
      </c>
      <c r="B45" s="26" t="s">
        <v>60</v>
      </c>
      <c r="C45" s="27" t="s">
        <v>983</v>
      </c>
      <c r="D45" s="27" t="s">
        <v>756</v>
      </c>
      <c r="E45" s="27" t="s">
        <v>759</v>
      </c>
      <c r="F45" s="17">
        <v>939168681</v>
      </c>
      <c r="G45" s="27" t="s">
        <v>912</v>
      </c>
      <c r="H45" s="29">
        <v>30</v>
      </c>
      <c r="I45" s="27" t="s">
        <v>934</v>
      </c>
      <c r="J45" s="29">
        <v>12</v>
      </c>
      <c r="K45" s="27" t="s">
        <v>937</v>
      </c>
      <c r="L45" s="30">
        <v>60</v>
      </c>
    </row>
    <row r="46" spans="1:12" x14ac:dyDescent="0.25">
      <c r="A46" s="26">
        <v>45</v>
      </c>
      <c r="B46" s="26" t="s">
        <v>61</v>
      </c>
      <c r="C46" s="27" t="s">
        <v>984</v>
      </c>
      <c r="D46" s="27" t="s">
        <v>756</v>
      </c>
      <c r="E46" s="27" t="s">
        <v>878</v>
      </c>
      <c r="F46" s="17">
        <v>908099992</v>
      </c>
      <c r="G46" s="27" t="s">
        <v>912</v>
      </c>
      <c r="H46" s="29">
        <v>45</v>
      </c>
      <c r="I46" s="27" t="s">
        <v>927</v>
      </c>
      <c r="J46" s="29">
        <v>8</v>
      </c>
      <c r="K46" s="27" t="s">
        <v>878</v>
      </c>
      <c r="L46" s="30">
        <v>60</v>
      </c>
    </row>
    <row r="47" spans="1:12" x14ac:dyDescent="0.25">
      <c r="A47" s="26">
        <v>46</v>
      </c>
      <c r="B47" s="26" t="s">
        <v>152</v>
      </c>
      <c r="C47" s="27" t="s">
        <v>985</v>
      </c>
      <c r="D47" s="27" t="s">
        <v>756</v>
      </c>
      <c r="E47" s="27" t="s">
        <v>878</v>
      </c>
      <c r="F47" s="17">
        <v>2923845509</v>
      </c>
      <c r="G47" s="27" t="s">
        <v>912</v>
      </c>
      <c r="H47" s="29">
        <v>45</v>
      </c>
      <c r="I47" s="27" t="s">
        <v>986</v>
      </c>
      <c r="J47" s="29">
        <v>8</v>
      </c>
      <c r="K47" s="27" t="s">
        <v>878</v>
      </c>
      <c r="L47" s="30">
        <v>60</v>
      </c>
    </row>
    <row r="48" spans="1:12" x14ac:dyDescent="0.25">
      <c r="A48" s="26">
        <v>47</v>
      </c>
      <c r="B48" s="26" t="s">
        <v>62</v>
      </c>
      <c r="C48" s="27" t="s">
        <v>987</v>
      </c>
      <c r="D48" s="27" t="s">
        <v>756</v>
      </c>
      <c r="E48" s="27" t="s">
        <v>878</v>
      </c>
      <c r="F48" s="17" t="s">
        <v>988</v>
      </c>
      <c r="G48" s="27" t="s">
        <v>912</v>
      </c>
      <c r="H48" s="29">
        <v>45</v>
      </c>
      <c r="I48" s="27" t="s">
        <v>931</v>
      </c>
      <c r="J48" s="29">
        <v>5.5</v>
      </c>
      <c r="K48" s="27" t="s">
        <v>878</v>
      </c>
      <c r="L48" s="30">
        <v>60</v>
      </c>
    </row>
    <row r="49" spans="1:12" x14ac:dyDescent="0.25">
      <c r="A49" s="26">
        <v>48</v>
      </c>
      <c r="B49" s="26" t="s">
        <v>421</v>
      </c>
      <c r="C49" s="27" t="s">
        <v>989</v>
      </c>
      <c r="D49" s="27" t="s">
        <v>756</v>
      </c>
      <c r="E49" s="27" t="s">
        <v>842</v>
      </c>
      <c r="F49" s="17">
        <v>2923823194</v>
      </c>
      <c r="G49" s="27" t="s">
        <v>912</v>
      </c>
      <c r="H49" s="29">
        <v>29</v>
      </c>
      <c r="I49" s="27" t="s">
        <v>925</v>
      </c>
      <c r="J49" s="29">
        <v>8</v>
      </c>
      <c r="K49" s="27" t="s">
        <v>878</v>
      </c>
      <c r="L49" s="30">
        <v>60</v>
      </c>
    </row>
    <row r="50" spans="1:12" x14ac:dyDescent="0.25">
      <c r="A50" s="26">
        <v>49</v>
      </c>
      <c r="B50" s="26" t="s">
        <v>422</v>
      </c>
      <c r="C50" s="27" t="s">
        <v>990</v>
      </c>
      <c r="D50" s="27" t="s">
        <v>756</v>
      </c>
      <c r="E50" s="27" t="s">
        <v>759</v>
      </c>
      <c r="F50" s="17">
        <v>939070807</v>
      </c>
      <c r="G50" s="27" t="s">
        <v>912</v>
      </c>
      <c r="H50" s="29">
        <v>37</v>
      </c>
      <c r="I50" s="27" t="s">
        <v>991</v>
      </c>
      <c r="J50" s="29">
        <v>7</v>
      </c>
      <c r="K50" s="27" t="s">
        <v>937</v>
      </c>
      <c r="L50" s="30">
        <v>60</v>
      </c>
    </row>
    <row r="51" spans="1:12" x14ac:dyDescent="0.25">
      <c r="A51" s="26">
        <v>50</v>
      </c>
      <c r="B51" s="26" t="s">
        <v>448</v>
      </c>
      <c r="C51" s="27" t="s">
        <v>992</v>
      </c>
      <c r="D51" s="27" t="s">
        <v>756</v>
      </c>
      <c r="E51" s="27" t="s">
        <v>759</v>
      </c>
      <c r="F51" s="17">
        <v>939884000</v>
      </c>
      <c r="G51" s="27" t="s">
        <v>912</v>
      </c>
      <c r="H51" s="29">
        <v>42</v>
      </c>
      <c r="I51" s="27" t="s">
        <v>993</v>
      </c>
      <c r="J51" s="29">
        <v>5.5</v>
      </c>
      <c r="K51" s="27" t="s">
        <v>878</v>
      </c>
      <c r="L51" s="30">
        <v>60</v>
      </c>
    </row>
    <row r="52" spans="1:12" x14ac:dyDescent="0.25">
      <c r="A52" s="26">
        <v>51</v>
      </c>
      <c r="B52" s="26" t="s">
        <v>454</v>
      </c>
      <c r="C52" s="27" t="s">
        <v>994</v>
      </c>
      <c r="D52" s="27" t="s">
        <v>756</v>
      </c>
      <c r="E52" s="27" t="s">
        <v>759</v>
      </c>
      <c r="F52" s="17" t="s">
        <v>995</v>
      </c>
      <c r="G52" s="27" t="s">
        <v>912</v>
      </c>
      <c r="H52" s="29">
        <v>42</v>
      </c>
      <c r="I52" s="27" t="s">
        <v>993</v>
      </c>
      <c r="J52" s="29">
        <v>5.5</v>
      </c>
      <c r="K52" s="27" t="s">
        <v>878</v>
      </c>
      <c r="L52" s="30">
        <v>60</v>
      </c>
    </row>
    <row r="53" spans="1:12" x14ac:dyDescent="0.25">
      <c r="A53" s="26">
        <v>52</v>
      </c>
      <c r="B53" s="26" t="s">
        <v>453</v>
      </c>
      <c r="C53" s="27" t="s">
        <v>996</v>
      </c>
      <c r="D53" s="27" t="s">
        <v>756</v>
      </c>
      <c r="E53" s="27" t="s">
        <v>759</v>
      </c>
      <c r="F53" s="17" t="s">
        <v>997</v>
      </c>
      <c r="G53" s="27" t="s">
        <v>912</v>
      </c>
      <c r="H53" s="29">
        <v>42</v>
      </c>
      <c r="I53" s="27" t="s">
        <v>998</v>
      </c>
      <c r="J53" s="29">
        <v>5.5</v>
      </c>
      <c r="K53" s="27" t="s">
        <v>878</v>
      </c>
      <c r="L53" s="30">
        <v>60</v>
      </c>
    </row>
    <row r="54" spans="1:12" x14ac:dyDescent="0.25">
      <c r="A54" s="26">
        <v>53</v>
      </c>
      <c r="B54" s="26" t="s">
        <v>442</v>
      </c>
      <c r="C54" s="27" t="s">
        <v>999</v>
      </c>
      <c r="D54" s="27" t="s">
        <v>756</v>
      </c>
      <c r="E54" s="27" t="s">
        <v>759</v>
      </c>
      <c r="F54" s="17" t="s">
        <v>1000</v>
      </c>
      <c r="G54" s="27" t="s">
        <v>912</v>
      </c>
      <c r="H54" s="29">
        <v>39</v>
      </c>
      <c r="I54" s="27" t="s">
        <v>993</v>
      </c>
      <c r="J54" s="29">
        <v>5.5</v>
      </c>
      <c r="K54" s="27" t="s">
        <v>878</v>
      </c>
      <c r="L54" s="30">
        <v>60</v>
      </c>
    </row>
    <row r="55" spans="1:12" x14ac:dyDescent="0.25">
      <c r="A55" s="26">
        <v>54</v>
      </c>
      <c r="B55" s="26" t="s">
        <v>459</v>
      </c>
      <c r="C55" s="27" t="s">
        <v>603</v>
      </c>
      <c r="D55" s="27" t="s">
        <v>756</v>
      </c>
      <c r="E55" s="27" t="s">
        <v>759</v>
      </c>
      <c r="F55" s="17" t="s">
        <v>1001</v>
      </c>
      <c r="G55" s="27" t="s">
        <v>912</v>
      </c>
      <c r="H55" s="29">
        <v>42</v>
      </c>
      <c r="I55" s="27" t="s">
        <v>1002</v>
      </c>
      <c r="J55" s="29">
        <v>6</v>
      </c>
      <c r="K55" s="27" t="s">
        <v>878</v>
      </c>
      <c r="L55" s="30">
        <v>60</v>
      </c>
    </row>
    <row r="56" spans="1:12" x14ac:dyDescent="0.25">
      <c r="A56" s="26">
        <v>55</v>
      </c>
      <c r="B56" s="26" t="s">
        <v>460</v>
      </c>
      <c r="C56" s="27" t="s">
        <v>604</v>
      </c>
      <c r="D56" s="27" t="s">
        <v>756</v>
      </c>
      <c r="E56" s="27" t="s">
        <v>759</v>
      </c>
      <c r="F56" s="17" t="s">
        <v>1003</v>
      </c>
      <c r="G56" s="27" t="s">
        <v>912</v>
      </c>
      <c r="H56" s="29">
        <v>42</v>
      </c>
      <c r="I56" s="27" t="s">
        <v>1002</v>
      </c>
      <c r="J56" s="29">
        <v>6</v>
      </c>
      <c r="K56" s="27" t="s">
        <v>878</v>
      </c>
      <c r="L56" s="30">
        <v>60</v>
      </c>
    </row>
    <row r="57" spans="1:12" x14ac:dyDescent="0.25">
      <c r="A57" s="26">
        <v>56</v>
      </c>
      <c r="B57" s="26" t="s">
        <v>461</v>
      </c>
      <c r="C57" s="27" t="s">
        <v>605</v>
      </c>
      <c r="D57" s="27" t="s">
        <v>756</v>
      </c>
      <c r="E57" s="27" t="s">
        <v>759</v>
      </c>
      <c r="F57" s="17" t="s">
        <v>1004</v>
      </c>
      <c r="G57" s="27" t="s">
        <v>912</v>
      </c>
      <c r="H57" s="29">
        <v>42</v>
      </c>
      <c r="I57" s="27" t="s">
        <v>1002</v>
      </c>
      <c r="J57" s="29">
        <v>6</v>
      </c>
      <c r="K57" s="27" t="s">
        <v>878</v>
      </c>
      <c r="L57" s="30">
        <v>60</v>
      </c>
    </row>
    <row r="58" spans="1:12" x14ac:dyDescent="0.25">
      <c r="A58" s="26">
        <v>57</v>
      </c>
      <c r="B58" s="26" t="s">
        <v>462</v>
      </c>
      <c r="C58" s="27" t="s">
        <v>606</v>
      </c>
      <c r="D58" s="27" t="s">
        <v>756</v>
      </c>
      <c r="E58" s="27" t="s">
        <v>759</v>
      </c>
      <c r="F58" s="17" t="s">
        <v>1001</v>
      </c>
      <c r="G58" s="27" t="s">
        <v>912</v>
      </c>
      <c r="H58" s="29">
        <v>42</v>
      </c>
      <c r="I58" s="27" t="s">
        <v>1002</v>
      </c>
      <c r="J58" s="29">
        <v>6</v>
      </c>
      <c r="K58" s="27" t="s">
        <v>878</v>
      </c>
      <c r="L58" s="30">
        <v>60</v>
      </c>
    </row>
    <row r="59" spans="1:12" x14ac:dyDescent="0.25">
      <c r="A59" s="26">
        <v>58</v>
      </c>
      <c r="B59" s="26" t="s">
        <v>463</v>
      </c>
      <c r="C59" s="27" t="s">
        <v>607</v>
      </c>
      <c r="D59" s="27" t="s">
        <v>756</v>
      </c>
      <c r="E59" s="27" t="s">
        <v>759</v>
      </c>
      <c r="F59" s="17" t="s">
        <v>1005</v>
      </c>
      <c r="G59" s="27" t="s">
        <v>912</v>
      </c>
      <c r="H59" s="29">
        <v>42</v>
      </c>
      <c r="I59" s="27" t="s">
        <v>1002</v>
      </c>
      <c r="J59" s="29">
        <v>6</v>
      </c>
      <c r="K59" s="27" t="s">
        <v>878</v>
      </c>
      <c r="L59" s="30">
        <v>60</v>
      </c>
    </row>
    <row r="60" spans="1:12" x14ac:dyDescent="0.25">
      <c r="A60" s="26">
        <v>59</v>
      </c>
      <c r="B60" s="26" t="s">
        <v>467</v>
      </c>
      <c r="C60" s="27" t="s">
        <v>608</v>
      </c>
      <c r="D60" s="27" t="s">
        <v>756</v>
      </c>
      <c r="E60" s="27" t="s">
        <v>759</v>
      </c>
      <c r="F60" s="17">
        <v>939999982</v>
      </c>
      <c r="G60" s="27" t="s">
        <v>912</v>
      </c>
      <c r="H60" s="29">
        <v>42</v>
      </c>
      <c r="I60" s="27" t="s">
        <v>1002</v>
      </c>
      <c r="J60" s="29">
        <v>6</v>
      </c>
      <c r="K60" s="27" t="s">
        <v>878</v>
      </c>
      <c r="L60" s="30">
        <v>60</v>
      </c>
    </row>
    <row r="61" spans="1:12" x14ac:dyDescent="0.25">
      <c r="A61" s="26">
        <v>60</v>
      </c>
      <c r="B61" s="26" t="s">
        <v>468</v>
      </c>
      <c r="C61" s="27" t="s">
        <v>609</v>
      </c>
      <c r="D61" s="27" t="s">
        <v>756</v>
      </c>
      <c r="E61" s="27" t="s">
        <v>759</v>
      </c>
      <c r="F61" s="17">
        <v>918799988</v>
      </c>
      <c r="G61" s="27" t="s">
        <v>912</v>
      </c>
      <c r="H61" s="29">
        <v>42</v>
      </c>
      <c r="I61" s="27" t="s">
        <v>998</v>
      </c>
      <c r="J61" s="29">
        <v>5.5</v>
      </c>
      <c r="K61" s="27" t="s">
        <v>878</v>
      </c>
      <c r="L61" s="30">
        <v>60</v>
      </c>
    </row>
    <row r="62" spans="1:12" x14ac:dyDescent="0.25">
      <c r="A62" s="26">
        <v>61</v>
      </c>
      <c r="B62" s="26" t="s">
        <v>535</v>
      </c>
      <c r="C62" s="27" t="s">
        <v>610</v>
      </c>
      <c r="D62" s="27" t="s">
        <v>756</v>
      </c>
      <c r="E62" s="27" t="s">
        <v>759</v>
      </c>
      <c r="F62" s="17">
        <v>918799988</v>
      </c>
      <c r="G62" s="27" t="s">
        <v>912</v>
      </c>
      <c r="H62" s="29">
        <v>42</v>
      </c>
      <c r="I62" s="27" t="s">
        <v>998</v>
      </c>
      <c r="J62" s="29">
        <v>5.5</v>
      </c>
      <c r="K62" s="27" t="s">
        <v>878</v>
      </c>
      <c r="L62" s="30">
        <v>60</v>
      </c>
    </row>
    <row r="63" spans="1:12" x14ac:dyDescent="0.25">
      <c r="A63" s="26">
        <v>62</v>
      </c>
      <c r="B63" s="26" t="s">
        <v>540</v>
      </c>
      <c r="C63" s="27" t="s">
        <v>611</v>
      </c>
      <c r="D63" s="27" t="s">
        <v>756</v>
      </c>
      <c r="E63" s="27" t="s">
        <v>757</v>
      </c>
      <c r="F63" s="17">
        <v>931920679</v>
      </c>
      <c r="G63" s="27" t="s">
        <v>912</v>
      </c>
      <c r="H63" s="29">
        <v>42</v>
      </c>
      <c r="I63" s="27" t="s">
        <v>1006</v>
      </c>
      <c r="J63" s="27" t="s">
        <v>1007</v>
      </c>
      <c r="K63" s="27" t="s">
        <v>1006</v>
      </c>
      <c r="L63" s="30">
        <v>60</v>
      </c>
    </row>
    <row r="64" spans="1:12" x14ac:dyDescent="0.25">
      <c r="A64" s="26">
        <v>63</v>
      </c>
      <c r="B64" s="26" t="s">
        <v>469</v>
      </c>
      <c r="C64" s="27" t="s">
        <v>612</v>
      </c>
      <c r="D64" s="27" t="s">
        <v>756</v>
      </c>
      <c r="E64" s="27" t="s">
        <v>759</v>
      </c>
      <c r="F64" s="17">
        <v>939133799</v>
      </c>
      <c r="G64" s="27" t="s">
        <v>912</v>
      </c>
      <c r="H64" s="29">
        <v>42</v>
      </c>
      <c r="I64" s="27" t="s">
        <v>1002</v>
      </c>
      <c r="J64" s="29">
        <v>6</v>
      </c>
      <c r="K64" s="27" t="s">
        <v>878</v>
      </c>
      <c r="L64" s="30">
        <v>60</v>
      </c>
    </row>
    <row r="65" spans="1:12" x14ac:dyDescent="0.25">
      <c r="A65" s="26">
        <v>64</v>
      </c>
      <c r="B65" s="26" t="s">
        <v>470</v>
      </c>
      <c r="C65" s="27" t="s">
        <v>613</v>
      </c>
      <c r="D65" s="27" t="s">
        <v>756</v>
      </c>
      <c r="E65" s="27" t="s">
        <v>759</v>
      </c>
      <c r="F65" s="17">
        <v>939133799</v>
      </c>
      <c r="G65" s="27" t="s">
        <v>912</v>
      </c>
      <c r="H65" s="29">
        <v>42</v>
      </c>
      <c r="I65" s="27" t="s">
        <v>1002</v>
      </c>
      <c r="J65" s="29">
        <v>6</v>
      </c>
      <c r="K65" s="27" t="s">
        <v>878</v>
      </c>
      <c r="L65" s="30">
        <v>60</v>
      </c>
    </row>
    <row r="66" spans="1:12" x14ac:dyDescent="0.25">
      <c r="A66" s="26">
        <v>65</v>
      </c>
      <c r="B66" s="26" t="s">
        <v>483</v>
      </c>
      <c r="C66" s="27" t="s">
        <v>1008</v>
      </c>
      <c r="D66" s="27" t="s">
        <v>756</v>
      </c>
      <c r="E66" s="27" t="s">
        <v>757</v>
      </c>
      <c r="F66" s="17">
        <v>931920679</v>
      </c>
      <c r="G66" s="27" t="s">
        <v>912</v>
      </c>
      <c r="H66" s="29">
        <v>42</v>
      </c>
      <c r="I66" s="27" t="s">
        <v>1006</v>
      </c>
      <c r="J66" s="27" t="s">
        <v>1007</v>
      </c>
      <c r="K66" s="27" t="s">
        <v>1006</v>
      </c>
      <c r="L66" s="30">
        <v>60</v>
      </c>
    </row>
    <row r="67" spans="1:12" x14ac:dyDescent="0.25">
      <c r="A67" s="26">
        <v>66</v>
      </c>
      <c r="B67" s="26" t="s">
        <v>541</v>
      </c>
      <c r="C67" s="27" t="s">
        <v>614</v>
      </c>
      <c r="D67" s="27" t="s">
        <v>756</v>
      </c>
      <c r="E67" s="27" t="s">
        <v>759</v>
      </c>
      <c r="F67" s="17">
        <v>939553439</v>
      </c>
      <c r="G67" s="27" t="s">
        <v>912</v>
      </c>
      <c r="H67" s="29">
        <v>42</v>
      </c>
      <c r="I67" s="27" t="s">
        <v>1007</v>
      </c>
      <c r="J67" s="27" t="s">
        <v>1007</v>
      </c>
      <c r="K67" s="27" t="s">
        <v>1007</v>
      </c>
      <c r="L67" s="30">
        <v>60</v>
      </c>
    </row>
    <row r="68" spans="1:12" x14ac:dyDescent="0.25">
      <c r="A68" s="26">
        <v>67</v>
      </c>
      <c r="B68" s="26" t="s">
        <v>533</v>
      </c>
      <c r="C68" s="27" t="s">
        <v>615</v>
      </c>
      <c r="D68" s="27" t="s">
        <v>756</v>
      </c>
      <c r="E68" s="27" t="s">
        <v>759</v>
      </c>
      <c r="F68" s="17">
        <v>907754999</v>
      </c>
      <c r="G68" s="27" t="s">
        <v>912</v>
      </c>
      <c r="H68" s="29">
        <v>42</v>
      </c>
      <c r="I68" s="27" t="s">
        <v>1002</v>
      </c>
      <c r="J68" s="29">
        <v>6</v>
      </c>
      <c r="K68" s="27" t="s">
        <v>878</v>
      </c>
      <c r="L68" s="30">
        <v>60</v>
      </c>
    </row>
    <row r="69" spans="1:12" x14ac:dyDescent="0.25">
      <c r="A69" s="26">
        <v>68</v>
      </c>
      <c r="B69" s="26" t="s">
        <v>534</v>
      </c>
      <c r="C69" s="27" t="s">
        <v>616</v>
      </c>
      <c r="D69" s="27" t="s">
        <v>756</v>
      </c>
      <c r="E69" s="27" t="s">
        <v>759</v>
      </c>
      <c r="F69" s="17">
        <v>939553439</v>
      </c>
      <c r="G69" s="27" t="s">
        <v>912</v>
      </c>
      <c r="H69" s="29">
        <v>42</v>
      </c>
      <c r="I69" s="27" t="s">
        <v>1002</v>
      </c>
      <c r="J69" s="29">
        <v>6</v>
      </c>
      <c r="K69" s="27" t="s">
        <v>878</v>
      </c>
      <c r="L69" s="30">
        <v>60</v>
      </c>
    </row>
    <row r="70" spans="1:12" x14ac:dyDescent="0.25">
      <c r="A70" s="26">
        <v>69</v>
      </c>
      <c r="B70" s="26" t="s">
        <v>505</v>
      </c>
      <c r="C70" s="27" t="s">
        <v>617</v>
      </c>
      <c r="D70" s="27" t="s">
        <v>756</v>
      </c>
      <c r="E70" s="27" t="s">
        <v>759</v>
      </c>
      <c r="F70" s="17">
        <v>939000567</v>
      </c>
      <c r="G70" s="27" t="s">
        <v>912</v>
      </c>
      <c r="H70" s="29">
        <v>42</v>
      </c>
      <c r="I70" s="27" t="s">
        <v>1002</v>
      </c>
      <c r="J70" s="29">
        <v>6</v>
      </c>
      <c r="K70" s="27" t="s">
        <v>878</v>
      </c>
      <c r="L70" s="30">
        <v>60</v>
      </c>
    </row>
    <row r="71" spans="1:12" x14ac:dyDescent="0.25">
      <c r="A71" s="26">
        <v>70</v>
      </c>
      <c r="B71" s="26" t="s">
        <v>506</v>
      </c>
      <c r="C71" s="27" t="s">
        <v>618</v>
      </c>
      <c r="D71" s="27" t="s">
        <v>756</v>
      </c>
      <c r="E71" s="27" t="s">
        <v>759</v>
      </c>
      <c r="F71" s="17">
        <v>939000567</v>
      </c>
      <c r="G71" s="27" t="s">
        <v>912</v>
      </c>
      <c r="H71" s="29">
        <v>42</v>
      </c>
      <c r="I71" s="27" t="s">
        <v>1002</v>
      </c>
      <c r="J71" s="29">
        <v>6</v>
      </c>
      <c r="K71" s="27" t="s">
        <v>878</v>
      </c>
      <c r="L71" s="30">
        <v>60</v>
      </c>
    </row>
    <row r="72" spans="1:12" x14ac:dyDescent="0.25">
      <c r="A72" s="26">
        <v>71</v>
      </c>
      <c r="B72" s="26" t="s">
        <v>507</v>
      </c>
      <c r="C72" s="27" t="s">
        <v>619</v>
      </c>
      <c r="D72" s="27" t="s">
        <v>756</v>
      </c>
      <c r="E72" s="27" t="s">
        <v>759</v>
      </c>
      <c r="F72" s="17">
        <v>939133799</v>
      </c>
      <c r="G72" s="27" t="s">
        <v>912</v>
      </c>
      <c r="H72" s="29">
        <v>42</v>
      </c>
      <c r="I72" s="27" t="s">
        <v>1002</v>
      </c>
      <c r="J72" s="29">
        <v>6</v>
      </c>
      <c r="K72" s="27" t="s">
        <v>878</v>
      </c>
      <c r="L72" s="30">
        <v>60</v>
      </c>
    </row>
    <row r="73" spans="1:12" x14ac:dyDescent="0.25">
      <c r="A73" s="26">
        <v>72</v>
      </c>
      <c r="B73" s="26" t="s">
        <v>515</v>
      </c>
      <c r="C73" s="27" t="s">
        <v>620</v>
      </c>
      <c r="D73" s="27" t="s">
        <v>756</v>
      </c>
      <c r="E73" s="27" t="s">
        <v>757</v>
      </c>
      <c r="F73" s="17">
        <v>931920679</v>
      </c>
      <c r="G73" s="27" t="s">
        <v>912</v>
      </c>
      <c r="H73" s="29">
        <v>42</v>
      </c>
      <c r="I73" s="27" t="s">
        <v>1006</v>
      </c>
      <c r="J73" s="27" t="s">
        <v>1007</v>
      </c>
      <c r="K73" s="27" t="s">
        <v>1006</v>
      </c>
      <c r="L73" s="30">
        <v>60</v>
      </c>
    </row>
    <row r="74" spans="1:12" x14ac:dyDescent="0.25">
      <c r="A74" s="26">
        <v>73</v>
      </c>
      <c r="B74" s="26" t="s">
        <v>9</v>
      </c>
      <c r="C74" s="27" t="s">
        <v>1009</v>
      </c>
      <c r="D74" s="27" t="s">
        <v>775</v>
      </c>
      <c r="E74" s="27" t="s">
        <v>878</v>
      </c>
      <c r="F74" s="17">
        <v>913760375</v>
      </c>
      <c r="G74" s="27" t="s">
        <v>912</v>
      </c>
      <c r="H74" s="29">
        <v>45</v>
      </c>
      <c r="I74" s="27" t="s">
        <v>965</v>
      </c>
      <c r="J74" s="29">
        <v>15</v>
      </c>
      <c r="K74" s="27" t="s">
        <v>878</v>
      </c>
      <c r="L74" s="30">
        <v>60</v>
      </c>
    </row>
    <row r="75" spans="1:12" x14ac:dyDescent="0.25">
      <c r="A75" s="26">
        <v>74</v>
      </c>
      <c r="B75" s="26" t="s">
        <v>216</v>
      </c>
      <c r="C75" s="27" t="s">
        <v>1010</v>
      </c>
      <c r="D75" s="27" t="s">
        <v>775</v>
      </c>
      <c r="E75" s="27" t="s">
        <v>772</v>
      </c>
      <c r="F75" s="17">
        <v>907729992</v>
      </c>
      <c r="G75" s="27" t="s">
        <v>912</v>
      </c>
      <c r="H75" s="29">
        <v>24</v>
      </c>
      <c r="I75" s="27" t="s">
        <v>1011</v>
      </c>
      <c r="J75" s="29">
        <v>7</v>
      </c>
      <c r="K75" s="27" t="s">
        <v>765</v>
      </c>
      <c r="L75" s="30">
        <v>60</v>
      </c>
    </row>
    <row r="76" spans="1:12" x14ac:dyDescent="0.25">
      <c r="A76" s="26">
        <v>75</v>
      </c>
      <c r="B76" s="26" t="s">
        <v>217</v>
      </c>
      <c r="C76" s="27" t="s">
        <v>625</v>
      </c>
      <c r="D76" s="27" t="s">
        <v>775</v>
      </c>
      <c r="E76" s="27" t="s">
        <v>842</v>
      </c>
      <c r="F76" s="17">
        <v>2923823194</v>
      </c>
      <c r="G76" s="27" t="s">
        <v>912</v>
      </c>
      <c r="H76" s="29">
        <v>39</v>
      </c>
      <c r="I76" s="27" t="s">
        <v>929</v>
      </c>
      <c r="J76" s="29">
        <v>20</v>
      </c>
      <c r="K76" s="27" t="s">
        <v>842</v>
      </c>
      <c r="L76" s="30">
        <v>60</v>
      </c>
    </row>
    <row r="77" spans="1:12" x14ac:dyDescent="0.25">
      <c r="A77" s="26">
        <v>76</v>
      </c>
      <c r="B77" s="26" t="s">
        <v>218</v>
      </c>
      <c r="C77" s="27" t="s">
        <v>626</v>
      </c>
      <c r="D77" s="27" t="s">
        <v>775</v>
      </c>
      <c r="E77" s="27" t="s">
        <v>933</v>
      </c>
      <c r="F77" s="17">
        <v>903303637</v>
      </c>
      <c r="G77" s="27" t="s">
        <v>912</v>
      </c>
      <c r="H77" s="29">
        <v>45</v>
      </c>
      <c r="I77" s="27" t="s">
        <v>934</v>
      </c>
      <c r="J77" s="29">
        <v>12</v>
      </c>
      <c r="K77" s="27" t="s">
        <v>765</v>
      </c>
      <c r="L77" s="30">
        <v>60</v>
      </c>
    </row>
    <row r="78" spans="1:12" x14ac:dyDescent="0.25">
      <c r="A78" s="26">
        <v>77</v>
      </c>
      <c r="B78" s="26" t="s">
        <v>219</v>
      </c>
      <c r="C78" s="27" t="s">
        <v>1012</v>
      </c>
      <c r="D78" s="27" t="s">
        <v>775</v>
      </c>
      <c r="E78" s="27" t="s">
        <v>967</v>
      </c>
      <c r="F78" s="17">
        <v>903460199</v>
      </c>
      <c r="G78" s="27" t="s">
        <v>912</v>
      </c>
      <c r="H78" s="29">
        <v>45</v>
      </c>
      <c r="I78" s="27" t="s">
        <v>934</v>
      </c>
      <c r="J78" s="29">
        <v>12</v>
      </c>
      <c r="K78" s="27" t="s">
        <v>765</v>
      </c>
      <c r="L78" s="30">
        <v>60</v>
      </c>
    </row>
    <row r="79" spans="1:12" x14ac:dyDescent="0.25">
      <c r="A79" s="26">
        <v>78</v>
      </c>
      <c r="B79" s="26" t="s">
        <v>220</v>
      </c>
      <c r="C79" s="27" t="s">
        <v>1013</v>
      </c>
      <c r="D79" s="27" t="s">
        <v>775</v>
      </c>
      <c r="E79" s="27" t="s">
        <v>771</v>
      </c>
      <c r="F79" s="17">
        <v>939185125</v>
      </c>
      <c r="G79" s="27" t="s">
        <v>912</v>
      </c>
      <c r="H79" s="29">
        <v>42</v>
      </c>
      <c r="I79" s="27" t="s">
        <v>934</v>
      </c>
      <c r="J79" s="29">
        <v>12</v>
      </c>
      <c r="K79" s="27" t="s">
        <v>765</v>
      </c>
      <c r="L79" s="30">
        <v>60</v>
      </c>
    </row>
    <row r="80" spans="1:12" x14ac:dyDescent="0.25">
      <c r="A80" s="26">
        <v>79</v>
      </c>
      <c r="B80" s="26" t="s">
        <v>221</v>
      </c>
      <c r="C80" s="27" t="s">
        <v>1014</v>
      </c>
      <c r="D80" s="27" t="s">
        <v>775</v>
      </c>
      <c r="E80" s="27" t="s">
        <v>974</v>
      </c>
      <c r="F80" s="17">
        <v>907291771</v>
      </c>
      <c r="G80" s="27" t="s">
        <v>912</v>
      </c>
      <c r="H80" s="29">
        <v>42</v>
      </c>
      <c r="I80" s="27" t="s">
        <v>934</v>
      </c>
      <c r="J80" s="29">
        <v>12</v>
      </c>
      <c r="K80" s="27" t="s">
        <v>765</v>
      </c>
      <c r="L80" s="30">
        <v>60</v>
      </c>
    </row>
    <row r="81" spans="1:12" x14ac:dyDescent="0.25">
      <c r="A81" s="26">
        <v>80</v>
      </c>
      <c r="B81" s="26" t="s">
        <v>222</v>
      </c>
      <c r="C81" s="27" t="s">
        <v>1015</v>
      </c>
      <c r="D81" s="27" t="s">
        <v>775</v>
      </c>
      <c r="E81" s="27" t="s">
        <v>772</v>
      </c>
      <c r="F81" s="17">
        <v>907729992</v>
      </c>
      <c r="G81" s="27" t="s">
        <v>912</v>
      </c>
      <c r="H81" s="29">
        <v>42</v>
      </c>
      <c r="I81" s="27" t="s">
        <v>934</v>
      </c>
      <c r="J81" s="29">
        <v>12</v>
      </c>
      <c r="K81" s="27" t="s">
        <v>765</v>
      </c>
      <c r="L81" s="30">
        <v>60</v>
      </c>
    </row>
    <row r="82" spans="1:12" x14ac:dyDescent="0.25">
      <c r="A82" s="26">
        <v>81</v>
      </c>
      <c r="B82" s="26" t="s">
        <v>223</v>
      </c>
      <c r="C82" s="27" t="s">
        <v>1016</v>
      </c>
      <c r="D82" s="27" t="s">
        <v>775</v>
      </c>
      <c r="E82" s="27" t="s">
        <v>974</v>
      </c>
      <c r="F82" s="17">
        <v>907291771</v>
      </c>
      <c r="G82" s="27" t="s">
        <v>912</v>
      </c>
      <c r="H82" s="29">
        <v>45</v>
      </c>
      <c r="I82" s="27" t="s">
        <v>934</v>
      </c>
      <c r="J82" s="29">
        <v>12</v>
      </c>
      <c r="K82" s="27" t="s">
        <v>765</v>
      </c>
      <c r="L82" s="30">
        <v>60</v>
      </c>
    </row>
    <row r="83" spans="1:12" x14ac:dyDescent="0.25">
      <c r="A83" s="26">
        <v>82</v>
      </c>
      <c r="B83" s="26" t="s">
        <v>224</v>
      </c>
      <c r="C83" s="27" t="s">
        <v>1017</v>
      </c>
      <c r="D83" s="27" t="s">
        <v>775</v>
      </c>
      <c r="E83" s="27" t="s">
        <v>974</v>
      </c>
      <c r="F83" s="17">
        <v>907291771</v>
      </c>
      <c r="G83" s="27" t="s">
        <v>912</v>
      </c>
      <c r="H83" s="29">
        <v>45</v>
      </c>
      <c r="I83" s="27" t="s">
        <v>934</v>
      </c>
      <c r="J83" s="29">
        <v>12</v>
      </c>
      <c r="K83" s="27" t="s">
        <v>765</v>
      </c>
      <c r="L83" s="30">
        <v>60</v>
      </c>
    </row>
    <row r="84" spans="1:12" x14ac:dyDescent="0.25">
      <c r="A84" s="26">
        <v>83</v>
      </c>
      <c r="B84" s="26" t="s">
        <v>225</v>
      </c>
      <c r="C84" s="27" t="s">
        <v>1018</v>
      </c>
      <c r="D84" s="27" t="s">
        <v>775</v>
      </c>
      <c r="E84" s="27" t="s">
        <v>974</v>
      </c>
      <c r="F84" s="17">
        <v>907291771</v>
      </c>
      <c r="G84" s="27" t="s">
        <v>912</v>
      </c>
      <c r="H84" s="29">
        <v>45</v>
      </c>
      <c r="I84" s="27" t="s">
        <v>934</v>
      </c>
      <c r="J84" s="29">
        <v>12</v>
      </c>
      <c r="K84" s="27" t="s">
        <v>765</v>
      </c>
      <c r="L84" s="30">
        <v>60</v>
      </c>
    </row>
    <row r="85" spans="1:12" x14ac:dyDescent="0.25">
      <c r="A85" s="26">
        <v>84</v>
      </c>
      <c r="B85" s="26" t="s">
        <v>226</v>
      </c>
      <c r="C85" s="27" t="s">
        <v>1019</v>
      </c>
      <c r="D85" s="27" t="s">
        <v>775</v>
      </c>
      <c r="E85" s="27" t="s">
        <v>772</v>
      </c>
      <c r="F85" s="17">
        <v>907729992</v>
      </c>
      <c r="G85" s="27" t="s">
        <v>912</v>
      </c>
      <c r="H85" s="29">
        <v>42</v>
      </c>
      <c r="I85" s="27" t="s">
        <v>934</v>
      </c>
      <c r="J85" s="29">
        <v>12</v>
      </c>
      <c r="K85" s="27" t="s">
        <v>765</v>
      </c>
      <c r="L85" s="30">
        <v>60</v>
      </c>
    </row>
    <row r="86" spans="1:12" x14ac:dyDescent="0.25">
      <c r="A86" s="26">
        <v>85</v>
      </c>
      <c r="B86" s="26" t="s">
        <v>227</v>
      </c>
      <c r="C86" s="27" t="s">
        <v>1020</v>
      </c>
      <c r="D86" s="27" t="s">
        <v>775</v>
      </c>
      <c r="E86" s="27" t="s">
        <v>878</v>
      </c>
      <c r="F86" s="17">
        <v>947664241</v>
      </c>
      <c r="G86" s="27" t="s">
        <v>912</v>
      </c>
      <c r="H86" s="29">
        <v>45</v>
      </c>
      <c r="I86" s="27" t="s">
        <v>986</v>
      </c>
      <c r="J86" s="29">
        <v>8</v>
      </c>
      <c r="K86" s="27" t="s">
        <v>878</v>
      </c>
      <c r="L86" s="30">
        <v>60</v>
      </c>
    </row>
    <row r="87" spans="1:12" x14ac:dyDescent="0.25">
      <c r="A87" s="26">
        <v>86</v>
      </c>
      <c r="B87" s="26" t="s">
        <v>412</v>
      </c>
      <c r="C87" s="27" t="s">
        <v>1021</v>
      </c>
      <c r="D87" s="27" t="s">
        <v>775</v>
      </c>
      <c r="E87" s="27" t="s">
        <v>878</v>
      </c>
      <c r="F87" s="17">
        <v>939890620</v>
      </c>
      <c r="G87" s="27" t="s">
        <v>912</v>
      </c>
      <c r="H87" s="29">
        <v>42</v>
      </c>
      <c r="I87" s="27" t="s">
        <v>927</v>
      </c>
      <c r="J87" s="29">
        <v>8</v>
      </c>
      <c r="K87" s="27" t="s">
        <v>878</v>
      </c>
      <c r="L87" s="30">
        <v>60</v>
      </c>
    </row>
    <row r="88" spans="1:12" x14ac:dyDescent="0.25">
      <c r="A88" s="26">
        <v>87</v>
      </c>
      <c r="B88" s="26" t="s">
        <v>228</v>
      </c>
      <c r="C88" s="27" t="s">
        <v>1022</v>
      </c>
      <c r="D88" s="27" t="s">
        <v>775</v>
      </c>
      <c r="E88" s="27" t="s">
        <v>974</v>
      </c>
      <c r="F88" s="17">
        <v>907291771</v>
      </c>
      <c r="G88" s="27" t="s">
        <v>912</v>
      </c>
      <c r="H88" s="29">
        <v>42</v>
      </c>
      <c r="I88" s="27" t="s">
        <v>934</v>
      </c>
      <c r="J88" s="29">
        <v>12</v>
      </c>
      <c r="K88" s="27" t="s">
        <v>765</v>
      </c>
      <c r="L88" s="30">
        <v>60</v>
      </c>
    </row>
    <row r="89" spans="1:12" x14ac:dyDescent="0.25">
      <c r="A89" s="26">
        <v>88</v>
      </c>
      <c r="B89" s="26" t="s">
        <v>229</v>
      </c>
      <c r="C89" s="27" t="s">
        <v>1023</v>
      </c>
      <c r="D89" s="27" t="s">
        <v>775</v>
      </c>
      <c r="E89" s="27" t="s">
        <v>974</v>
      </c>
      <c r="F89" s="17">
        <v>907291771</v>
      </c>
      <c r="G89" s="27" t="s">
        <v>912</v>
      </c>
      <c r="H89" s="29">
        <v>42</v>
      </c>
      <c r="I89" s="27" t="s">
        <v>934</v>
      </c>
      <c r="J89" s="29">
        <v>12</v>
      </c>
      <c r="K89" s="27" t="s">
        <v>765</v>
      </c>
      <c r="L89" s="30">
        <v>60</v>
      </c>
    </row>
    <row r="90" spans="1:12" x14ac:dyDescent="0.25">
      <c r="A90" s="26">
        <v>89</v>
      </c>
      <c r="B90" s="26" t="s">
        <v>230</v>
      </c>
      <c r="C90" s="27" t="s">
        <v>838</v>
      </c>
      <c r="D90" s="27" t="s">
        <v>775</v>
      </c>
      <c r="E90" s="27" t="s">
        <v>774</v>
      </c>
      <c r="F90" s="17">
        <v>907498282</v>
      </c>
      <c r="G90" s="27" t="s">
        <v>912</v>
      </c>
      <c r="H90" s="29">
        <v>45</v>
      </c>
      <c r="I90" s="27" t="s">
        <v>1024</v>
      </c>
      <c r="J90" s="29">
        <v>12</v>
      </c>
      <c r="K90" s="27" t="s">
        <v>765</v>
      </c>
      <c r="L90" s="30">
        <v>60</v>
      </c>
    </row>
    <row r="91" spans="1:12" x14ac:dyDescent="0.25">
      <c r="A91" s="26">
        <v>90</v>
      </c>
      <c r="B91" s="26" t="s">
        <v>231</v>
      </c>
      <c r="C91" s="27" t="s">
        <v>1025</v>
      </c>
      <c r="D91" s="27" t="s">
        <v>777</v>
      </c>
      <c r="E91" s="27" t="s">
        <v>974</v>
      </c>
      <c r="F91" s="17">
        <v>907291771</v>
      </c>
      <c r="G91" s="27" t="s">
        <v>912</v>
      </c>
      <c r="H91" s="29">
        <v>45</v>
      </c>
      <c r="I91" s="27" t="s">
        <v>934</v>
      </c>
      <c r="J91" s="29">
        <v>12</v>
      </c>
      <c r="K91" s="27" t="s">
        <v>765</v>
      </c>
      <c r="L91" s="30">
        <v>60</v>
      </c>
    </row>
    <row r="92" spans="1:12" x14ac:dyDescent="0.25">
      <c r="A92" s="26">
        <v>91</v>
      </c>
      <c r="B92" s="26" t="s">
        <v>232</v>
      </c>
      <c r="C92" s="27" t="s">
        <v>1026</v>
      </c>
      <c r="D92" s="27" t="s">
        <v>775</v>
      </c>
      <c r="E92" s="27" t="s">
        <v>878</v>
      </c>
      <c r="F92" s="17">
        <v>968262075</v>
      </c>
      <c r="G92" s="27" t="s">
        <v>912</v>
      </c>
      <c r="H92" s="29">
        <v>45</v>
      </c>
      <c r="I92" s="27" t="s">
        <v>965</v>
      </c>
      <c r="J92" s="29">
        <v>15</v>
      </c>
      <c r="K92" s="27" t="s">
        <v>878</v>
      </c>
      <c r="L92" s="30">
        <v>60</v>
      </c>
    </row>
    <row r="93" spans="1:12" x14ac:dyDescent="0.25">
      <c r="A93" s="26">
        <v>92</v>
      </c>
      <c r="B93" s="26" t="s">
        <v>233</v>
      </c>
      <c r="C93" s="27" t="s">
        <v>1027</v>
      </c>
      <c r="D93" s="27" t="s">
        <v>775</v>
      </c>
      <c r="E93" s="27" t="s">
        <v>778</v>
      </c>
      <c r="F93" s="17">
        <v>939573663</v>
      </c>
      <c r="G93" s="27" t="s">
        <v>912</v>
      </c>
      <c r="H93" s="29">
        <v>29</v>
      </c>
      <c r="I93" s="27" t="s">
        <v>934</v>
      </c>
      <c r="J93" s="29">
        <v>12</v>
      </c>
      <c r="K93" s="27" t="s">
        <v>765</v>
      </c>
      <c r="L93" s="30">
        <v>60</v>
      </c>
    </row>
    <row r="94" spans="1:12" x14ac:dyDescent="0.25">
      <c r="A94" s="26">
        <v>93</v>
      </c>
      <c r="B94" s="26" t="s">
        <v>234</v>
      </c>
      <c r="C94" s="27" t="s">
        <v>1028</v>
      </c>
      <c r="D94" s="27" t="s">
        <v>775</v>
      </c>
      <c r="E94" s="27" t="s">
        <v>759</v>
      </c>
      <c r="F94" s="17">
        <v>939070330</v>
      </c>
      <c r="G94" s="27" t="s">
        <v>912</v>
      </c>
      <c r="H94" s="29">
        <v>39</v>
      </c>
      <c r="I94" s="27" t="s">
        <v>934</v>
      </c>
      <c r="J94" s="29">
        <v>12</v>
      </c>
      <c r="K94" s="27" t="s">
        <v>937</v>
      </c>
      <c r="L94" s="30">
        <v>60</v>
      </c>
    </row>
    <row r="95" spans="1:12" x14ac:dyDescent="0.25">
      <c r="A95" s="26">
        <v>94</v>
      </c>
      <c r="B95" s="26" t="s">
        <v>235</v>
      </c>
      <c r="C95" s="27" t="s">
        <v>1029</v>
      </c>
      <c r="D95" s="27" t="s">
        <v>775</v>
      </c>
      <c r="E95" s="27" t="s">
        <v>778</v>
      </c>
      <c r="F95" s="17">
        <v>939573663</v>
      </c>
      <c r="G95" s="27" t="s">
        <v>912</v>
      </c>
      <c r="H95" s="29">
        <v>39</v>
      </c>
      <c r="I95" s="27" t="s">
        <v>934</v>
      </c>
      <c r="J95" s="29">
        <v>12</v>
      </c>
      <c r="K95" s="27" t="s">
        <v>765</v>
      </c>
      <c r="L95" s="30">
        <v>60</v>
      </c>
    </row>
    <row r="96" spans="1:12" x14ac:dyDescent="0.25">
      <c r="A96" s="26">
        <v>95</v>
      </c>
      <c r="B96" s="26" t="s">
        <v>236</v>
      </c>
      <c r="C96" s="27" t="s">
        <v>1030</v>
      </c>
      <c r="D96" s="27" t="s">
        <v>775</v>
      </c>
      <c r="E96" s="27" t="s">
        <v>779</v>
      </c>
      <c r="F96" s="17">
        <v>939636248</v>
      </c>
      <c r="G96" s="27" t="s">
        <v>912</v>
      </c>
      <c r="H96" s="29">
        <v>42</v>
      </c>
      <c r="I96" s="27" t="s">
        <v>934</v>
      </c>
      <c r="J96" s="29">
        <v>12</v>
      </c>
      <c r="K96" s="27" t="s">
        <v>765</v>
      </c>
      <c r="L96" s="30">
        <v>60</v>
      </c>
    </row>
    <row r="97" spans="1:12" x14ac:dyDescent="0.25">
      <c r="A97" s="26">
        <v>96</v>
      </c>
      <c r="B97" s="26" t="s">
        <v>237</v>
      </c>
      <c r="C97" s="27" t="s">
        <v>1031</v>
      </c>
      <c r="D97" s="27" t="s">
        <v>775</v>
      </c>
      <c r="E97" s="27" t="s">
        <v>779</v>
      </c>
      <c r="F97" s="17">
        <v>939636248</v>
      </c>
      <c r="G97" s="27" t="s">
        <v>912</v>
      </c>
      <c r="H97" s="29">
        <v>42</v>
      </c>
      <c r="I97" s="27" t="s">
        <v>934</v>
      </c>
      <c r="J97" s="29">
        <v>12</v>
      </c>
      <c r="K97" s="27" t="s">
        <v>765</v>
      </c>
      <c r="L97" s="30">
        <v>60</v>
      </c>
    </row>
    <row r="98" spans="1:12" x14ac:dyDescent="0.25">
      <c r="A98" s="26">
        <v>97</v>
      </c>
      <c r="B98" s="26" t="s">
        <v>238</v>
      </c>
      <c r="C98" s="27" t="s">
        <v>1032</v>
      </c>
      <c r="D98" s="27" t="s">
        <v>775</v>
      </c>
      <c r="E98" s="27" t="s">
        <v>779</v>
      </c>
      <c r="F98" s="17">
        <v>939636248</v>
      </c>
      <c r="G98" s="27" t="s">
        <v>912</v>
      </c>
      <c r="H98" s="29">
        <v>42</v>
      </c>
      <c r="I98" s="27" t="s">
        <v>934</v>
      </c>
      <c r="J98" s="29">
        <v>12</v>
      </c>
      <c r="K98" s="27" t="s">
        <v>765</v>
      </c>
      <c r="L98" s="30">
        <v>60</v>
      </c>
    </row>
    <row r="99" spans="1:12" x14ac:dyDescent="0.25">
      <c r="A99" s="26">
        <v>98</v>
      </c>
      <c r="B99" s="26" t="s">
        <v>334</v>
      </c>
      <c r="C99" s="27" t="s">
        <v>1033</v>
      </c>
      <c r="D99" s="27" t="s">
        <v>775</v>
      </c>
      <c r="E99" s="27" t="s">
        <v>759</v>
      </c>
      <c r="F99" s="17">
        <v>1227597387</v>
      </c>
      <c r="G99" s="27" t="s">
        <v>912</v>
      </c>
      <c r="H99" s="29">
        <v>39</v>
      </c>
      <c r="I99" s="27" t="s">
        <v>934</v>
      </c>
      <c r="J99" s="29">
        <v>12</v>
      </c>
      <c r="K99" s="27" t="s">
        <v>937</v>
      </c>
      <c r="L99" s="30">
        <v>60</v>
      </c>
    </row>
    <row r="100" spans="1:12" x14ac:dyDescent="0.25">
      <c r="A100" s="26">
        <v>99</v>
      </c>
      <c r="B100" s="26" t="s">
        <v>335</v>
      </c>
      <c r="C100" s="27" t="s">
        <v>1034</v>
      </c>
      <c r="D100" s="27" t="s">
        <v>775</v>
      </c>
      <c r="E100" s="27" t="s">
        <v>759</v>
      </c>
      <c r="F100" s="17">
        <v>939999970</v>
      </c>
      <c r="G100" s="27" t="s">
        <v>912</v>
      </c>
      <c r="H100" s="29">
        <v>39</v>
      </c>
      <c r="I100" s="27" t="s">
        <v>934</v>
      </c>
      <c r="J100" s="29">
        <v>12</v>
      </c>
      <c r="K100" s="27" t="s">
        <v>937</v>
      </c>
      <c r="L100" s="30">
        <v>60</v>
      </c>
    </row>
    <row r="101" spans="1:12" x14ac:dyDescent="0.25">
      <c r="A101" s="26">
        <v>100</v>
      </c>
      <c r="B101" s="26" t="s">
        <v>336</v>
      </c>
      <c r="C101" s="27" t="s">
        <v>1035</v>
      </c>
      <c r="D101" s="27" t="s">
        <v>775</v>
      </c>
      <c r="E101" s="27" t="s">
        <v>759</v>
      </c>
      <c r="F101" s="17">
        <v>916128949</v>
      </c>
      <c r="G101" s="27" t="s">
        <v>912</v>
      </c>
      <c r="H101" s="29">
        <v>39</v>
      </c>
      <c r="I101" s="27" t="s">
        <v>934</v>
      </c>
      <c r="J101" s="29">
        <v>12</v>
      </c>
      <c r="K101" s="27" t="s">
        <v>937</v>
      </c>
      <c r="L101" s="30">
        <v>60</v>
      </c>
    </row>
    <row r="102" spans="1:12" x14ac:dyDescent="0.25">
      <c r="A102" s="26">
        <v>101</v>
      </c>
      <c r="B102" s="26" t="s">
        <v>333</v>
      </c>
      <c r="C102" s="27" t="s">
        <v>1036</v>
      </c>
      <c r="D102" s="27" t="s">
        <v>775</v>
      </c>
      <c r="E102" s="27" t="s">
        <v>878</v>
      </c>
      <c r="F102" s="17" t="s">
        <v>1037</v>
      </c>
      <c r="G102" s="27" t="s">
        <v>912</v>
      </c>
      <c r="H102" s="29">
        <v>45</v>
      </c>
      <c r="I102" s="27" t="s">
        <v>927</v>
      </c>
      <c r="J102" s="29">
        <v>8</v>
      </c>
      <c r="K102" s="27" t="s">
        <v>878</v>
      </c>
      <c r="L102" s="30">
        <v>60</v>
      </c>
    </row>
    <row r="103" spans="1:12" x14ac:dyDescent="0.25">
      <c r="A103" s="26">
        <v>102</v>
      </c>
      <c r="B103" s="26" t="s">
        <v>337</v>
      </c>
      <c r="C103" s="27" t="s">
        <v>1038</v>
      </c>
      <c r="D103" s="27" t="s">
        <v>775</v>
      </c>
      <c r="E103" s="27" t="s">
        <v>878</v>
      </c>
      <c r="F103" s="17">
        <v>1219591311</v>
      </c>
      <c r="G103" s="27" t="s">
        <v>912</v>
      </c>
      <c r="H103" s="29">
        <v>45</v>
      </c>
      <c r="I103" s="27" t="s">
        <v>952</v>
      </c>
      <c r="J103" s="29">
        <v>5.5</v>
      </c>
      <c r="K103" s="27" t="s">
        <v>878</v>
      </c>
      <c r="L103" s="30">
        <v>60</v>
      </c>
    </row>
    <row r="104" spans="1:12" x14ac:dyDescent="0.25">
      <c r="A104" s="26">
        <v>103</v>
      </c>
      <c r="B104" s="26" t="s">
        <v>328</v>
      </c>
      <c r="C104" s="27" t="s">
        <v>1039</v>
      </c>
      <c r="D104" s="27" t="s">
        <v>775</v>
      </c>
      <c r="E104" s="27" t="s">
        <v>878</v>
      </c>
      <c r="F104" s="17">
        <v>947664768</v>
      </c>
      <c r="G104" s="27" t="s">
        <v>912</v>
      </c>
      <c r="H104" s="29">
        <v>45</v>
      </c>
      <c r="I104" s="27" t="s">
        <v>986</v>
      </c>
      <c r="J104" s="29">
        <v>8</v>
      </c>
      <c r="K104" s="27" t="s">
        <v>878</v>
      </c>
      <c r="L104" s="30">
        <v>60</v>
      </c>
    </row>
    <row r="105" spans="1:12" x14ac:dyDescent="0.25">
      <c r="A105" s="26">
        <v>104</v>
      </c>
      <c r="B105" s="26" t="s">
        <v>325</v>
      </c>
      <c r="C105" s="27" t="s">
        <v>1040</v>
      </c>
      <c r="D105" s="27" t="s">
        <v>775</v>
      </c>
      <c r="E105" s="27" t="s">
        <v>933</v>
      </c>
      <c r="F105" s="17">
        <v>903303637</v>
      </c>
      <c r="G105" s="27" t="s">
        <v>912</v>
      </c>
      <c r="H105" s="29">
        <v>42</v>
      </c>
      <c r="I105" s="27" t="s">
        <v>934</v>
      </c>
      <c r="J105" s="29">
        <v>12</v>
      </c>
      <c r="K105" s="27" t="s">
        <v>765</v>
      </c>
      <c r="L105" s="30">
        <v>60</v>
      </c>
    </row>
    <row r="106" spans="1:12" x14ac:dyDescent="0.25">
      <c r="A106" s="26">
        <v>105</v>
      </c>
      <c r="B106" s="26" t="s">
        <v>542</v>
      </c>
      <c r="C106" s="27" t="s">
        <v>627</v>
      </c>
      <c r="D106" s="27" t="s">
        <v>775</v>
      </c>
      <c r="E106" s="27" t="s">
        <v>759</v>
      </c>
      <c r="F106" s="17">
        <v>908099992</v>
      </c>
      <c r="G106" s="27" t="s">
        <v>912</v>
      </c>
      <c r="H106" s="29">
        <v>42</v>
      </c>
      <c r="I106" s="27" t="s">
        <v>1006</v>
      </c>
      <c r="J106" s="27" t="s">
        <v>1007</v>
      </c>
      <c r="K106" s="27" t="s">
        <v>1007</v>
      </c>
      <c r="L106" s="30">
        <v>60</v>
      </c>
    </row>
    <row r="107" spans="1:12" x14ac:dyDescent="0.25">
      <c r="A107" s="26">
        <v>106</v>
      </c>
      <c r="B107" s="26" t="s">
        <v>496</v>
      </c>
      <c r="C107" s="27" t="s">
        <v>628</v>
      </c>
      <c r="D107" s="27" t="s">
        <v>775</v>
      </c>
      <c r="E107" s="27" t="s">
        <v>759</v>
      </c>
      <c r="F107" s="17">
        <v>908099992</v>
      </c>
      <c r="G107" s="27" t="s">
        <v>912</v>
      </c>
      <c r="H107" s="29">
        <v>42</v>
      </c>
      <c r="I107" s="27" t="s">
        <v>1006</v>
      </c>
      <c r="J107" s="27" t="s">
        <v>1007</v>
      </c>
      <c r="K107" s="27" t="s">
        <v>1007</v>
      </c>
      <c r="L107" s="30">
        <v>60</v>
      </c>
    </row>
    <row r="108" spans="1:12" x14ac:dyDescent="0.25">
      <c r="A108" s="26">
        <v>107</v>
      </c>
      <c r="B108" s="26" t="s">
        <v>497</v>
      </c>
      <c r="C108" s="27" t="s">
        <v>629</v>
      </c>
      <c r="D108" s="27" t="s">
        <v>775</v>
      </c>
      <c r="E108" s="27" t="s">
        <v>759</v>
      </c>
      <c r="F108" s="17">
        <v>908099992</v>
      </c>
      <c r="G108" s="27" t="s">
        <v>912</v>
      </c>
      <c r="H108" s="29">
        <v>42</v>
      </c>
      <c r="I108" s="27" t="s">
        <v>1006</v>
      </c>
      <c r="J108" s="27" t="s">
        <v>1007</v>
      </c>
      <c r="K108" s="27" t="s">
        <v>1007</v>
      </c>
      <c r="L108" s="30">
        <v>60</v>
      </c>
    </row>
    <row r="109" spans="1:12" x14ac:dyDescent="0.25">
      <c r="A109" s="26">
        <v>108</v>
      </c>
      <c r="B109" s="26" t="s">
        <v>517</v>
      </c>
      <c r="C109" s="27" t="s">
        <v>630</v>
      </c>
      <c r="D109" s="27" t="s">
        <v>775</v>
      </c>
      <c r="E109" s="27" t="s">
        <v>759</v>
      </c>
      <c r="F109" s="17">
        <v>908099992</v>
      </c>
      <c r="G109" s="27" t="s">
        <v>912</v>
      </c>
      <c r="H109" s="29">
        <v>42</v>
      </c>
      <c r="I109" s="27" t="s">
        <v>1006</v>
      </c>
      <c r="J109" s="27" t="s">
        <v>1007</v>
      </c>
      <c r="K109" s="27" t="s">
        <v>1007</v>
      </c>
      <c r="L109" s="30">
        <v>60</v>
      </c>
    </row>
    <row r="110" spans="1:12" x14ac:dyDescent="0.25">
      <c r="A110" s="26">
        <v>109</v>
      </c>
      <c r="B110" s="26" t="s">
        <v>518</v>
      </c>
      <c r="C110" s="27" t="s">
        <v>631</v>
      </c>
      <c r="D110" s="27" t="s">
        <v>775</v>
      </c>
      <c r="E110" s="27" t="s">
        <v>759</v>
      </c>
      <c r="F110" s="17">
        <v>908099992</v>
      </c>
      <c r="G110" s="27" t="s">
        <v>912</v>
      </c>
      <c r="H110" s="29">
        <v>42</v>
      </c>
      <c r="I110" s="27" t="s">
        <v>1006</v>
      </c>
      <c r="J110" s="27" t="s">
        <v>1007</v>
      </c>
      <c r="K110" s="27" t="s">
        <v>1007</v>
      </c>
      <c r="L110" s="30">
        <v>60</v>
      </c>
    </row>
    <row r="111" spans="1:12" x14ac:dyDescent="0.25">
      <c r="A111" s="26">
        <v>110</v>
      </c>
      <c r="B111" s="26" t="s">
        <v>519</v>
      </c>
      <c r="C111" s="27" t="s">
        <v>632</v>
      </c>
      <c r="D111" s="27" t="s">
        <v>775</v>
      </c>
      <c r="E111" s="27" t="s">
        <v>759</v>
      </c>
      <c r="F111" s="17">
        <v>908099992</v>
      </c>
      <c r="G111" s="27" t="s">
        <v>912</v>
      </c>
      <c r="H111" s="29">
        <v>42</v>
      </c>
      <c r="I111" s="27" t="s">
        <v>1006</v>
      </c>
      <c r="J111" s="27" t="s">
        <v>1007</v>
      </c>
      <c r="K111" s="27" t="s">
        <v>1007</v>
      </c>
      <c r="L111" s="30">
        <v>60</v>
      </c>
    </row>
    <row r="112" spans="1:12" x14ac:dyDescent="0.25">
      <c r="A112" s="26">
        <v>111</v>
      </c>
      <c r="B112" s="26" t="s">
        <v>516</v>
      </c>
      <c r="C112" s="27" t="s">
        <v>633</v>
      </c>
      <c r="D112" s="27" t="s">
        <v>775</v>
      </c>
      <c r="E112" s="27" t="s">
        <v>759</v>
      </c>
      <c r="F112" s="17">
        <v>908099992</v>
      </c>
      <c r="G112" s="27" t="s">
        <v>912</v>
      </c>
      <c r="H112" s="29">
        <v>42</v>
      </c>
      <c r="I112" s="27" t="s">
        <v>1006</v>
      </c>
      <c r="J112" s="27" t="s">
        <v>1007</v>
      </c>
      <c r="K112" s="27" t="s">
        <v>1007</v>
      </c>
      <c r="L112" s="30">
        <v>60</v>
      </c>
    </row>
    <row r="113" spans="1:12" x14ac:dyDescent="0.25">
      <c r="A113" s="26">
        <v>112</v>
      </c>
      <c r="B113" s="26" t="s">
        <v>520</v>
      </c>
      <c r="C113" s="27" t="s">
        <v>634</v>
      </c>
      <c r="D113" s="27" t="s">
        <v>775</v>
      </c>
      <c r="E113" s="27" t="s">
        <v>759</v>
      </c>
      <c r="F113" s="17">
        <v>908099992</v>
      </c>
      <c r="G113" s="27" t="s">
        <v>912</v>
      </c>
      <c r="H113" s="29">
        <v>42</v>
      </c>
      <c r="I113" s="27" t="s">
        <v>1006</v>
      </c>
      <c r="J113" s="27" t="s">
        <v>1007</v>
      </c>
      <c r="K113" s="27" t="s">
        <v>1007</v>
      </c>
      <c r="L113" s="30">
        <v>60</v>
      </c>
    </row>
    <row r="114" spans="1:12" x14ac:dyDescent="0.25">
      <c r="A114" s="26">
        <v>113</v>
      </c>
      <c r="B114" s="26" t="s">
        <v>187</v>
      </c>
      <c r="C114" s="27" t="s">
        <v>1041</v>
      </c>
      <c r="D114" s="27" t="s">
        <v>767</v>
      </c>
      <c r="E114" s="27" t="s">
        <v>759</v>
      </c>
      <c r="F114" s="17">
        <v>907757913</v>
      </c>
      <c r="G114" s="27" t="s">
        <v>912</v>
      </c>
      <c r="H114" s="29">
        <v>34</v>
      </c>
      <c r="I114" s="27" t="s">
        <v>1042</v>
      </c>
      <c r="J114" s="29">
        <v>12</v>
      </c>
      <c r="K114" s="27" t="s">
        <v>937</v>
      </c>
      <c r="L114" s="30">
        <v>60</v>
      </c>
    </row>
    <row r="115" spans="1:12" x14ac:dyDescent="0.25">
      <c r="A115" s="26">
        <v>114</v>
      </c>
      <c r="B115" s="26" t="s">
        <v>127</v>
      </c>
      <c r="C115" s="27" t="s">
        <v>1043</v>
      </c>
      <c r="D115" s="27" t="s">
        <v>767</v>
      </c>
      <c r="E115" s="27" t="s">
        <v>974</v>
      </c>
      <c r="F115" s="17">
        <v>907291771</v>
      </c>
      <c r="G115" s="27" t="s">
        <v>912</v>
      </c>
      <c r="H115" s="29">
        <v>45</v>
      </c>
      <c r="I115" s="27" t="s">
        <v>934</v>
      </c>
      <c r="J115" s="29">
        <v>12</v>
      </c>
      <c r="K115" s="27" t="s">
        <v>765</v>
      </c>
      <c r="L115" s="30">
        <v>60</v>
      </c>
    </row>
    <row r="116" spans="1:12" x14ac:dyDescent="0.25">
      <c r="A116" s="26">
        <v>115</v>
      </c>
      <c r="B116" s="26" t="s">
        <v>188</v>
      </c>
      <c r="C116" s="27" t="s">
        <v>1044</v>
      </c>
      <c r="D116" s="27" t="s">
        <v>767</v>
      </c>
      <c r="E116" s="27" t="s">
        <v>974</v>
      </c>
      <c r="F116" s="17">
        <v>907291771</v>
      </c>
      <c r="G116" s="27" t="s">
        <v>912</v>
      </c>
      <c r="H116" s="29">
        <v>42</v>
      </c>
      <c r="I116" s="27" t="s">
        <v>934</v>
      </c>
      <c r="J116" s="29">
        <v>12</v>
      </c>
      <c r="K116" s="27" t="s">
        <v>765</v>
      </c>
      <c r="L116" s="30">
        <v>60</v>
      </c>
    </row>
    <row r="117" spans="1:12" x14ac:dyDescent="0.25">
      <c r="A117" s="26">
        <v>116</v>
      </c>
      <c r="B117" s="26" t="s">
        <v>189</v>
      </c>
      <c r="C117" s="27" t="s">
        <v>1045</v>
      </c>
      <c r="D117" s="27" t="s">
        <v>767</v>
      </c>
      <c r="E117" s="27" t="s">
        <v>842</v>
      </c>
      <c r="F117" s="17">
        <v>2923823194</v>
      </c>
      <c r="G117" s="27" t="s">
        <v>912</v>
      </c>
      <c r="H117" s="29">
        <v>42</v>
      </c>
      <c r="I117" s="27" t="s">
        <v>927</v>
      </c>
      <c r="J117" s="29">
        <v>12</v>
      </c>
      <c r="K117" s="27" t="s">
        <v>878</v>
      </c>
      <c r="L117" s="30">
        <v>60</v>
      </c>
    </row>
    <row r="118" spans="1:12" x14ac:dyDescent="0.25">
      <c r="A118" s="26">
        <v>117</v>
      </c>
      <c r="B118" s="26" t="s">
        <v>190</v>
      </c>
      <c r="C118" s="27" t="s">
        <v>1046</v>
      </c>
      <c r="D118" s="27" t="s">
        <v>767</v>
      </c>
      <c r="E118" s="27" t="s">
        <v>933</v>
      </c>
      <c r="F118" s="17">
        <v>903303637</v>
      </c>
      <c r="G118" s="27" t="s">
        <v>912</v>
      </c>
      <c r="H118" s="29">
        <v>42</v>
      </c>
      <c r="I118" s="27" t="s">
        <v>934</v>
      </c>
      <c r="J118" s="29">
        <v>12</v>
      </c>
      <c r="K118" s="27" t="s">
        <v>765</v>
      </c>
      <c r="L118" s="30">
        <v>60</v>
      </c>
    </row>
    <row r="119" spans="1:12" x14ac:dyDescent="0.25">
      <c r="A119" s="26">
        <v>118</v>
      </c>
      <c r="B119" s="26" t="s">
        <v>128</v>
      </c>
      <c r="C119" s="27" t="s">
        <v>1047</v>
      </c>
      <c r="D119" s="27" t="s">
        <v>767</v>
      </c>
      <c r="E119" s="27" t="s">
        <v>842</v>
      </c>
      <c r="F119" s="17">
        <v>2923823194</v>
      </c>
      <c r="G119" s="27" t="s">
        <v>903</v>
      </c>
      <c r="H119" s="29">
        <v>35</v>
      </c>
      <c r="I119" s="27" t="s">
        <v>929</v>
      </c>
      <c r="J119" s="29">
        <v>30</v>
      </c>
      <c r="K119" s="27" t="s">
        <v>842</v>
      </c>
      <c r="L119" s="30">
        <v>60</v>
      </c>
    </row>
    <row r="120" spans="1:12" x14ac:dyDescent="0.25">
      <c r="A120" s="26">
        <v>119</v>
      </c>
      <c r="B120" s="26" t="s">
        <v>123</v>
      </c>
      <c r="C120" s="27" t="s">
        <v>1048</v>
      </c>
      <c r="D120" s="27" t="s">
        <v>767</v>
      </c>
      <c r="E120" s="27" t="s">
        <v>974</v>
      </c>
      <c r="F120" s="17">
        <v>907291771</v>
      </c>
      <c r="G120" s="27" t="s">
        <v>912</v>
      </c>
      <c r="H120" s="29">
        <v>45</v>
      </c>
      <c r="I120" s="27" t="s">
        <v>934</v>
      </c>
      <c r="J120" s="29">
        <v>12</v>
      </c>
      <c r="K120" s="27" t="s">
        <v>765</v>
      </c>
      <c r="L120" s="30">
        <v>60</v>
      </c>
    </row>
    <row r="121" spans="1:12" x14ac:dyDescent="0.25">
      <c r="A121" s="26">
        <v>120</v>
      </c>
      <c r="B121" s="26" t="s">
        <v>191</v>
      </c>
      <c r="C121" s="27" t="s">
        <v>1049</v>
      </c>
      <c r="D121" s="27" t="s">
        <v>767</v>
      </c>
      <c r="E121" s="27" t="s">
        <v>974</v>
      </c>
      <c r="F121" s="17">
        <v>907291771</v>
      </c>
      <c r="G121" s="27" t="s">
        <v>912</v>
      </c>
      <c r="H121" s="29">
        <v>45</v>
      </c>
      <c r="I121" s="27" t="s">
        <v>934</v>
      </c>
      <c r="J121" s="29">
        <v>12</v>
      </c>
      <c r="K121" s="27" t="s">
        <v>765</v>
      </c>
      <c r="L121" s="30">
        <v>60</v>
      </c>
    </row>
    <row r="122" spans="1:12" x14ac:dyDescent="0.25">
      <c r="A122" s="26">
        <v>121</v>
      </c>
      <c r="B122" s="26" t="s">
        <v>192</v>
      </c>
      <c r="C122" s="27" t="s">
        <v>1050</v>
      </c>
      <c r="D122" s="27" t="s">
        <v>767</v>
      </c>
      <c r="E122" s="27" t="s">
        <v>974</v>
      </c>
      <c r="F122" s="17">
        <v>907291771</v>
      </c>
      <c r="G122" s="27" t="s">
        <v>912</v>
      </c>
      <c r="H122" s="29">
        <v>45</v>
      </c>
      <c r="I122" s="27" t="s">
        <v>934</v>
      </c>
      <c r="J122" s="29">
        <v>12</v>
      </c>
      <c r="K122" s="27" t="s">
        <v>765</v>
      </c>
      <c r="L122" s="30">
        <v>60</v>
      </c>
    </row>
    <row r="123" spans="1:12" x14ac:dyDescent="0.25">
      <c r="A123" s="26">
        <v>122</v>
      </c>
      <c r="B123" s="26" t="s">
        <v>193</v>
      </c>
      <c r="C123" s="27" t="s">
        <v>1051</v>
      </c>
      <c r="D123" s="27" t="s">
        <v>767</v>
      </c>
      <c r="E123" s="27" t="s">
        <v>974</v>
      </c>
      <c r="F123" s="17">
        <v>907291771</v>
      </c>
      <c r="G123" s="27" t="s">
        <v>912</v>
      </c>
      <c r="H123" s="29">
        <v>45</v>
      </c>
      <c r="I123" s="27" t="s">
        <v>934</v>
      </c>
      <c r="J123" s="29">
        <v>12</v>
      </c>
      <c r="K123" s="27" t="s">
        <v>765</v>
      </c>
      <c r="L123" s="30">
        <v>60</v>
      </c>
    </row>
    <row r="124" spans="1:12" x14ac:dyDescent="0.25">
      <c r="A124" s="26">
        <v>123</v>
      </c>
      <c r="B124" s="26" t="s">
        <v>194</v>
      </c>
      <c r="C124" s="27" t="s">
        <v>1052</v>
      </c>
      <c r="D124" s="27" t="s">
        <v>767</v>
      </c>
      <c r="E124" s="27" t="s">
        <v>974</v>
      </c>
      <c r="F124" s="17">
        <v>907291771</v>
      </c>
      <c r="G124" s="27" t="s">
        <v>912</v>
      </c>
      <c r="H124" s="29">
        <v>45</v>
      </c>
      <c r="I124" s="27" t="s">
        <v>934</v>
      </c>
      <c r="J124" s="29">
        <v>12</v>
      </c>
      <c r="K124" s="27" t="s">
        <v>765</v>
      </c>
      <c r="L124" s="30">
        <v>60</v>
      </c>
    </row>
    <row r="125" spans="1:12" x14ac:dyDescent="0.25">
      <c r="A125" s="26">
        <v>124</v>
      </c>
      <c r="B125" s="26" t="s">
        <v>195</v>
      </c>
      <c r="C125" s="27" t="s">
        <v>1053</v>
      </c>
      <c r="D125" s="27" t="s">
        <v>767</v>
      </c>
      <c r="E125" s="27" t="s">
        <v>933</v>
      </c>
      <c r="F125" s="17">
        <v>903303637</v>
      </c>
      <c r="G125" s="27" t="s">
        <v>912</v>
      </c>
      <c r="H125" s="29">
        <v>42</v>
      </c>
      <c r="I125" s="27" t="s">
        <v>934</v>
      </c>
      <c r="J125" s="29">
        <v>12</v>
      </c>
      <c r="K125" s="27" t="s">
        <v>765</v>
      </c>
      <c r="L125" s="30">
        <v>60</v>
      </c>
    </row>
    <row r="126" spans="1:12" x14ac:dyDescent="0.25">
      <c r="A126" s="26">
        <v>125</v>
      </c>
      <c r="B126" s="26" t="s">
        <v>196</v>
      </c>
      <c r="C126" s="27" t="s">
        <v>1054</v>
      </c>
      <c r="D126" s="27" t="s">
        <v>767</v>
      </c>
      <c r="E126" s="27" t="s">
        <v>974</v>
      </c>
      <c r="F126" s="17">
        <v>907291771</v>
      </c>
      <c r="G126" s="27" t="s">
        <v>912</v>
      </c>
      <c r="H126" s="29">
        <v>45</v>
      </c>
      <c r="I126" s="27" t="s">
        <v>934</v>
      </c>
      <c r="J126" s="29">
        <v>12</v>
      </c>
      <c r="K126" s="27" t="s">
        <v>765</v>
      </c>
      <c r="L126" s="30">
        <v>60</v>
      </c>
    </row>
    <row r="127" spans="1:12" x14ac:dyDescent="0.25">
      <c r="A127" s="26">
        <v>126</v>
      </c>
      <c r="B127" s="26" t="s">
        <v>197</v>
      </c>
      <c r="C127" s="27" t="s">
        <v>1055</v>
      </c>
      <c r="D127" s="27" t="s">
        <v>767</v>
      </c>
      <c r="E127" s="27" t="s">
        <v>759</v>
      </c>
      <c r="F127" s="17">
        <v>903708586</v>
      </c>
      <c r="G127" s="27" t="s">
        <v>912</v>
      </c>
      <c r="H127" s="29">
        <v>33</v>
      </c>
      <c r="I127" s="27" t="s">
        <v>927</v>
      </c>
      <c r="J127" s="29">
        <v>8</v>
      </c>
      <c r="K127" s="27" t="s">
        <v>878</v>
      </c>
      <c r="L127" s="30">
        <v>60</v>
      </c>
    </row>
    <row r="128" spans="1:12" x14ac:dyDescent="0.25">
      <c r="A128" s="26">
        <v>127</v>
      </c>
      <c r="B128" s="26" t="s">
        <v>198</v>
      </c>
      <c r="C128" s="27" t="s">
        <v>1056</v>
      </c>
      <c r="D128" s="27" t="s">
        <v>767</v>
      </c>
      <c r="E128" s="27" t="s">
        <v>759</v>
      </c>
      <c r="F128" s="17">
        <v>7106278788</v>
      </c>
      <c r="G128" s="27" t="s">
        <v>912</v>
      </c>
      <c r="H128" s="29">
        <v>33</v>
      </c>
      <c r="I128" s="27" t="s">
        <v>991</v>
      </c>
      <c r="J128" s="29">
        <v>8</v>
      </c>
      <c r="K128" s="27" t="s">
        <v>937</v>
      </c>
      <c r="L128" s="30">
        <v>60</v>
      </c>
    </row>
    <row r="129" spans="1:12" x14ac:dyDescent="0.25">
      <c r="A129" s="26">
        <v>128</v>
      </c>
      <c r="B129" s="26" t="s">
        <v>199</v>
      </c>
      <c r="C129" s="27" t="s">
        <v>1057</v>
      </c>
      <c r="D129" s="27" t="s">
        <v>767</v>
      </c>
      <c r="E129" s="27" t="s">
        <v>759</v>
      </c>
      <c r="F129" s="17" t="s">
        <v>1058</v>
      </c>
      <c r="G129" s="27" t="s">
        <v>912</v>
      </c>
      <c r="H129" s="29">
        <v>35</v>
      </c>
      <c r="I129" s="27" t="s">
        <v>927</v>
      </c>
      <c r="J129" s="29">
        <v>8</v>
      </c>
      <c r="K129" s="27" t="s">
        <v>878</v>
      </c>
      <c r="L129" s="30">
        <v>60</v>
      </c>
    </row>
    <row r="130" spans="1:12" x14ac:dyDescent="0.25">
      <c r="A130" s="26">
        <v>129</v>
      </c>
      <c r="B130" s="26" t="s">
        <v>200</v>
      </c>
      <c r="C130" s="27" t="s">
        <v>1059</v>
      </c>
      <c r="D130" s="27" t="s">
        <v>767</v>
      </c>
      <c r="E130" s="27" t="s">
        <v>759</v>
      </c>
      <c r="F130" s="17">
        <v>939595588</v>
      </c>
      <c r="G130" s="27" t="s">
        <v>912</v>
      </c>
      <c r="H130" s="29">
        <v>25</v>
      </c>
      <c r="I130" s="27" t="s">
        <v>1060</v>
      </c>
      <c r="J130" s="29">
        <v>12</v>
      </c>
      <c r="K130" s="27" t="s">
        <v>937</v>
      </c>
      <c r="L130" s="30">
        <v>60</v>
      </c>
    </row>
    <row r="131" spans="1:12" x14ac:dyDescent="0.25">
      <c r="A131" s="26">
        <v>130</v>
      </c>
      <c r="B131" s="26" t="s">
        <v>80</v>
      </c>
      <c r="C131" s="27" t="s">
        <v>1061</v>
      </c>
      <c r="D131" s="27" t="s">
        <v>767</v>
      </c>
      <c r="E131" s="27" t="s">
        <v>974</v>
      </c>
      <c r="F131" s="17">
        <v>907291771</v>
      </c>
      <c r="G131" s="27" t="s">
        <v>912</v>
      </c>
      <c r="H131" s="29">
        <v>30</v>
      </c>
      <c r="I131" s="27" t="s">
        <v>934</v>
      </c>
      <c r="J131" s="29">
        <v>9</v>
      </c>
      <c r="K131" s="27" t="s">
        <v>765</v>
      </c>
      <c r="L131" s="30">
        <v>60</v>
      </c>
    </row>
    <row r="132" spans="1:12" x14ac:dyDescent="0.25">
      <c r="A132" s="26">
        <v>131</v>
      </c>
      <c r="B132" s="26" t="s">
        <v>81</v>
      </c>
      <c r="C132" s="27" t="s">
        <v>1062</v>
      </c>
      <c r="D132" s="27" t="s">
        <v>767</v>
      </c>
      <c r="E132" s="27" t="s">
        <v>933</v>
      </c>
      <c r="F132" s="17">
        <v>903303637</v>
      </c>
      <c r="G132" s="27" t="s">
        <v>912</v>
      </c>
      <c r="H132" s="29">
        <v>28</v>
      </c>
      <c r="I132" s="27" t="s">
        <v>934</v>
      </c>
      <c r="J132" s="29">
        <v>12</v>
      </c>
      <c r="K132" s="27" t="s">
        <v>765</v>
      </c>
      <c r="L132" s="30">
        <v>60</v>
      </c>
    </row>
    <row r="133" spans="1:12" x14ac:dyDescent="0.25">
      <c r="A133" s="26">
        <v>132</v>
      </c>
      <c r="B133" s="26" t="s">
        <v>82</v>
      </c>
      <c r="C133" s="27" t="s">
        <v>1063</v>
      </c>
      <c r="D133" s="27" t="s">
        <v>767</v>
      </c>
      <c r="E133" s="27" t="s">
        <v>933</v>
      </c>
      <c r="F133" s="17">
        <v>903303637</v>
      </c>
      <c r="G133" s="27" t="s">
        <v>912</v>
      </c>
      <c r="H133" s="29">
        <v>42</v>
      </c>
      <c r="I133" s="27" t="s">
        <v>934</v>
      </c>
      <c r="J133" s="29">
        <v>12</v>
      </c>
      <c r="K133" s="27" t="s">
        <v>765</v>
      </c>
      <c r="L133" s="30">
        <v>60</v>
      </c>
    </row>
    <row r="134" spans="1:12" x14ac:dyDescent="0.25">
      <c r="A134" s="26">
        <v>133</v>
      </c>
      <c r="B134" s="26" t="s">
        <v>201</v>
      </c>
      <c r="C134" s="27" t="s">
        <v>1064</v>
      </c>
      <c r="D134" s="27" t="s">
        <v>767</v>
      </c>
      <c r="E134" s="27" t="s">
        <v>878</v>
      </c>
      <c r="F134" s="17" t="s">
        <v>1065</v>
      </c>
      <c r="G134" s="27" t="s">
        <v>912</v>
      </c>
      <c r="H134" s="29">
        <v>45</v>
      </c>
      <c r="I134" s="27" t="s">
        <v>965</v>
      </c>
      <c r="J134" s="29">
        <v>15</v>
      </c>
      <c r="K134" s="27" t="s">
        <v>878</v>
      </c>
      <c r="L134" s="30">
        <v>60</v>
      </c>
    </row>
    <row r="135" spans="1:12" x14ac:dyDescent="0.25">
      <c r="A135" s="26">
        <v>134</v>
      </c>
      <c r="B135" s="26" t="s">
        <v>202</v>
      </c>
      <c r="C135" s="27" t="s">
        <v>1066</v>
      </c>
      <c r="D135" s="27" t="s">
        <v>767</v>
      </c>
      <c r="E135" s="27" t="s">
        <v>878</v>
      </c>
      <c r="F135" s="17" t="s">
        <v>1067</v>
      </c>
      <c r="G135" s="27" t="s">
        <v>912</v>
      </c>
      <c r="H135" s="29">
        <v>45</v>
      </c>
      <c r="I135" s="27" t="s">
        <v>952</v>
      </c>
      <c r="J135" s="29">
        <v>12.5</v>
      </c>
      <c r="K135" s="27" t="s">
        <v>878</v>
      </c>
      <c r="L135" s="30">
        <v>60</v>
      </c>
    </row>
    <row r="136" spans="1:12" x14ac:dyDescent="0.25">
      <c r="A136" s="26">
        <v>135</v>
      </c>
      <c r="B136" s="26" t="s">
        <v>5</v>
      </c>
      <c r="C136" s="27" t="s">
        <v>1068</v>
      </c>
      <c r="D136" s="27" t="s">
        <v>767</v>
      </c>
      <c r="E136" s="27" t="s">
        <v>759</v>
      </c>
      <c r="F136" s="17">
        <v>908099992</v>
      </c>
      <c r="G136" s="27" t="s">
        <v>903</v>
      </c>
      <c r="H136" s="29">
        <v>25</v>
      </c>
      <c r="I136" s="27" t="s">
        <v>942</v>
      </c>
      <c r="J136" s="29">
        <v>5</v>
      </c>
      <c r="K136" s="27" t="s">
        <v>878</v>
      </c>
      <c r="L136" s="30">
        <v>60</v>
      </c>
    </row>
    <row r="137" spans="1:12" x14ac:dyDescent="0.25">
      <c r="A137" s="26">
        <v>136</v>
      </c>
      <c r="B137" s="26" t="s">
        <v>203</v>
      </c>
      <c r="C137" s="27" t="s">
        <v>1069</v>
      </c>
      <c r="D137" s="27" t="s">
        <v>767</v>
      </c>
      <c r="E137" s="27" t="s">
        <v>774</v>
      </c>
      <c r="F137" s="17">
        <v>907498282</v>
      </c>
      <c r="G137" s="27" t="s">
        <v>912</v>
      </c>
      <c r="H137" s="29">
        <v>42</v>
      </c>
      <c r="I137" s="27" t="s">
        <v>1024</v>
      </c>
      <c r="J137" s="29">
        <v>12</v>
      </c>
      <c r="K137" s="27" t="s">
        <v>765</v>
      </c>
      <c r="L137" s="30">
        <v>60</v>
      </c>
    </row>
    <row r="138" spans="1:12" x14ac:dyDescent="0.25">
      <c r="A138" s="26">
        <v>137</v>
      </c>
      <c r="B138" s="26" t="s">
        <v>204</v>
      </c>
      <c r="C138" s="27" t="s">
        <v>1070</v>
      </c>
      <c r="D138" s="27" t="s">
        <v>767</v>
      </c>
      <c r="E138" s="27" t="s">
        <v>774</v>
      </c>
      <c r="F138" s="17">
        <v>907498282</v>
      </c>
      <c r="G138" s="27" t="s">
        <v>912</v>
      </c>
      <c r="H138" s="29">
        <v>28</v>
      </c>
      <c r="I138" s="27" t="s">
        <v>942</v>
      </c>
      <c r="J138" s="29">
        <v>5</v>
      </c>
      <c r="K138" s="27" t="s">
        <v>765</v>
      </c>
      <c r="L138" s="30">
        <v>60</v>
      </c>
    </row>
    <row r="139" spans="1:12" x14ac:dyDescent="0.25">
      <c r="A139" s="26">
        <v>138</v>
      </c>
      <c r="B139" s="26" t="s">
        <v>129</v>
      </c>
      <c r="C139" s="27" t="s">
        <v>1071</v>
      </c>
      <c r="D139" s="27" t="s">
        <v>767</v>
      </c>
      <c r="E139" s="27" t="s">
        <v>974</v>
      </c>
      <c r="F139" s="17">
        <v>907291771</v>
      </c>
      <c r="G139" s="27" t="s">
        <v>912</v>
      </c>
      <c r="H139" s="29">
        <v>29</v>
      </c>
      <c r="I139" s="27" t="s">
        <v>1011</v>
      </c>
      <c r="J139" s="29">
        <v>6</v>
      </c>
      <c r="K139" s="27" t="s">
        <v>765</v>
      </c>
      <c r="L139" s="30">
        <v>60</v>
      </c>
    </row>
    <row r="140" spans="1:12" x14ac:dyDescent="0.25">
      <c r="A140" s="26">
        <v>139</v>
      </c>
      <c r="B140" s="26" t="s">
        <v>205</v>
      </c>
      <c r="C140" s="27" t="s">
        <v>1072</v>
      </c>
      <c r="D140" s="27" t="s">
        <v>767</v>
      </c>
      <c r="E140" s="27" t="s">
        <v>772</v>
      </c>
      <c r="F140" s="17">
        <v>907729992</v>
      </c>
      <c r="G140" s="27" t="s">
        <v>912</v>
      </c>
      <c r="H140" s="29">
        <v>42</v>
      </c>
      <c r="I140" s="27" t="s">
        <v>934</v>
      </c>
      <c r="J140" s="29">
        <v>12</v>
      </c>
      <c r="K140" s="27" t="s">
        <v>765</v>
      </c>
      <c r="L140" s="30">
        <v>60</v>
      </c>
    </row>
    <row r="141" spans="1:12" x14ac:dyDescent="0.25">
      <c r="A141" s="26">
        <v>140</v>
      </c>
      <c r="B141" s="26" t="s">
        <v>206</v>
      </c>
      <c r="C141" s="27" t="s">
        <v>1073</v>
      </c>
      <c r="D141" s="27" t="s">
        <v>767</v>
      </c>
      <c r="E141" s="27" t="s">
        <v>772</v>
      </c>
      <c r="F141" s="17">
        <v>907729992</v>
      </c>
      <c r="G141" s="27" t="s">
        <v>912</v>
      </c>
      <c r="H141" s="29">
        <v>42</v>
      </c>
      <c r="I141" s="27" t="s">
        <v>934</v>
      </c>
      <c r="J141" s="29">
        <v>12</v>
      </c>
      <c r="K141" s="27" t="s">
        <v>765</v>
      </c>
      <c r="L141" s="30">
        <v>60</v>
      </c>
    </row>
    <row r="142" spans="1:12" x14ac:dyDescent="0.25">
      <c r="A142" s="26">
        <v>141</v>
      </c>
      <c r="B142" s="26" t="s">
        <v>207</v>
      </c>
      <c r="C142" s="27" t="s">
        <v>1074</v>
      </c>
      <c r="D142" s="27" t="s">
        <v>767</v>
      </c>
      <c r="E142" s="27" t="s">
        <v>772</v>
      </c>
      <c r="F142" s="17">
        <v>907729992</v>
      </c>
      <c r="G142" s="27" t="s">
        <v>912</v>
      </c>
      <c r="H142" s="29">
        <v>29</v>
      </c>
      <c r="I142" s="27" t="s">
        <v>942</v>
      </c>
      <c r="J142" s="29">
        <v>5</v>
      </c>
      <c r="K142" s="27" t="s">
        <v>765</v>
      </c>
      <c r="L142" s="30">
        <v>60</v>
      </c>
    </row>
    <row r="143" spans="1:12" x14ac:dyDescent="0.25">
      <c r="A143" s="26">
        <v>142</v>
      </c>
      <c r="B143" s="26" t="s">
        <v>208</v>
      </c>
      <c r="C143" s="27" t="s">
        <v>1075</v>
      </c>
      <c r="D143" s="27" t="s">
        <v>767</v>
      </c>
      <c r="E143" s="27" t="s">
        <v>759</v>
      </c>
      <c r="F143" s="17">
        <v>914043547</v>
      </c>
      <c r="G143" s="27" t="s">
        <v>912</v>
      </c>
      <c r="H143" s="29">
        <v>21</v>
      </c>
      <c r="I143" s="27" t="s">
        <v>934</v>
      </c>
      <c r="J143" s="29">
        <v>12</v>
      </c>
      <c r="K143" s="27" t="s">
        <v>937</v>
      </c>
      <c r="L143" s="30">
        <v>60</v>
      </c>
    </row>
    <row r="144" spans="1:12" x14ac:dyDescent="0.25">
      <c r="A144" s="26">
        <v>143</v>
      </c>
      <c r="B144" s="26" t="s">
        <v>83</v>
      </c>
      <c r="C144" s="27" t="s">
        <v>1076</v>
      </c>
      <c r="D144" s="27" t="s">
        <v>767</v>
      </c>
      <c r="E144" s="27" t="s">
        <v>878</v>
      </c>
      <c r="F144" s="17">
        <v>939595658</v>
      </c>
      <c r="G144" s="27" t="s">
        <v>912</v>
      </c>
      <c r="H144" s="29">
        <v>45</v>
      </c>
      <c r="I144" s="27" t="s">
        <v>927</v>
      </c>
      <c r="J144" s="29">
        <v>8</v>
      </c>
      <c r="K144" s="27" t="s">
        <v>878</v>
      </c>
      <c r="L144" s="30">
        <v>60</v>
      </c>
    </row>
    <row r="145" spans="1:12" x14ac:dyDescent="0.25">
      <c r="A145" s="26">
        <v>144</v>
      </c>
      <c r="B145" s="26" t="s">
        <v>209</v>
      </c>
      <c r="C145" s="27" t="s">
        <v>1077</v>
      </c>
      <c r="D145" s="27" t="s">
        <v>767</v>
      </c>
      <c r="E145" s="27" t="s">
        <v>759</v>
      </c>
      <c r="F145" s="17">
        <v>903907888</v>
      </c>
      <c r="G145" s="27" t="s">
        <v>912</v>
      </c>
      <c r="H145" s="29">
        <v>31</v>
      </c>
      <c r="I145" s="27" t="s">
        <v>1011</v>
      </c>
      <c r="J145" s="29">
        <v>6</v>
      </c>
      <c r="K145" s="27" t="s">
        <v>937</v>
      </c>
      <c r="L145" s="30">
        <v>60</v>
      </c>
    </row>
    <row r="146" spans="1:12" x14ac:dyDescent="0.25">
      <c r="A146" s="26">
        <v>145</v>
      </c>
      <c r="B146" s="26" t="s">
        <v>89</v>
      </c>
      <c r="C146" s="27" t="s">
        <v>1078</v>
      </c>
      <c r="D146" s="27" t="s">
        <v>767</v>
      </c>
      <c r="E146" s="27" t="s">
        <v>842</v>
      </c>
      <c r="F146" s="17">
        <v>2923823194</v>
      </c>
      <c r="G146" s="27" t="s">
        <v>912</v>
      </c>
      <c r="H146" s="29">
        <v>45</v>
      </c>
      <c r="I146" s="27" t="s">
        <v>929</v>
      </c>
      <c r="J146" s="29">
        <v>12</v>
      </c>
      <c r="K146" s="27" t="s">
        <v>842</v>
      </c>
      <c r="L146" s="30">
        <v>60</v>
      </c>
    </row>
    <row r="147" spans="1:12" x14ac:dyDescent="0.25">
      <c r="A147" s="26">
        <v>146</v>
      </c>
      <c r="B147" s="26" t="s">
        <v>130</v>
      </c>
      <c r="C147" s="27" t="s">
        <v>1079</v>
      </c>
      <c r="D147" s="27" t="s">
        <v>767</v>
      </c>
      <c r="E147" s="27" t="s">
        <v>759</v>
      </c>
      <c r="F147" s="17">
        <v>939999970</v>
      </c>
      <c r="G147" s="27" t="s">
        <v>912</v>
      </c>
      <c r="H147" s="29">
        <v>45</v>
      </c>
      <c r="I147" s="27" t="s">
        <v>934</v>
      </c>
      <c r="J147" s="29">
        <v>12</v>
      </c>
      <c r="K147" s="27" t="s">
        <v>937</v>
      </c>
      <c r="L147" s="30">
        <v>60</v>
      </c>
    </row>
    <row r="148" spans="1:12" x14ac:dyDescent="0.25">
      <c r="A148" s="26">
        <v>147</v>
      </c>
      <c r="B148" s="26" t="s">
        <v>210</v>
      </c>
      <c r="C148" s="27" t="s">
        <v>1080</v>
      </c>
      <c r="D148" s="27" t="s">
        <v>767</v>
      </c>
      <c r="E148" s="27" t="s">
        <v>878</v>
      </c>
      <c r="F148" s="17">
        <v>907914539</v>
      </c>
      <c r="G148" s="27" t="s">
        <v>912</v>
      </c>
      <c r="H148" s="29">
        <v>45</v>
      </c>
      <c r="I148" s="27" t="s">
        <v>952</v>
      </c>
      <c r="J148" s="29">
        <v>5.5</v>
      </c>
      <c r="K148" s="27" t="s">
        <v>878</v>
      </c>
      <c r="L148" s="30">
        <v>60</v>
      </c>
    </row>
    <row r="149" spans="1:12" x14ac:dyDescent="0.25">
      <c r="A149" s="26">
        <v>148</v>
      </c>
      <c r="B149" s="26" t="s">
        <v>211</v>
      </c>
      <c r="C149" s="27" t="s">
        <v>1081</v>
      </c>
      <c r="D149" s="27" t="s">
        <v>767</v>
      </c>
      <c r="E149" s="27" t="s">
        <v>759</v>
      </c>
      <c r="F149" s="17">
        <v>909573940</v>
      </c>
      <c r="G149" s="27" t="s">
        <v>912</v>
      </c>
      <c r="H149" s="29">
        <v>45</v>
      </c>
      <c r="I149" s="27" t="s">
        <v>934</v>
      </c>
      <c r="J149" s="29">
        <v>12</v>
      </c>
      <c r="K149" s="27" t="s">
        <v>937</v>
      </c>
      <c r="L149" s="30">
        <v>60</v>
      </c>
    </row>
    <row r="150" spans="1:12" x14ac:dyDescent="0.25">
      <c r="A150" s="26">
        <v>149</v>
      </c>
      <c r="B150" s="26" t="s">
        <v>212</v>
      </c>
      <c r="C150" s="27" t="s">
        <v>1082</v>
      </c>
      <c r="D150" s="27" t="s">
        <v>767</v>
      </c>
      <c r="E150" s="27" t="s">
        <v>878</v>
      </c>
      <c r="F150" s="17">
        <v>1684740773</v>
      </c>
      <c r="G150" s="27" t="s">
        <v>912</v>
      </c>
      <c r="H150" s="29">
        <v>45</v>
      </c>
      <c r="I150" s="27" t="s">
        <v>986</v>
      </c>
      <c r="J150" s="29">
        <v>8</v>
      </c>
      <c r="K150" s="27" t="s">
        <v>878</v>
      </c>
      <c r="L150" s="30">
        <v>60</v>
      </c>
    </row>
    <row r="151" spans="1:12" x14ac:dyDescent="0.25">
      <c r="A151" s="26">
        <v>150</v>
      </c>
      <c r="B151" s="26" t="s">
        <v>385</v>
      </c>
      <c r="C151" s="27" t="s">
        <v>1083</v>
      </c>
      <c r="D151" s="27" t="s">
        <v>767</v>
      </c>
      <c r="E151" s="27" t="s">
        <v>759</v>
      </c>
      <c r="F151" s="17" t="s">
        <v>1084</v>
      </c>
      <c r="G151" s="27" t="s">
        <v>912</v>
      </c>
      <c r="H151" s="29">
        <v>42</v>
      </c>
      <c r="I151" s="27" t="s">
        <v>934</v>
      </c>
      <c r="J151" s="29">
        <v>12</v>
      </c>
      <c r="K151" s="27" t="s">
        <v>937</v>
      </c>
      <c r="L151" s="30">
        <v>60</v>
      </c>
    </row>
    <row r="152" spans="1:12" x14ac:dyDescent="0.25">
      <c r="A152" s="26">
        <v>151</v>
      </c>
      <c r="B152" s="26" t="s">
        <v>388</v>
      </c>
      <c r="C152" s="27" t="s">
        <v>1085</v>
      </c>
      <c r="D152" s="27" t="s">
        <v>767</v>
      </c>
      <c r="E152" s="27" t="s">
        <v>878</v>
      </c>
      <c r="F152" s="17">
        <v>908099992</v>
      </c>
      <c r="G152" s="27" t="s">
        <v>912</v>
      </c>
      <c r="H152" s="29">
        <v>45</v>
      </c>
      <c r="I152" s="27" t="s">
        <v>1086</v>
      </c>
      <c r="J152" s="29">
        <v>8</v>
      </c>
      <c r="K152" s="27" t="s">
        <v>878</v>
      </c>
      <c r="L152" s="30">
        <v>60</v>
      </c>
    </row>
    <row r="153" spans="1:12" x14ac:dyDescent="0.25">
      <c r="A153" s="26">
        <v>152</v>
      </c>
      <c r="B153" s="26" t="s">
        <v>423</v>
      </c>
      <c r="C153" s="27" t="s">
        <v>1087</v>
      </c>
      <c r="D153" s="27" t="s">
        <v>767</v>
      </c>
      <c r="E153" s="27" t="s">
        <v>759</v>
      </c>
      <c r="F153" s="17">
        <v>919736333</v>
      </c>
      <c r="G153" s="27" t="s">
        <v>912</v>
      </c>
      <c r="H153" s="29">
        <v>42</v>
      </c>
      <c r="I153" s="27" t="s">
        <v>934</v>
      </c>
      <c r="J153" s="29">
        <v>12</v>
      </c>
      <c r="K153" s="27" t="s">
        <v>937</v>
      </c>
      <c r="L153" s="30">
        <v>60</v>
      </c>
    </row>
    <row r="154" spans="1:12" x14ac:dyDescent="0.25">
      <c r="A154" s="26">
        <v>153</v>
      </c>
      <c r="B154" s="26" t="s">
        <v>440</v>
      </c>
      <c r="C154" s="27" t="s">
        <v>1088</v>
      </c>
      <c r="D154" s="27" t="s">
        <v>767</v>
      </c>
      <c r="E154" s="27" t="s">
        <v>759</v>
      </c>
      <c r="F154" s="17" t="s">
        <v>1089</v>
      </c>
      <c r="G154" s="27" t="s">
        <v>912</v>
      </c>
      <c r="H154" s="29">
        <v>39</v>
      </c>
      <c r="I154" s="27" t="s">
        <v>998</v>
      </c>
      <c r="J154" s="29">
        <v>5.5</v>
      </c>
      <c r="K154" s="27" t="s">
        <v>878</v>
      </c>
      <c r="L154" s="30">
        <v>60</v>
      </c>
    </row>
    <row r="155" spans="1:12" x14ac:dyDescent="0.25">
      <c r="A155" s="26">
        <v>154</v>
      </c>
      <c r="B155" s="26" t="s">
        <v>447</v>
      </c>
      <c r="C155" s="27" t="s">
        <v>1090</v>
      </c>
      <c r="D155" s="27" t="s">
        <v>767</v>
      </c>
      <c r="E155" s="27" t="s">
        <v>759</v>
      </c>
      <c r="F155" s="17" t="s">
        <v>1091</v>
      </c>
      <c r="G155" s="27" t="s">
        <v>912</v>
      </c>
      <c r="H155" s="29">
        <v>39</v>
      </c>
      <c r="I155" s="27" t="s">
        <v>993</v>
      </c>
      <c r="J155" s="29">
        <v>5.5</v>
      </c>
      <c r="K155" s="27" t="s">
        <v>878</v>
      </c>
      <c r="L155" s="30">
        <v>60</v>
      </c>
    </row>
    <row r="156" spans="1:12" x14ac:dyDescent="0.25">
      <c r="A156" s="26">
        <v>155</v>
      </c>
      <c r="B156" s="26" t="s">
        <v>452</v>
      </c>
      <c r="C156" s="27" t="s">
        <v>1092</v>
      </c>
      <c r="D156" s="27" t="s">
        <v>767</v>
      </c>
      <c r="E156" s="27" t="s">
        <v>759</v>
      </c>
      <c r="F156" s="17" t="s">
        <v>1093</v>
      </c>
      <c r="G156" s="27" t="s">
        <v>912</v>
      </c>
      <c r="H156" s="29">
        <v>42</v>
      </c>
      <c r="I156" s="27" t="s">
        <v>998</v>
      </c>
      <c r="J156" s="29">
        <v>5.5</v>
      </c>
      <c r="K156" s="27" t="s">
        <v>878</v>
      </c>
      <c r="L156" s="30">
        <v>60</v>
      </c>
    </row>
    <row r="157" spans="1:12" x14ac:dyDescent="0.25">
      <c r="A157" s="26">
        <v>156</v>
      </c>
      <c r="B157" s="26" t="s">
        <v>456</v>
      </c>
      <c r="C157" s="27" t="s">
        <v>642</v>
      </c>
      <c r="D157" s="27" t="s">
        <v>767</v>
      </c>
      <c r="E157" s="27" t="s">
        <v>759</v>
      </c>
      <c r="F157" s="17">
        <v>939884000</v>
      </c>
      <c r="G157" s="27" t="s">
        <v>912</v>
      </c>
      <c r="H157" s="29">
        <v>42</v>
      </c>
      <c r="I157" s="27" t="s">
        <v>998</v>
      </c>
      <c r="J157" s="29">
        <v>5.5</v>
      </c>
      <c r="K157" s="27" t="s">
        <v>878</v>
      </c>
      <c r="L157" s="30">
        <v>60</v>
      </c>
    </row>
    <row r="158" spans="1:12" x14ac:dyDescent="0.25">
      <c r="A158" s="26">
        <v>157</v>
      </c>
      <c r="B158" s="26" t="s">
        <v>457</v>
      </c>
      <c r="C158" s="27" t="s">
        <v>643</v>
      </c>
      <c r="D158" s="27" t="s">
        <v>767</v>
      </c>
      <c r="E158" s="27" t="s">
        <v>759</v>
      </c>
      <c r="F158" s="17">
        <v>907754999</v>
      </c>
      <c r="G158" s="27" t="s">
        <v>912</v>
      </c>
      <c r="H158" s="29">
        <v>42</v>
      </c>
      <c r="I158" s="27" t="s">
        <v>998</v>
      </c>
      <c r="J158" s="29">
        <v>5.5</v>
      </c>
      <c r="K158" s="27" t="s">
        <v>878</v>
      </c>
      <c r="L158" s="30">
        <v>60</v>
      </c>
    </row>
    <row r="159" spans="1:12" x14ac:dyDescent="0.25">
      <c r="A159" s="26">
        <v>158</v>
      </c>
      <c r="B159" s="26" t="s">
        <v>458</v>
      </c>
      <c r="C159" s="27" t="s">
        <v>644</v>
      </c>
      <c r="D159" s="27" t="s">
        <v>767</v>
      </c>
      <c r="E159" s="27" t="s">
        <v>759</v>
      </c>
      <c r="F159" s="17">
        <v>907754999</v>
      </c>
      <c r="G159" s="27" t="s">
        <v>912</v>
      </c>
      <c r="H159" s="29">
        <v>39</v>
      </c>
      <c r="I159" s="27" t="s">
        <v>998</v>
      </c>
      <c r="J159" s="29">
        <v>5.5</v>
      </c>
      <c r="K159" s="27" t="s">
        <v>878</v>
      </c>
      <c r="L159" s="30">
        <v>60</v>
      </c>
    </row>
    <row r="160" spans="1:12" x14ac:dyDescent="0.25">
      <c r="A160" s="26">
        <v>159</v>
      </c>
      <c r="B160" s="26" t="s">
        <v>455</v>
      </c>
      <c r="C160" s="27" t="s">
        <v>645</v>
      </c>
      <c r="D160" s="27" t="s">
        <v>767</v>
      </c>
      <c r="E160" s="27" t="s">
        <v>759</v>
      </c>
      <c r="F160" s="17" t="s">
        <v>1094</v>
      </c>
      <c r="G160" s="27" t="s">
        <v>912</v>
      </c>
      <c r="H160" s="29">
        <v>39</v>
      </c>
      <c r="I160" s="27" t="s">
        <v>1002</v>
      </c>
      <c r="J160" s="29">
        <v>6</v>
      </c>
      <c r="K160" s="27" t="s">
        <v>878</v>
      </c>
      <c r="L160" s="30">
        <v>60</v>
      </c>
    </row>
    <row r="161" spans="1:12" x14ac:dyDescent="0.25">
      <c r="A161" s="26">
        <v>160</v>
      </c>
      <c r="B161" s="26" t="s">
        <v>536</v>
      </c>
      <c r="C161" s="27" t="s">
        <v>646</v>
      </c>
      <c r="D161" s="27" t="s">
        <v>767</v>
      </c>
      <c r="E161" s="27" t="s">
        <v>759</v>
      </c>
      <c r="F161" s="17" t="s">
        <v>1095</v>
      </c>
      <c r="G161" s="27" t="s">
        <v>912</v>
      </c>
      <c r="H161" s="29">
        <v>42</v>
      </c>
      <c r="I161" s="27" t="s">
        <v>1002</v>
      </c>
      <c r="J161" s="29">
        <v>6</v>
      </c>
      <c r="K161" s="27" t="s">
        <v>878</v>
      </c>
      <c r="L161" s="30">
        <v>60</v>
      </c>
    </row>
    <row r="162" spans="1:12" x14ac:dyDescent="0.25">
      <c r="A162" s="26">
        <v>161</v>
      </c>
      <c r="B162" s="26" t="s">
        <v>522</v>
      </c>
      <c r="C162" s="27" t="s">
        <v>647</v>
      </c>
      <c r="D162" s="27" t="s">
        <v>767</v>
      </c>
      <c r="E162" s="27" t="s">
        <v>759</v>
      </c>
      <c r="F162" s="17" t="s">
        <v>1096</v>
      </c>
      <c r="G162" s="27" t="s">
        <v>912</v>
      </c>
      <c r="H162" s="29">
        <v>42</v>
      </c>
      <c r="I162" s="27" t="s">
        <v>1002</v>
      </c>
      <c r="J162" s="29">
        <v>6</v>
      </c>
      <c r="K162" s="27" t="s">
        <v>878</v>
      </c>
      <c r="L162" s="30">
        <v>60</v>
      </c>
    </row>
    <row r="163" spans="1:12" x14ac:dyDescent="0.25">
      <c r="A163" s="26">
        <v>162</v>
      </c>
      <c r="B163" s="26" t="s">
        <v>524</v>
      </c>
      <c r="C163" s="27" t="s">
        <v>648</v>
      </c>
      <c r="D163" s="27" t="s">
        <v>767</v>
      </c>
      <c r="E163" s="27" t="s">
        <v>759</v>
      </c>
      <c r="F163" s="17">
        <v>939800006</v>
      </c>
      <c r="G163" s="27" t="s">
        <v>912</v>
      </c>
      <c r="H163" s="29">
        <v>42</v>
      </c>
      <c r="I163" s="27" t="s">
        <v>1006</v>
      </c>
      <c r="J163" s="27" t="s">
        <v>1007</v>
      </c>
      <c r="K163" s="27" t="s">
        <v>1007</v>
      </c>
      <c r="L163" s="30">
        <v>60</v>
      </c>
    </row>
    <row r="164" spans="1:12" x14ac:dyDescent="0.25">
      <c r="A164" s="26">
        <v>163</v>
      </c>
      <c r="B164" s="26" t="s">
        <v>523</v>
      </c>
      <c r="C164" s="27" t="s">
        <v>649</v>
      </c>
      <c r="D164" s="27" t="s">
        <v>767</v>
      </c>
      <c r="E164" s="27" t="s">
        <v>759</v>
      </c>
      <c r="F164" s="17">
        <v>982777829</v>
      </c>
      <c r="G164" s="27" t="s">
        <v>912</v>
      </c>
      <c r="H164" s="29">
        <v>42</v>
      </c>
      <c r="I164" s="27" t="s">
        <v>1002</v>
      </c>
      <c r="J164" s="29">
        <v>6</v>
      </c>
      <c r="K164" s="27" t="s">
        <v>878</v>
      </c>
      <c r="L164" s="30">
        <v>60</v>
      </c>
    </row>
    <row r="165" spans="1:12" x14ac:dyDescent="0.25">
      <c r="A165" s="26">
        <v>164</v>
      </c>
      <c r="B165" s="26" t="s">
        <v>84</v>
      </c>
      <c r="C165" s="27" t="s">
        <v>1097</v>
      </c>
      <c r="D165" s="27" t="s">
        <v>769</v>
      </c>
      <c r="E165" s="27" t="s">
        <v>974</v>
      </c>
      <c r="F165" s="17">
        <v>907291771</v>
      </c>
      <c r="G165" s="27" t="s">
        <v>912</v>
      </c>
      <c r="H165" s="29">
        <v>28</v>
      </c>
      <c r="I165" s="27" t="s">
        <v>1011</v>
      </c>
      <c r="J165" s="29">
        <v>6</v>
      </c>
      <c r="K165" s="27" t="s">
        <v>765</v>
      </c>
      <c r="L165" s="30">
        <v>60</v>
      </c>
    </row>
    <row r="166" spans="1:12" x14ac:dyDescent="0.25">
      <c r="A166" s="26">
        <v>165</v>
      </c>
      <c r="B166" s="26" t="s">
        <v>63</v>
      </c>
      <c r="C166" s="27" t="s">
        <v>1098</v>
      </c>
      <c r="D166" s="27" t="s">
        <v>769</v>
      </c>
      <c r="E166" s="27" t="s">
        <v>878</v>
      </c>
      <c r="F166" s="17">
        <v>939999970</v>
      </c>
      <c r="G166" s="27" t="s">
        <v>912</v>
      </c>
      <c r="H166" s="29">
        <v>34</v>
      </c>
      <c r="I166" s="27" t="s">
        <v>942</v>
      </c>
      <c r="J166" s="29">
        <v>5</v>
      </c>
      <c r="K166" s="27" t="s">
        <v>878</v>
      </c>
      <c r="L166" s="30">
        <v>60</v>
      </c>
    </row>
    <row r="167" spans="1:12" x14ac:dyDescent="0.25">
      <c r="A167" s="26">
        <v>166</v>
      </c>
      <c r="B167" s="26" t="s">
        <v>64</v>
      </c>
      <c r="C167" s="27" t="s">
        <v>1099</v>
      </c>
      <c r="D167" s="27" t="s">
        <v>769</v>
      </c>
      <c r="E167" s="27" t="s">
        <v>908</v>
      </c>
      <c r="F167" s="17" t="s">
        <v>1100</v>
      </c>
      <c r="G167" s="27" t="s">
        <v>903</v>
      </c>
      <c r="H167" s="29">
        <v>128</v>
      </c>
      <c r="I167" s="27" t="s">
        <v>929</v>
      </c>
      <c r="J167" s="29">
        <v>130</v>
      </c>
      <c r="K167" s="27" t="s">
        <v>878</v>
      </c>
      <c r="L167" s="30">
        <v>60</v>
      </c>
    </row>
    <row r="168" spans="1:12" x14ac:dyDescent="0.25">
      <c r="A168" s="26">
        <v>167</v>
      </c>
      <c r="B168" s="26" t="s">
        <v>90</v>
      </c>
      <c r="C168" s="27" t="s">
        <v>1101</v>
      </c>
      <c r="D168" s="27" t="s">
        <v>769</v>
      </c>
      <c r="E168" s="27" t="s">
        <v>933</v>
      </c>
      <c r="F168" s="17">
        <v>903303637</v>
      </c>
      <c r="G168" s="27" t="s">
        <v>912</v>
      </c>
      <c r="H168" s="29">
        <v>33</v>
      </c>
      <c r="I168" s="27" t="s">
        <v>934</v>
      </c>
      <c r="J168" s="29">
        <v>8</v>
      </c>
      <c r="K168" s="27" t="s">
        <v>765</v>
      </c>
      <c r="L168" s="30">
        <v>60</v>
      </c>
    </row>
    <row r="169" spans="1:12" x14ac:dyDescent="0.25">
      <c r="A169" s="26">
        <v>168</v>
      </c>
      <c r="B169" s="26" t="s">
        <v>65</v>
      </c>
      <c r="C169" s="27" t="s">
        <v>1102</v>
      </c>
      <c r="D169" s="27" t="s">
        <v>769</v>
      </c>
      <c r="E169" s="27" t="s">
        <v>933</v>
      </c>
      <c r="F169" s="17">
        <v>903303637</v>
      </c>
      <c r="G169" s="27" t="s">
        <v>912</v>
      </c>
      <c r="H169" s="29">
        <v>30</v>
      </c>
      <c r="I169" s="27" t="s">
        <v>934</v>
      </c>
      <c r="J169" s="29">
        <v>8</v>
      </c>
      <c r="K169" s="27" t="s">
        <v>765</v>
      </c>
      <c r="L169" s="30">
        <v>60</v>
      </c>
    </row>
    <row r="170" spans="1:12" x14ac:dyDescent="0.25">
      <c r="A170" s="26">
        <v>169</v>
      </c>
      <c r="B170" s="26" t="s">
        <v>91</v>
      </c>
      <c r="C170" s="27" t="s">
        <v>1103</v>
      </c>
      <c r="D170" s="27" t="s">
        <v>769</v>
      </c>
      <c r="E170" s="27" t="s">
        <v>933</v>
      </c>
      <c r="F170" s="17">
        <v>903303637</v>
      </c>
      <c r="G170" s="27" t="s">
        <v>912</v>
      </c>
      <c r="H170" s="29">
        <v>31</v>
      </c>
      <c r="I170" s="27" t="s">
        <v>979</v>
      </c>
      <c r="J170" s="29">
        <v>8</v>
      </c>
      <c r="K170" s="27" t="s">
        <v>765</v>
      </c>
      <c r="L170" s="30">
        <v>60</v>
      </c>
    </row>
    <row r="171" spans="1:12" x14ac:dyDescent="0.25">
      <c r="A171" s="26">
        <v>170</v>
      </c>
      <c r="B171" s="26" t="s">
        <v>10</v>
      </c>
      <c r="C171" s="27" t="s">
        <v>1104</v>
      </c>
      <c r="D171" s="27" t="s">
        <v>769</v>
      </c>
      <c r="E171" s="27" t="s">
        <v>974</v>
      </c>
      <c r="F171" s="17">
        <v>907291771</v>
      </c>
      <c r="G171" s="27" t="s">
        <v>912</v>
      </c>
      <c r="H171" s="29">
        <v>31</v>
      </c>
      <c r="I171" s="27" t="s">
        <v>1011</v>
      </c>
      <c r="J171" s="29">
        <v>8</v>
      </c>
      <c r="K171" s="27" t="s">
        <v>765</v>
      </c>
      <c r="L171" s="30">
        <v>60</v>
      </c>
    </row>
    <row r="172" spans="1:12" x14ac:dyDescent="0.25">
      <c r="A172" s="26">
        <v>171</v>
      </c>
      <c r="B172" s="26" t="s">
        <v>92</v>
      </c>
      <c r="C172" s="27" t="s">
        <v>1105</v>
      </c>
      <c r="D172" s="27" t="s">
        <v>769</v>
      </c>
      <c r="E172" s="27" t="s">
        <v>974</v>
      </c>
      <c r="F172" s="17">
        <v>907291771</v>
      </c>
      <c r="G172" s="27" t="s">
        <v>912</v>
      </c>
      <c r="H172" s="29">
        <v>33</v>
      </c>
      <c r="I172" s="27" t="s">
        <v>1011</v>
      </c>
      <c r="J172" s="29">
        <v>6</v>
      </c>
      <c r="K172" s="27" t="s">
        <v>765</v>
      </c>
      <c r="L172" s="30">
        <v>60</v>
      </c>
    </row>
    <row r="173" spans="1:12" x14ac:dyDescent="0.25">
      <c r="A173" s="26">
        <v>172</v>
      </c>
      <c r="B173" s="26" t="s">
        <v>93</v>
      </c>
      <c r="C173" s="27" t="s">
        <v>1106</v>
      </c>
      <c r="D173" s="27" t="s">
        <v>769</v>
      </c>
      <c r="E173" s="27" t="s">
        <v>842</v>
      </c>
      <c r="F173" s="17">
        <v>2923823194</v>
      </c>
      <c r="G173" s="27" t="s">
        <v>903</v>
      </c>
      <c r="H173" s="29">
        <v>40</v>
      </c>
      <c r="I173" s="27" t="s">
        <v>952</v>
      </c>
      <c r="J173" s="29">
        <v>8</v>
      </c>
      <c r="K173" s="27" t="s">
        <v>878</v>
      </c>
      <c r="L173" s="30">
        <v>60</v>
      </c>
    </row>
    <row r="174" spans="1:12" x14ac:dyDescent="0.25">
      <c r="A174" s="26">
        <v>173</v>
      </c>
      <c r="B174" s="26" t="s">
        <v>94</v>
      </c>
      <c r="C174" s="27" t="s">
        <v>1107</v>
      </c>
      <c r="D174" s="27" t="s">
        <v>769</v>
      </c>
      <c r="E174" s="27" t="s">
        <v>759</v>
      </c>
      <c r="F174" s="17">
        <v>939999970</v>
      </c>
      <c r="G174" s="27" t="s">
        <v>912</v>
      </c>
      <c r="H174" s="29">
        <v>35</v>
      </c>
      <c r="I174" s="27" t="s">
        <v>965</v>
      </c>
      <c r="J174" s="29">
        <v>15</v>
      </c>
      <c r="K174" s="27" t="s">
        <v>878</v>
      </c>
      <c r="L174" s="30">
        <v>60</v>
      </c>
    </row>
    <row r="175" spans="1:12" x14ac:dyDescent="0.25">
      <c r="A175" s="26">
        <v>174</v>
      </c>
      <c r="B175" s="26" t="s">
        <v>131</v>
      </c>
      <c r="C175" s="27" t="s">
        <v>1108</v>
      </c>
      <c r="D175" s="27" t="s">
        <v>769</v>
      </c>
      <c r="E175" s="27" t="s">
        <v>759</v>
      </c>
      <c r="F175" s="17">
        <v>908099992</v>
      </c>
      <c r="G175" s="27" t="s">
        <v>903</v>
      </c>
      <c r="H175" s="29">
        <v>36</v>
      </c>
      <c r="I175" s="27" t="s">
        <v>942</v>
      </c>
      <c r="J175" s="29">
        <v>5</v>
      </c>
      <c r="K175" s="27" t="s">
        <v>878</v>
      </c>
      <c r="L175" s="30">
        <v>60</v>
      </c>
    </row>
    <row r="176" spans="1:12" x14ac:dyDescent="0.25">
      <c r="A176" s="26">
        <v>175</v>
      </c>
      <c r="B176" s="26" t="s">
        <v>66</v>
      </c>
      <c r="C176" s="27" t="s">
        <v>1109</v>
      </c>
      <c r="D176" s="27" t="s">
        <v>769</v>
      </c>
      <c r="E176" s="27" t="s">
        <v>933</v>
      </c>
      <c r="F176" s="17">
        <v>903303637</v>
      </c>
      <c r="G176" s="27" t="s">
        <v>912</v>
      </c>
      <c r="H176" s="29">
        <v>30</v>
      </c>
      <c r="I176" s="27" t="s">
        <v>934</v>
      </c>
      <c r="J176" s="29">
        <v>8</v>
      </c>
      <c r="K176" s="27" t="s">
        <v>765</v>
      </c>
      <c r="L176" s="30">
        <v>60</v>
      </c>
    </row>
    <row r="177" spans="1:12" x14ac:dyDescent="0.25">
      <c r="A177" s="26">
        <v>176</v>
      </c>
      <c r="B177" s="26" t="s">
        <v>85</v>
      </c>
      <c r="C177" s="27" t="s">
        <v>655</v>
      </c>
      <c r="D177" s="27" t="s">
        <v>769</v>
      </c>
      <c r="E177" s="27" t="s">
        <v>878</v>
      </c>
      <c r="F177" s="17">
        <v>906750171</v>
      </c>
      <c r="G177" s="27" t="s">
        <v>903</v>
      </c>
      <c r="H177" s="29">
        <v>29</v>
      </c>
      <c r="I177" s="27" t="s">
        <v>942</v>
      </c>
      <c r="J177" s="29">
        <v>5</v>
      </c>
      <c r="K177" s="27" t="s">
        <v>878</v>
      </c>
      <c r="L177" s="30">
        <v>60</v>
      </c>
    </row>
    <row r="178" spans="1:12" x14ac:dyDescent="0.25">
      <c r="A178" s="26">
        <v>177</v>
      </c>
      <c r="B178" s="26" t="s">
        <v>95</v>
      </c>
      <c r="C178" s="27" t="s">
        <v>1110</v>
      </c>
      <c r="D178" s="27" t="s">
        <v>769</v>
      </c>
      <c r="E178" s="27" t="s">
        <v>933</v>
      </c>
      <c r="F178" s="17">
        <v>903303637</v>
      </c>
      <c r="G178" s="27" t="s">
        <v>912</v>
      </c>
      <c r="H178" s="29">
        <v>37</v>
      </c>
      <c r="I178" s="27" t="s">
        <v>929</v>
      </c>
      <c r="J178" s="29">
        <v>12</v>
      </c>
      <c r="K178" s="27" t="s">
        <v>765</v>
      </c>
      <c r="L178" s="30">
        <v>60</v>
      </c>
    </row>
    <row r="179" spans="1:12" x14ac:dyDescent="0.25">
      <c r="A179" s="26">
        <v>178</v>
      </c>
      <c r="B179" s="26" t="s">
        <v>67</v>
      </c>
      <c r="C179" s="27" t="s">
        <v>1111</v>
      </c>
      <c r="D179" s="27" t="s">
        <v>769</v>
      </c>
      <c r="E179" s="27" t="s">
        <v>933</v>
      </c>
      <c r="F179" s="17">
        <v>903303637</v>
      </c>
      <c r="G179" s="27" t="s">
        <v>912</v>
      </c>
      <c r="H179" s="29">
        <v>30</v>
      </c>
      <c r="I179" s="27" t="s">
        <v>942</v>
      </c>
      <c r="J179" s="29">
        <v>8</v>
      </c>
      <c r="K179" s="27" t="s">
        <v>765</v>
      </c>
      <c r="L179" s="30">
        <v>60</v>
      </c>
    </row>
    <row r="180" spans="1:12" x14ac:dyDescent="0.25">
      <c r="A180" s="26">
        <v>179</v>
      </c>
      <c r="B180" s="26" t="s">
        <v>68</v>
      </c>
      <c r="C180" s="27" t="s">
        <v>1112</v>
      </c>
      <c r="D180" s="27" t="s">
        <v>769</v>
      </c>
      <c r="E180" s="27" t="s">
        <v>933</v>
      </c>
      <c r="F180" s="17">
        <v>903303637</v>
      </c>
      <c r="G180" s="27" t="s">
        <v>912</v>
      </c>
      <c r="H180" s="29">
        <v>31</v>
      </c>
      <c r="I180" s="27" t="s">
        <v>942</v>
      </c>
      <c r="J180" s="29">
        <v>12</v>
      </c>
      <c r="K180" s="27" t="s">
        <v>765</v>
      </c>
      <c r="L180" s="30">
        <v>60</v>
      </c>
    </row>
    <row r="181" spans="1:12" x14ac:dyDescent="0.25">
      <c r="A181" s="26">
        <v>180</v>
      </c>
      <c r="B181" s="26" t="s">
        <v>96</v>
      </c>
      <c r="C181" s="27" t="s">
        <v>1113</v>
      </c>
      <c r="D181" s="27" t="s">
        <v>769</v>
      </c>
      <c r="E181" s="27" t="s">
        <v>974</v>
      </c>
      <c r="F181" s="17">
        <v>907291771</v>
      </c>
      <c r="G181" s="27" t="s">
        <v>912</v>
      </c>
      <c r="H181" s="29">
        <v>34</v>
      </c>
      <c r="I181" s="27" t="s">
        <v>1011</v>
      </c>
      <c r="J181" s="29">
        <v>6</v>
      </c>
      <c r="K181" s="27" t="s">
        <v>765</v>
      </c>
      <c r="L181" s="30">
        <v>60</v>
      </c>
    </row>
    <row r="182" spans="1:12" x14ac:dyDescent="0.25">
      <c r="A182" s="26">
        <v>181</v>
      </c>
      <c r="B182" s="26" t="s">
        <v>97</v>
      </c>
      <c r="C182" s="27" t="s">
        <v>1114</v>
      </c>
      <c r="D182" s="27" t="s">
        <v>769</v>
      </c>
      <c r="E182" s="27" t="s">
        <v>974</v>
      </c>
      <c r="F182" s="17">
        <v>907291771</v>
      </c>
      <c r="G182" s="27" t="s">
        <v>912</v>
      </c>
      <c r="H182" s="29">
        <v>30</v>
      </c>
      <c r="I182" s="27" t="s">
        <v>1011</v>
      </c>
      <c r="J182" s="29">
        <v>6</v>
      </c>
      <c r="K182" s="27" t="s">
        <v>765</v>
      </c>
      <c r="L182" s="30">
        <v>60</v>
      </c>
    </row>
    <row r="183" spans="1:12" x14ac:dyDescent="0.25">
      <c r="A183" s="26">
        <v>182</v>
      </c>
      <c r="B183" s="26" t="s">
        <v>11</v>
      </c>
      <c r="C183" s="27" t="s">
        <v>1115</v>
      </c>
      <c r="D183" s="27" t="s">
        <v>769</v>
      </c>
      <c r="E183" s="27" t="s">
        <v>933</v>
      </c>
      <c r="F183" s="17">
        <v>903303637</v>
      </c>
      <c r="G183" s="27" t="s">
        <v>912</v>
      </c>
      <c r="H183" s="29">
        <v>35</v>
      </c>
      <c r="I183" s="27" t="s">
        <v>942</v>
      </c>
      <c r="J183" s="29">
        <v>8</v>
      </c>
      <c r="K183" s="27" t="s">
        <v>765</v>
      </c>
      <c r="L183" s="30">
        <v>60</v>
      </c>
    </row>
    <row r="184" spans="1:12" x14ac:dyDescent="0.25">
      <c r="A184" s="26">
        <v>183</v>
      </c>
      <c r="B184" s="26" t="s">
        <v>98</v>
      </c>
      <c r="C184" s="27" t="s">
        <v>1116</v>
      </c>
      <c r="D184" s="27" t="s">
        <v>769</v>
      </c>
      <c r="E184" s="27" t="s">
        <v>933</v>
      </c>
      <c r="F184" s="17">
        <v>903303637</v>
      </c>
      <c r="G184" s="27" t="s">
        <v>912</v>
      </c>
      <c r="H184" s="29">
        <v>27</v>
      </c>
      <c r="I184" s="27" t="s">
        <v>934</v>
      </c>
      <c r="J184" s="29">
        <v>8</v>
      </c>
      <c r="K184" s="27" t="s">
        <v>765</v>
      </c>
      <c r="L184" s="30">
        <v>60</v>
      </c>
    </row>
    <row r="185" spans="1:12" x14ac:dyDescent="0.25">
      <c r="A185" s="26">
        <v>184</v>
      </c>
      <c r="B185" s="26" t="s">
        <v>12</v>
      </c>
      <c r="C185" s="27" t="s">
        <v>1117</v>
      </c>
      <c r="D185" s="27" t="s">
        <v>769</v>
      </c>
      <c r="E185" s="27" t="s">
        <v>772</v>
      </c>
      <c r="F185" s="17">
        <v>907729992</v>
      </c>
      <c r="G185" s="27" t="s">
        <v>912</v>
      </c>
      <c r="H185" s="29">
        <v>24</v>
      </c>
      <c r="I185" s="27" t="s">
        <v>942</v>
      </c>
      <c r="J185" s="29">
        <v>5</v>
      </c>
      <c r="K185" s="27" t="s">
        <v>765</v>
      </c>
      <c r="L185" s="30">
        <v>60</v>
      </c>
    </row>
    <row r="186" spans="1:12" x14ac:dyDescent="0.25">
      <c r="A186" s="26">
        <v>185</v>
      </c>
      <c r="B186" s="26" t="s">
        <v>69</v>
      </c>
      <c r="C186" s="27" t="s">
        <v>1118</v>
      </c>
      <c r="D186" s="27" t="s">
        <v>769</v>
      </c>
      <c r="E186" s="27" t="s">
        <v>772</v>
      </c>
      <c r="F186" s="17">
        <v>907729992</v>
      </c>
      <c r="G186" s="27" t="s">
        <v>912</v>
      </c>
      <c r="H186" s="29">
        <v>30</v>
      </c>
      <c r="I186" s="27" t="s">
        <v>942</v>
      </c>
      <c r="J186" s="29">
        <v>5</v>
      </c>
      <c r="K186" s="27" t="s">
        <v>765</v>
      </c>
      <c r="L186" s="30">
        <v>60</v>
      </c>
    </row>
    <row r="187" spans="1:12" x14ac:dyDescent="0.25">
      <c r="A187" s="26">
        <v>186</v>
      </c>
      <c r="B187" s="26" t="s">
        <v>70</v>
      </c>
      <c r="C187" s="27" t="s">
        <v>1119</v>
      </c>
      <c r="D187" s="27" t="s">
        <v>769</v>
      </c>
      <c r="E187" s="27" t="s">
        <v>772</v>
      </c>
      <c r="F187" s="17">
        <v>907729992</v>
      </c>
      <c r="G187" s="27" t="s">
        <v>912</v>
      </c>
      <c r="H187" s="29">
        <v>32</v>
      </c>
      <c r="I187" s="27" t="s">
        <v>942</v>
      </c>
      <c r="J187" s="29">
        <v>5</v>
      </c>
      <c r="K187" s="27" t="s">
        <v>765</v>
      </c>
      <c r="L187" s="30">
        <v>60</v>
      </c>
    </row>
    <row r="188" spans="1:12" x14ac:dyDescent="0.25">
      <c r="A188" s="26">
        <v>187</v>
      </c>
      <c r="B188" s="26" t="s">
        <v>71</v>
      </c>
      <c r="C188" s="27" t="s">
        <v>1120</v>
      </c>
      <c r="D188" s="27" t="s">
        <v>769</v>
      </c>
      <c r="E188" s="27" t="s">
        <v>933</v>
      </c>
      <c r="F188" s="17">
        <v>903303637</v>
      </c>
      <c r="G188" s="27" t="s">
        <v>912</v>
      </c>
      <c r="H188" s="29">
        <v>29</v>
      </c>
      <c r="I188" s="27" t="s">
        <v>942</v>
      </c>
      <c r="J188" s="29">
        <v>5</v>
      </c>
      <c r="K188" s="27" t="s">
        <v>765</v>
      </c>
      <c r="L188" s="30">
        <v>60</v>
      </c>
    </row>
    <row r="189" spans="1:12" x14ac:dyDescent="0.25">
      <c r="A189" s="26">
        <v>188</v>
      </c>
      <c r="B189" s="26" t="s">
        <v>24</v>
      </c>
      <c r="C189" s="27" t="s">
        <v>1121</v>
      </c>
      <c r="D189" s="27" t="s">
        <v>769</v>
      </c>
      <c r="E189" s="27" t="s">
        <v>974</v>
      </c>
      <c r="F189" s="17">
        <v>907291771</v>
      </c>
      <c r="G189" s="27" t="s">
        <v>912</v>
      </c>
      <c r="H189" s="29">
        <v>34</v>
      </c>
      <c r="I189" s="27" t="s">
        <v>979</v>
      </c>
      <c r="J189" s="29">
        <v>9</v>
      </c>
      <c r="K189" s="27" t="s">
        <v>765</v>
      </c>
      <c r="L189" s="30">
        <v>60</v>
      </c>
    </row>
    <row r="190" spans="1:12" x14ac:dyDescent="0.25">
      <c r="A190" s="26">
        <v>189</v>
      </c>
      <c r="B190" s="26" t="s">
        <v>25</v>
      </c>
      <c r="C190" s="27" t="s">
        <v>1122</v>
      </c>
      <c r="D190" s="27" t="s">
        <v>769</v>
      </c>
      <c r="E190" s="27" t="s">
        <v>974</v>
      </c>
      <c r="F190" s="17">
        <v>907291771</v>
      </c>
      <c r="G190" s="27" t="s">
        <v>912</v>
      </c>
      <c r="H190" s="29">
        <v>30</v>
      </c>
      <c r="I190" s="27" t="s">
        <v>1011</v>
      </c>
      <c r="J190" s="29">
        <v>6</v>
      </c>
      <c r="K190" s="27" t="s">
        <v>765</v>
      </c>
      <c r="L190" s="30">
        <v>60</v>
      </c>
    </row>
    <row r="191" spans="1:12" x14ac:dyDescent="0.25">
      <c r="A191" s="26">
        <v>190</v>
      </c>
      <c r="B191" s="26" t="s">
        <v>72</v>
      </c>
      <c r="C191" s="27" t="s">
        <v>1123</v>
      </c>
      <c r="D191" s="27" t="s">
        <v>769</v>
      </c>
      <c r="E191" s="27" t="s">
        <v>772</v>
      </c>
      <c r="F191" s="17">
        <v>907729992</v>
      </c>
      <c r="G191" s="27" t="s">
        <v>912</v>
      </c>
      <c r="H191" s="29">
        <v>30</v>
      </c>
      <c r="I191" s="27" t="s">
        <v>942</v>
      </c>
      <c r="J191" s="29">
        <v>5</v>
      </c>
      <c r="K191" s="27" t="s">
        <v>765</v>
      </c>
      <c r="L191" s="30">
        <v>60</v>
      </c>
    </row>
    <row r="192" spans="1:12" x14ac:dyDescent="0.25">
      <c r="A192" s="26">
        <v>191</v>
      </c>
      <c r="B192" s="26" t="s">
        <v>86</v>
      </c>
      <c r="C192" s="27" t="s">
        <v>1124</v>
      </c>
      <c r="D192" s="27" t="s">
        <v>769</v>
      </c>
      <c r="E192" s="27" t="s">
        <v>974</v>
      </c>
      <c r="F192" s="17">
        <v>907291771</v>
      </c>
      <c r="G192" s="27" t="s">
        <v>912</v>
      </c>
      <c r="H192" s="29">
        <v>28</v>
      </c>
      <c r="I192" s="27" t="s">
        <v>1011</v>
      </c>
      <c r="J192" s="29">
        <v>6</v>
      </c>
      <c r="K192" s="27" t="s">
        <v>765</v>
      </c>
      <c r="L192" s="30">
        <v>60</v>
      </c>
    </row>
    <row r="193" spans="1:12" x14ac:dyDescent="0.25">
      <c r="A193" s="26">
        <v>192</v>
      </c>
      <c r="B193" s="26" t="s">
        <v>124</v>
      </c>
      <c r="C193" s="27" t="s">
        <v>1125</v>
      </c>
      <c r="D193" s="27" t="s">
        <v>769</v>
      </c>
      <c r="E193" s="27" t="s">
        <v>774</v>
      </c>
      <c r="F193" s="17">
        <v>907498282</v>
      </c>
      <c r="G193" s="27" t="s">
        <v>912</v>
      </c>
      <c r="H193" s="29">
        <v>27</v>
      </c>
      <c r="I193" s="27" t="s">
        <v>942</v>
      </c>
      <c r="J193" s="29">
        <v>5</v>
      </c>
      <c r="K193" s="27" t="s">
        <v>765</v>
      </c>
      <c r="L193" s="30">
        <v>60</v>
      </c>
    </row>
    <row r="194" spans="1:12" x14ac:dyDescent="0.25">
      <c r="A194" s="26">
        <v>193</v>
      </c>
      <c r="B194" s="26" t="s">
        <v>117</v>
      </c>
      <c r="C194" s="27" t="s">
        <v>1126</v>
      </c>
      <c r="D194" s="27" t="s">
        <v>769</v>
      </c>
      <c r="E194" s="27" t="s">
        <v>974</v>
      </c>
      <c r="F194" s="17">
        <v>907291771</v>
      </c>
      <c r="G194" s="27" t="s">
        <v>912</v>
      </c>
      <c r="H194" s="29">
        <v>26</v>
      </c>
      <c r="I194" s="27" t="s">
        <v>934</v>
      </c>
      <c r="J194" s="29">
        <v>12</v>
      </c>
      <c r="K194" s="27" t="s">
        <v>765</v>
      </c>
      <c r="L194" s="30">
        <v>60</v>
      </c>
    </row>
    <row r="195" spans="1:12" x14ac:dyDescent="0.25">
      <c r="A195" s="26">
        <v>194</v>
      </c>
      <c r="B195" s="26" t="s">
        <v>99</v>
      </c>
      <c r="C195" s="27" t="s">
        <v>1127</v>
      </c>
      <c r="D195" s="27" t="s">
        <v>769</v>
      </c>
      <c r="E195" s="27" t="s">
        <v>759</v>
      </c>
      <c r="F195" s="17">
        <v>939999970</v>
      </c>
      <c r="G195" s="27" t="s">
        <v>912</v>
      </c>
      <c r="H195" s="29">
        <v>30</v>
      </c>
      <c r="I195" s="27" t="s">
        <v>934</v>
      </c>
      <c r="J195" s="29">
        <v>12</v>
      </c>
      <c r="K195" s="27" t="s">
        <v>937</v>
      </c>
      <c r="L195" s="30">
        <v>60</v>
      </c>
    </row>
    <row r="196" spans="1:12" x14ac:dyDescent="0.25">
      <c r="A196" s="26">
        <v>195</v>
      </c>
      <c r="B196" s="26" t="s">
        <v>100</v>
      </c>
      <c r="C196" s="27" t="s">
        <v>1128</v>
      </c>
      <c r="D196" s="27" t="s">
        <v>769</v>
      </c>
      <c r="E196" s="27" t="s">
        <v>878</v>
      </c>
      <c r="F196" s="17">
        <v>908099992</v>
      </c>
      <c r="G196" s="27" t="s">
        <v>912</v>
      </c>
      <c r="H196" s="29">
        <v>30</v>
      </c>
      <c r="I196" s="27" t="s">
        <v>931</v>
      </c>
      <c r="J196" s="29">
        <v>5.5</v>
      </c>
      <c r="K196" s="27" t="s">
        <v>878</v>
      </c>
      <c r="L196" s="30">
        <v>60</v>
      </c>
    </row>
    <row r="197" spans="1:12" x14ac:dyDescent="0.25">
      <c r="A197" s="26">
        <v>196</v>
      </c>
      <c r="B197" s="26" t="s">
        <v>118</v>
      </c>
      <c r="C197" s="27" t="s">
        <v>1129</v>
      </c>
      <c r="D197" s="27" t="s">
        <v>769</v>
      </c>
      <c r="E197" s="27" t="s">
        <v>974</v>
      </c>
      <c r="F197" s="17">
        <v>907291771</v>
      </c>
      <c r="G197" s="27" t="s">
        <v>912</v>
      </c>
      <c r="H197" s="29">
        <v>45</v>
      </c>
      <c r="I197" s="27" t="s">
        <v>934</v>
      </c>
      <c r="J197" s="29">
        <v>12</v>
      </c>
      <c r="K197" s="27" t="s">
        <v>765</v>
      </c>
      <c r="L197" s="30">
        <v>60</v>
      </c>
    </row>
    <row r="198" spans="1:12" x14ac:dyDescent="0.25">
      <c r="A198" s="26">
        <v>197</v>
      </c>
      <c r="B198" s="26" t="s">
        <v>101</v>
      </c>
      <c r="C198" s="27" t="s">
        <v>1130</v>
      </c>
      <c r="D198" s="27" t="s">
        <v>769</v>
      </c>
      <c r="E198" s="27" t="s">
        <v>759</v>
      </c>
      <c r="F198" s="17">
        <v>939999970</v>
      </c>
      <c r="G198" s="27" t="s">
        <v>912</v>
      </c>
      <c r="H198" s="29">
        <v>29</v>
      </c>
      <c r="I198" s="27" t="s">
        <v>934</v>
      </c>
      <c r="J198" s="29">
        <v>12</v>
      </c>
      <c r="K198" s="27" t="s">
        <v>937</v>
      </c>
      <c r="L198" s="30">
        <v>60</v>
      </c>
    </row>
    <row r="199" spans="1:12" x14ac:dyDescent="0.25">
      <c r="A199" s="26">
        <v>198</v>
      </c>
      <c r="B199" s="26" t="s">
        <v>102</v>
      </c>
      <c r="C199" s="27" t="s">
        <v>1131</v>
      </c>
      <c r="D199" s="27" t="s">
        <v>769</v>
      </c>
      <c r="E199" s="27" t="s">
        <v>759</v>
      </c>
      <c r="F199" s="17">
        <v>908099992</v>
      </c>
      <c r="G199" s="27" t="s">
        <v>912</v>
      </c>
      <c r="H199" s="29">
        <v>31</v>
      </c>
      <c r="I199" s="27" t="s">
        <v>1011</v>
      </c>
      <c r="J199" s="29">
        <v>5</v>
      </c>
      <c r="K199" s="27" t="s">
        <v>937</v>
      </c>
      <c r="L199" s="30">
        <v>60</v>
      </c>
    </row>
    <row r="200" spans="1:12" x14ac:dyDescent="0.25">
      <c r="A200" s="26">
        <v>199</v>
      </c>
      <c r="B200" s="26" t="s">
        <v>13</v>
      </c>
      <c r="C200" s="27" t="s">
        <v>1132</v>
      </c>
      <c r="D200" s="27" t="s">
        <v>769</v>
      </c>
      <c r="E200" s="27" t="s">
        <v>759</v>
      </c>
      <c r="F200" s="17">
        <v>913870975</v>
      </c>
      <c r="G200" s="27" t="s">
        <v>912</v>
      </c>
      <c r="H200" s="29">
        <v>30</v>
      </c>
      <c r="I200" s="27" t="s">
        <v>931</v>
      </c>
      <c r="J200" s="29">
        <v>8.5</v>
      </c>
      <c r="K200" s="27" t="s">
        <v>878</v>
      </c>
      <c r="L200" s="30">
        <v>60</v>
      </c>
    </row>
    <row r="201" spans="1:12" x14ac:dyDescent="0.25">
      <c r="A201" s="26">
        <v>200</v>
      </c>
      <c r="B201" s="26" t="s">
        <v>73</v>
      </c>
      <c r="C201" s="27" t="s">
        <v>1133</v>
      </c>
      <c r="D201" s="27" t="s">
        <v>769</v>
      </c>
      <c r="E201" s="27" t="s">
        <v>878</v>
      </c>
      <c r="F201" s="17">
        <v>907635335</v>
      </c>
      <c r="G201" s="27" t="s">
        <v>912</v>
      </c>
      <c r="H201" s="29">
        <v>30</v>
      </c>
      <c r="I201" s="27" t="s">
        <v>942</v>
      </c>
      <c r="J201" s="29">
        <v>5</v>
      </c>
      <c r="K201" s="27" t="s">
        <v>878</v>
      </c>
      <c r="L201" s="30">
        <v>60</v>
      </c>
    </row>
    <row r="202" spans="1:12" x14ac:dyDescent="0.25">
      <c r="A202" s="26">
        <v>201</v>
      </c>
      <c r="B202" s="26" t="s">
        <v>14</v>
      </c>
      <c r="C202" s="27" t="s">
        <v>1134</v>
      </c>
      <c r="D202" s="27" t="s">
        <v>769</v>
      </c>
      <c r="E202" s="27" t="s">
        <v>878</v>
      </c>
      <c r="F202" s="17" t="s">
        <v>1135</v>
      </c>
      <c r="G202" s="27" t="s">
        <v>909</v>
      </c>
      <c r="H202" s="29">
        <v>27</v>
      </c>
      <c r="I202" s="27" t="s">
        <v>931</v>
      </c>
      <c r="J202" s="29">
        <v>5.5</v>
      </c>
      <c r="K202" s="27" t="s">
        <v>878</v>
      </c>
      <c r="L202" s="30">
        <v>60</v>
      </c>
    </row>
    <row r="203" spans="1:12" x14ac:dyDescent="0.25">
      <c r="A203" s="26">
        <v>202</v>
      </c>
      <c r="B203" s="26" t="s">
        <v>87</v>
      </c>
      <c r="C203" s="27" t="s">
        <v>1136</v>
      </c>
      <c r="D203" s="27" t="s">
        <v>769</v>
      </c>
      <c r="E203" s="27" t="s">
        <v>933</v>
      </c>
      <c r="F203" s="17">
        <v>903303637</v>
      </c>
      <c r="G203" s="27" t="s">
        <v>912</v>
      </c>
      <c r="H203" s="29">
        <v>30</v>
      </c>
      <c r="I203" s="27" t="s">
        <v>929</v>
      </c>
      <c r="J203" s="27" t="s">
        <v>1137</v>
      </c>
      <c r="K203" s="27" t="s">
        <v>765</v>
      </c>
      <c r="L203" s="30">
        <v>60</v>
      </c>
    </row>
    <row r="204" spans="1:12" x14ac:dyDescent="0.25">
      <c r="A204" s="26">
        <v>203</v>
      </c>
      <c r="B204" s="26" t="s">
        <v>74</v>
      </c>
      <c r="C204" s="27" t="s">
        <v>1138</v>
      </c>
      <c r="D204" s="27" t="s">
        <v>769</v>
      </c>
      <c r="E204" s="27" t="s">
        <v>878</v>
      </c>
      <c r="F204" s="17">
        <v>908099992</v>
      </c>
      <c r="G204" s="27" t="s">
        <v>912</v>
      </c>
      <c r="H204" s="29">
        <v>32</v>
      </c>
      <c r="I204" s="27" t="s">
        <v>1139</v>
      </c>
      <c r="J204" s="29">
        <v>8</v>
      </c>
      <c r="K204" s="27" t="s">
        <v>878</v>
      </c>
      <c r="L204" s="30">
        <v>60</v>
      </c>
    </row>
    <row r="205" spans="1:12" x14ac:dyDescent="0.25">
      <c r="A205" s="26">
        <v>204</v>
      </c>
      <c r="B205" s="26" t="s">
        <v>159</v>
      </c>
      <c r="C205" s="27" t="s">
        <v>1140</v>
      </c>
      <c r="D205" s="27" t="s">
        <v>769</v>
      </c>
      <c r="E205" s="27" t="s">
        <v>759</v>
      </c>
      <c r="F205" s="17">
        <v>913183000</v>
      </c>
      <c r="G205" s="27" t="s">
        <v>912</v>
      </c>
      <c r="H205" s="29">
        <v>40</v>
      </c>
      <c r="I205" s="27" t="s">
        <v>925</v>
      </c>
      <c r="J205" s="29">
        <v>8</v>
      </c>
      <c r="K205" s="27" t="s">
        <v>878</v>
      </c>
      <c r="L205" s="30">
        <v>60</v>
      </c>
    </row>
    <row r="206" spans="1:12" x14ac:dyDescent="0.25">
      <c r="A206" s="26">
        <v>205</v>
      </c>
      <c r="B206" s="26" t="s">
        <v>125</v>
      </c>
      <c r="C206" s="27" t="s">
        <v>1141</v>
      </c>
      <c r="D206" s="27" t="s">
        <v>769</v>
      </c>
      <c r="E206" s="27" t="s">
        <v>974</v>
      </c>
      <c r="F206" s="17">
        <v>907291771</v>
      </c>
      <c r="G206" s="27" t="s">
        <v>912</v>
      </c>
      <c r="H206" s="29">
        <v>48</v>
      </c>
      <c r="I206" s="27" t="s">
        <v>934</v>
      </c>
      <c r="J206" s="29">
        <v>12</v>
      </c>
      <c r="K206" s="27" t="s">
        <v>765</v>
      </c>
      <c r="L206" s="30">
        <v>60</v>
      </c>
    </row>
    <row r="207" spans="1:12" x14ac:dyDescent="0.25">
      <c r="A207" s="26">
        <v>206</v>
      </c>
      <c r="B207" s="26" t="s">
        <v>75</v>
      </c>
      <c r="C207" s="27" t="s">
        <v>1142</v>
      </c>
      <c r="D207" s="27" t="s">
        <v>769</v>
      </c>
      <c r="E207" s="27" t="s">
        <v>933</v>
      </c>
      <c r="F207" s="17">
        <v>903303637</v>
      </c>
      <c r="G207" s="27" t="s">
        <v>912</v>
      </c>
      <c r="H207" s="29">
        <v>25</v>
      </c>
      <c r="I207" s="27" t="s">
        <v>934</v>
      </c>
      <c r="J207" s="29">
        <v>8</v>
      </c>
      <c r="K207" s="27" t="s">
        <v>765</v>
      </c>
      <c r="L207" s="30">
        <v>60</v>
      </c>
    </row>
    <row r="208" spans="1:12" x14ac:dyDescent="0.25">
      <c r="A208" s="26">
        <v>207</v>
      </c>
      <c r="B208" s="26" t="s">
        <v>15</v>
      </c>
      <c r="C208" s="27" t="s">
        <v>1143</v>
      </c>
      <c r="D208" s="27" t="s">
        <v>769</v>
      </c>
      <c r="E208" s="27" t="s">
        <v>878</v>
      </c>
      <c r="F208" s="17" t="s">
        <v>1144</v>
      </c>
      <c r="G208" s="27" t="s">
        <v>903</v>
      </c>
      <c r="H208" s="29">
        <v>30</v>
      </c>
      <c r="I208" s="27" t="s">
        <v>942</v>
      </c>
      <c r="J208" s="29">
        <v>5</v>
      </c>
      <c r="K208" s="27" t="s">
        <v>878</v>
      </c>
      <c r="L208" s="30">
        <v>60</v>
      </c>
    </row>
    <row r="209" spans="1:12" x14ac:dyDescent="0.25">
      <c r="A209" s="26">
        <v>208</v>
      </c>
      <c r="B209" s="26" t="s">
        <v>16</v>
      </c>
      <c r="C209" s="27" t="s">
        <v>1145</v>
      </c>
      <c r="D209" s="27" t="s">
        <v>769</v>
      </c>
      <c r="E209" s="27" t="s">
        <v>759</v>
      </c>
      <c r="F209" s="17">
        <v>908099992</v>
      </c>
      <c r="G209" s="27" t="s">
        <v>912</v>
      </c>
      <c r="H209" s="29">
        <v>30</v>
      </c>
      <c r="I209" s="27" t="s">
        <v>942</v>
      </c>
      <c r="J209" s="29">
        <v>5</v>
      </c>
      <c r="K209" s="27" t="s">
        <v>878</v>
      </c>
      <c r="L209" s="30">
        <v>60</v>
      </c>
    </row>
    <row r="210" spans="1:12" x14ac:dyDescent="0.25">
      <c r="A210" s="26">
        <v>209</v>
      </c>
      <c r="B210" s="26" t="s">
        <v>17</v>
      </c>
      <c r="C210" s="27" t="s">
        <v>1146</v>
      </c>
      <c r="D210" s="27" t="s">
        <v>769</v>
      </c>
      <c r="E210" s="27" t="s">
        <v>759</v>
      </c>
      <c r="F210" s="17" t="s">
        <v>1147</v>
      </c>
      <c r="G210" s="27" t="s">
        <v>912</v>
      </c>
      <c r="H210" s="29">
        <v>31</v>
      </c>
      <c r="I210" s="27" t="s">
        <v>927</v>
      </c>
      <c r="J210" s="29">
        <v>8</v>
      </c>
      <c r="K210" s="27" t="s">
        <v>878</v>
      </c>
      <c r="L210" s="30">
        <v>60</v>
      </c>
    </row>
    <row r="211" spans="1:12" x14ac:dyDescent="0.25">
      <c r="A211" s="26">
        <v>210</v>
      </c>
      <c r="B211" s="26" t="s">
        <v>160</v>
      </c>
      <c r="C211" s="27" t="s">
        <v>1148</v>
      </c>
      <c r="D211" s="27" t="s">
        <v>769</v>
      </c>
      <c r="E211" s="27" t="s">
        <v>759</v>
      </c>
      <c r="F211" s="17">
        <v>908071999</v>
      </c>
      <c r="G211" s="27" t="s">
        <v>912</v>
      </c>
      <c r="H211" s="29">
        <v>28</v>
      </c>
      <c r="I211" s="27" t="s">
        <v>1011</v>
      </c>
      <c r="J211" s="29">
        <v>5</v>
      </c>
      <c r="K211" s="27" t="s">
        <v>937</v>
      </c>
      <c r="L211" s="30">
        <v>60</v>
      </c>
    </row>
    <row r="212" spans="1:12" x14ac:dyDescent="0.25">
      <c r="A212" s="26">
        <v>211</v>
      </c>
      <c r="B212" s="26" t="s">
        <v>161</v>
      </c>
      <c r="C212" s="27" t="s">
        <v>656</v>
      </c>
      <c r="D212" s="27" t="s">
        <v>769</v>
      </c>
      <c r="E212" s="27" t="s">
        <v>759</v>
      </c>
      <c r="F212" s="17">
        <v>939977979</v>
      </c>
      <c r="G212" s="27" t="s">
        <v>912</v>
      </c>
      <c r="H212" s="29">
        <v>32</v>
      </c>
      <c r="I212" s="27" t="s">
        <v>1011</v>
      </c>
      <c r="J212" s="29">
        <v>5</v>
      </c>
      <c r="K212" s="27" t="s">
        <v>937</v>
      </c>
      <c r="L212" s="30">
        <v>60</v>
      </c>
    </row>
    <row r="213" spans="1:12" x14ac:dyDescent="0.25">
      <c r="A213" s="26">
        <v>212</v>
      </c>
      <c r="B213" s="26" t="s">
        <v>76</v>
      </c>
      <c r="C213" s="27" t="s">
        <v>1149</v>
      </c>
      <c r="D213" s="27" t="s">
        <v>769</v>
      </c>
      <c r="E213" s="27" t="s">
        <v>933</v>
      </c>
      <c r="F213" s="17">
        <v>903303637</v>
      </c>
      <c r="G213" s="27" t="s">
        <v>912</v>
      </c>
      <c r="H213" s="29">
        <v>27</v>
      </c>
      <c r="I213" s="27" t="s">
        <v>942</v>
      </c>
      <c r="J213" s="29">
        <v>5</v>
      </c>
      <c r="K213" s="27" t="s">
        <v>765</v>
      </c>
      <c r="L213" s="30">
        <v>60</v>
      </c>
    </row>
    <row r="214" spans="1:12" x14ac:dyDescent="0.25">
      <c r="A214" s="26">
        <v>213</v>
      </c>
      <c r="B214" s="26" t="s">
        <v>134</v>
      </c>
      <c r="C214" s="27" t="s">
        <v>834</v>
      </c>
      <c r="D214" s="27" t="s">
        <v>769</v>
      </c>
      <c r="E214" s="27" t="s">
        <v>842</v>
      </c>
      <c r="F214" s="17">
        <v>2923823194</v>
      </c>
      <c r="G214" s="27" t="s">
        <v>903</v>
      </c>
      <c r="H214" s="29">
        <v>60</v>
      </c>
      <c r="I214" s="27" t="s">
        <v>929</v>
      </c>
      <c r="J214" s="29">
        <v>100</v>
      </c>
      <c r="K214" s="27" t="s">
        <v>842</v>
      </c>
      <c r="L214" s="30">
        <v>60</v>
      </c>
    </row>
    <row r="215" spans="1:12" x14ac:dyDescent="0.25">
      <c r="A215" s="26">
        <v>214</v>
      </c>
      <c r="B215" s="26" t="s">
        <v>119</v>
      </c>
      <c r="C215" s="27" t="s">
        <v>1150</v>
      </c>
      <c r="D215" s="27" t="s">
        <v>769</v>
      </c>
      <c r="E215" s="27" t="s">
        <v>759</v>
      </c>
      <c r="F215" s="17">
        <v>909280882</v>
      </c>
      <c r="G215" s="27" t="s">
        <v>912</v>
      </c>
      <c r="H215" s="29">
        <v>32</v>
      </c>
      <c r="I215" s="27" t="s">
        <v>991</v>
      </c>
      <c r="J215" s="29">
        <v>5</v>
      </c>
      <c r="K215" s="27" t="s">
        <v>937</v>
      </c>
      <c r="L215" s="30">
        <v>60</v>
      </c>
    </row>
    <row r="216" spans="1:12" x14ac:dyDescent="0.25">
      <c r="A216" s="26">
        <v>215</v>
      </c>
      <c r="B216" s="26" t="s">
        <v>121</v>
      </c>
      <c r="C216" s="27" t="s">
        <v>1151</v>
      </c>
      <c r="D216" s="27" t="s">
        <v>769</v>
      </c>
      <c r="E216" s="27" t="s">
        <v>974</v>
      </c>
      <c r="F216" s="17">
        <v>907291771</v>
      </c>
      <c r="G216" s="27" t="s">
        <v>912</v>
      </c>
      <c r="H216" s="29">
        <v>30</v>
      </c>
      <c r="I216" s="27" t="s">
        <v>1011</v>
      </c>
      <c r="J216" s="29">
        <v>6</v>
      </c>
      <c r="K216" s="27" t="s">
        <v>765</v>
      </c>
      <c r="L216" s="30">
        <v>60</v>
      </c>
    </row>
    <row r="217" spans="1:12" x14ac:dyDescent="0.25">
      <c r="A217" s="26">
        <v>216</v>
      </c>
      <c r="B217" s="26" t="s">
        <v>103</v>
      </c>
      <c r="C217" s="27" t="s">
        <v>657</v>
      </c>
      <c r="D217" s="27" t="s">
        <v>769</v>
      </c>
      <c r="E217" s="27" t="s">
        <v>759</v>
      </c>
      <c r="F217" s="17">
        <v>907757913</v>
      </c>
      <c r="G217" s="27" t="s">
        <v>912</v>
      </c>
      <c r="H217" s="29">
        <v>31</v>
      </c>
      <c r="I217" s="27" t="s">
        <v>1139</v>
      </c>
      <c r="J217" s="29">
        <v>8</v>
      </c>
      <c r="K217" s="27" t="s">
        <v>878</v>
      </c>
      <c r="L217" s="30">
        <v>60</v>
      </c>
    </row>
    <row r="218" spans="1:12" x14ac:dyDescent="0.25">
      <c r="A218" s="26">
        <v>217</v>
      </c>
      <c r="B218" s="26" t="s">
        <v>135</v>
      </c>
      <c r="C218" s="27" t="s">
        <v>1152</v>
      </c>
      <c r="D218" s="27" t="s">
        <v>769</v>
      </c>
      <c r="E218" s="27" t="s">
        <v>878</v>
      </c>
      <c r="F218" s="17" t="s">
        <v>1153</v>
      </c>
      <c r="G218" s="27" t="s">
        <v>912</v>
      </c>
      <c r="H218" s="29">
        <v>33</v>
      </c>
      <c r="I218" s="27" t="s">
        <v>942</v>
      </c>
      <c r="J218" s="29">
        <v>5</v>
      </c>
      <c r="K218" s="27" t="s">
        <v>878</v>
      </c>
      <c r="L218" s="30">
        <v>60</v>
      </c>
    </row>
    <row r="219" spans="1:12" x14ac:dyDescent="0.25">
      <c r="A219" s="26">
        <v>218</v>
      </c>
      <c r="B219" s="26" t="s">
        <v>77</v>
      </c>
      <c r="C219" s="27" t="s">
        <v>1154</v>
      </c>
      <c r="D219" s="27" t="s">
        <v>769</v>
      </c>
      <c r="E219" s="27" t="s">
        <v>974</v>
      </c>
      <c r="F219" s="17">
        <v>907291771</v>
      </c>
      <c r="G219" s="27" t="s">
        <v>912</v>
      </c>
      <c r="H219" s="29">
        <v>29</v>
      </c>
      <c r="I219" s="27" t="s">
        <v>1011</v>
      </c>
      <c r="J219" s="29">
        <v>6</v>
      </c>
      <c r="K219" s="27" t="s">
        <v>765</v>
      </c>
      <c r="L219" s="30">
        <v>60</v>
      </c>
    </row>
    <row r="220" spans="1:12" x14ac:dyDescent="0.25">
      <c r="A220" s="26">
        <v>219</v>
      </c>
      <c r="B220" s="26" t="s">
        <v>104</v>
      </c>
      <c r="C220" s="27" t="s">
        <v>1155</v>
      </c>
      <c r="D220" s="27" t="s">
        <v>769</v>
      </c>
      <c r="E220" s="27" t="s">
        <v>974</v>
      </c>
      <c r="F220" s="17">
        <v>907291771</v>
      </c>
      <c r="G220" s="27" t="s">
        <v>912</v>
      </c>
      <c r="H220" s="29">
        <v>30</v>
      </c>
      <c r="I220" s="27" t="s">
        <v>1011</v>
      </c>
      <c r="J220" s="29">
        <v>6</v>
      </c>
      <c r="K220" s="27" t="s">
        <v>765</v>
      </c>
      <c r="L220" s="30">
        <v>60</v>
      </c>
    </row>
    <row r="221" spans="1:12" x14ac:dyDescent="0.25">
      <c r="A221" s="26">
        <v>220</v>
      </c>
      <c r="B221" s="26" t="s">
        <v>105</v>
      </c>
      <c r="C221" s="27" t="s">
        <v>1156</v>
      </c>
      <c r="D221" s="27" t="s">
        <v>769</v>
      </c>
      <c r="E221" s="27" t="s">
        <v>878</v>
      </c>
      <c r="F221" s="17" t="s">
        <v>1157</v>
      </c>
      <c r="G221" s="27" t="s">
        <v>912</v>
      </c>
      <c r="H221" s="29">
        <v>30</v>
      </c>
      <c r="I221" s="27" t="s">
        <v>931</v>
      </c>
      <c r="J221" s="29">
        <v>5.5</v>
      </c>
      <c r="K221" s="27" t="s">
        <v>878</v>
      </c>
      <c r="L221" s="30">
        <v>60</v>
      </c>
    </row>
    <row r="222" spans="1:12" x14ac:dyDescent="0.25">
      <c r="A222" s="26">
        <v>221</v>
      </c>
      <c r="B222" s="26" t="s">
        <v>377</v>
      </c>
      <c r="C222" s="27" t="s">
        <v>1158</v>
      </c>
      <c r="D222" s="27" t="s">
        <v>769</v>
      </c>
      <c r="E222" s="27" t="s">
        <v>759</v>
      </c>
      <c r="F222" s="17">
        <v>909098186</v>
      </c>
      <c r="G222" s="27" t="s">
        <v>912</v>
      </c>
      <c r="H222" s="29">
        <v>29</v>
      </c>
      <c r="I222" s="27" t="s">
        <v>1060</v>
      </c>
      <c r="J222" s="29">
        <v>12</v>
      </c>
      <c r="K222" s="27" t="s">
        <v>937</v>
      </c>
      <c r="L222" s="30">
        <v>60</v>
      </c>
    </row>
    <row r="223" spans="1:12" x14ac:dyDescent="0.25">
      <c r="A223" s="26">
        <v>222</v>
      </c>
      <c r="B223" s="26" t="s">
        <v>106</v>
      </c>
      <c r="C223" s="27" t="s">
        <v>1159</v>
      </c>
      <c r="D223" s="27" t="s">
        <v>769</v>
      </c>
      <c r="E223" s="27" t="s">
        <v>878</v>
      </c>
      <c r="F223" s="17" t="s">
        <v>1160</v>
      </c>
      <c r="G223" s="27" t="s">
        <v>912</v>
      </c>
      <c r="H223" s="29">
        <v>27</v>
      </c>
      <c r="I223" s="27" t="s">
        <v>942</v>
      </c>
      <c r="J223" s="29">
        <v>5</v>
      </c>
      <c r="K223" s="27" t="s">
        <v>878</v>
      </c>
      <c r="L223" s="30">
        <v>60</v>
      </c>
    </row>
    <row r="224" spans="1:12" x14ac:dyDescent="0.25">
      <c r="A224" s="26">
        <v>223</v>
      </c>
      <c r="B224" s="26" t="s">
        <v>126</v>
      </c>
      <c r="C224" s="27" t="s">
        <v>1161</v>
      </c>
      <c r="D224" s="27" t="s">
        <v>769</v>
      </c>
      <c r="E224" s="27" t="s">
        <v>933</v>
      </c>
      <c r="F224" s="17">
        <v>903303637</v>
      </c>
      <c r="G224" s="27" t="s">
        <v>912</v>
      </c>
      <c r="H224" s="29">
        <v>45</v>
      </c>
      <c r="I224" s="27" t="s">
        <v>934</v>
      </c>
      <c r="J224" s="29">
        <v>12</v>
      </c>
      <c r="K224" s="27" t="s">
        <v>765</v>
      </c>
      <c r="L224" s="30">
        <v>60</v>
      </c>
    </row>
    <row r="225" spans="1:12" x14ac:dyDescent="0.25">
      <c r="A225" s="26">
        <v>224</v>
      </c>
      <c r="B225" s="26" t="s">
        <v>107</v>
      </c>
      <c r="C225" s="27" t="s">
        <v>1162</v>
      </c>
      <c r="D225" s="27" t="s">
        <v>769</v>
      </c>
      <c r="E225" s="27" t="s">
        <v>974</v>
      </c>
      <c r="F225" s="17">
        <v>907291771</v>
      </c>
      <c r="G225" s="27" t="s">
        <v>912</v>
      </c>
      <c r="H225" s="29">
        <v>30</v>
      </c>
      <c r="I225" s="27" t="s">
        <v>1011</v>
      </c>
      <c r="J225" s="29">
        <v>6</v>
      </c>
      <c r="K225" s="27" t="s">
        <v>765</v>
      </c>
      <c r="L225" s="30">
        <v>60</v>
      </c>
    </row>
    <row r="226" spans="1:12" x14ac:dyDescent="0.25">
      <c r="A226" s="26">
        <v>225</v>
      </c>
      <c r="B226" s="26" t="s">
        <v>108</v>
      </c>
      <c r="C226" s="27" t="s">
        <v>1163</v>
      </c>
      <c r="D226" s="27" t="s">
        <v>769</v>
      </c>
      <c r="E226" s="27" t="s">
        <v>974</v>
      </c>
      <c r="F226" s="17">
        <v>907291771</v>
      </c>
      <c r="G226" s="27" t="s">
        <v>912</v>
      </c>
      <c r="H226" s="29">
        <v>29</v>
      </c>
      <c r="I226" s="27" t="s">
        <v>1011</v>
      </c>
      <c r="J226" s="29">
        <v>6</v>
      </c>
      <c r="K226" s="27" t="s">
        <v>765</v>
      </c>
      <c r="L226" s="30">
        <v>60</v>
      </c>
    </row>
    <row r="227" spans="1:12" x14ac:dyDescent="0.25">
      <c r="A227" s="26">
        <v>226</v>
      </c>
      <c r="B227" s="26" t="s">
        <v>78</v>
      </c>
      <c r="C227" s="27" t="s">
        <v>1164</v>
      </c>
      <c r="D227" s="27" t="s">
        <v>769</v>
      </c>
      <c r="E227" s="27" t="s">
        <v>974</v>
      </c>
      <c r="F227" s="17">
        <v>907291771</v>
      </c>
      <c r="G227" s="27" t="s">
        <v>912</v>
      </c>
      <c r="H227" s="29">
        <v>27</v>
      </c>
      <c r="I227" s="27" t="s">
        <v>942</v>
      </c>
      <c r="J227" s="29">
        <v>6</v>
      </c>
      <c r="K227" s="27" t="s">
        <v>765</v>
      </c>
      <c r="L227" s="30">
        <v>60</v>
      </c>
    </row>
    <row r="228" spans="1:12" x14ac:dyDescent="0.25">
      <c r="A228" s="26">
        <v>227</v>
      </c>
      <c r="B228" s="26" t="s">
        <v>88</v>
      </c>
      <c r="C228" s="27" t="s">
        <v>1165</v>
      </c>
      <c r="D228" s="27" t="s">
        <v>769</v>
      </c>
      <c r="E228" s="27" t="s">
        <v>974</v>
      </c>
      <c r="F228" s="17">
        <v>907291771</v>
      </c>
      <c r="G228" s="27" t="s">
        <v>912</v>
      </c>
      <c r="H228" s="29">
        <v>29</v>
      </c>
      <c r="I228" s="27" t="s">
        <v>942</v>
      </c>
      <c r="J228" s="29">
        <v>6</v>
      </c>
      <c r="K228" s="27" t="s">
        <v>765</v>
      </c>
      <c r="L228" s="30">
        <v>60</v>
      </c>
    </row>
    <row r="229" spans="1:12" x14ac:dyDescent="0.25">
      <c r="A229" s="26">
        <v>228</v>
      </c>
      <c r="B229" s="26" t="s">
        <v>26</v>
      </c>
      <c r="C229" s="27" t="s">
        <v>1166</v>
      </c>
      <c r="D229" s="27" t="s">
        <v>769</v>
      </c>
      <c r="E229" s="27" t="s">
        <v>974</v>
      </c>
      <c r="F229" s="17">
        <v>907291771</v>
      </c>
      <c r="G229" s="27" t="s">
        <v>912</v>
      </c>
      <c r="H229" s="29">
        <v>28</v>
      </c>
      <c r="I229" s="27" t="s">
        <v>1011</v>
      </c>
      <c r="J229" s="29">
        <v>6</v>
      </c>
      <c r="K229" s="27" t="s">
        <v>765</v>
      </c>
      <c r="L229" s="30">
        <v>60</v>
      </c>
    </row>
    <row r="230" spans="1:12" x14ac:dyDescent="0.25">
      <c r="A230" s="26">
        <v>229</v>
      </c>
      <c r="B230" s="26" t="s">
        <v>132</v>
      </c>
      <c r="C230" s="27" t="s">
        <v>1167</v>
      </c>
      <c r="D230" s="27" t="s">
        <v>769</v>
      </c>
      <c r="E230" s="27" t="s">
        <v>974</v>
      </c>
      <c r="F230" s="17">
        <v>907291771</v>
      </c>
      <c r="G230" s="27" t="s">
        <v>912</v>
      </c>
      <c r="H230" s="29">
        <v>26</v>
      </c>
      <c r="I230" s="27" t="s">
        <v>1011</v>
      </c>
      <c r="J230" s="29">
        <v>7</v>
      </c>
      <c r="K230" s="27" t="s">
        <v>765</v>
      </c>
      <c r="L230" s="30">
        <v>60</v>
      </c>
    </row>
    <row r="231" spans="1:12" x14ac:dyDescent="0.25">
      <c r="A231" s="26">
        <v>230</v>
      </c>
      <c r="B231" s="26" t="s">
        <v>2</v>
      </c>
      <c r="C231" s="27" t="s">
        <v>658</v>
      </c>
      <c r="D231" s="27" t="s">
        <v>769</v>
      </c>
      <c r="E231" s="27" t="s">
        <v>878</v>
      </c>
      <c r="F231" s="17">
        <v>2923817429</v>
      </c>
      <c r="G231" s="27" t="s">
        <v>903</v>
      </c>
      <c r="H231" s="29">
        <v>39</v>
      </c>
      <c r="I231" s="27" t="s">
        <v>929</v>
      </c>
      <c r="J231" s="29">
        <v>1000</v>
      </c>
      <c r="K231" s="27" t="s">
        <v>878</v>
      </c>
      <c r="L231" s="30">
        <v>60</v>
      </c>
    </row>
    <row r="232" spans="1:12" x14ac:dyDescent="0.25">
      <c r="A232" s="26">
        <v>231</v>
      </c>
      <c r="B232" s="26" t="s">
        <v>109</v>
      </c>
      <c r="C232" s="27" t="s">
        <v>1168</v>
      </c>
      <c r="D232" s="27" t="s">
        <v>769</v>
      </c>
      <c r="E232" s="27" t="s">
        <v>759</v>
      </c>
      <c r="F232" s="17" t="s">
        <v>1169</v>
      </c>
      <c r="G232" s="27" t="s">
        <v>912</v>
      </c>
      <c r="H232" s="29">
        <v>33</v>
      </c>
      <c r="I232" s="27" t="s">
        <v>952</v>
      </c>
      <c r="J232" s="29">
        <v>5.5</v>
      </c>
      <c r="K232" s="27" t="s">
        <v>878</v>
      </c>
      <c r="L232" s="30">
        <v>60</v>
      </c>
    </row>
    <row r="233" spans="1:12" x14ac:dyDescent="0.25">
      <c r="A233" s="26">
        <v>232</v>
      </c>
      <c r="B233" s="26" t="s">
        <v>18</v>
      </c>
      <c r="C233" s="27" t="s">
        <v>1170</v>
      </c>
      <c r="D233" s="27" t="s">
        <v>769</v>
      </c>
      <c r="E233" s="27" t="s">
        <v>974</v>
      </c>
      <c r="F233" s="17">
        <v>907291771</v>
      </c>
      <c r="G233" s="27" t="s">
        <v>912</v>
      </c>
      <c r="H233" s="29">
        <v>30</v>
      </c>
      <c r="I233" s="27" t="s">
        <v>1171</v>
      </c>
      <c r="J233" s="29">
        <v>12</v>
      </c>
      <c r="K233" s="27" t="s">
        <v>765</v>
      </c>
      <c r="L233" s="30">
        <v>60</v>
      </c>
    </row>
    <row r="234" spans="1:12" x14ac:dyDescent="0.25">
      <c r="A234" s="26">
        <v>233</v>
      </c>
      <c r="B234" s="26" t="s">
        <v>79</v>
      </c>
      <c r="C234" s="27" t="s">
        <v>1172</v>
      </c>
      <c r="D234" s="27" t="s">
        <v>769</v>
      </c>
      <c r="E234" s="27" t="s">
        <v>842</v>
      </c>
      <c r="F234" s="17">
        <v>2923823194</v>
      </c>
      <c r="G234" s="27" t="s">
        <v>903</v>
      </c>
      <c r="H234" s="29">
        <v>35</v>
      </c>
      <c r="I234" s="27" t="s">
        <v>929</v>
      </c>
      <c r="J234" s="29">
        <v>30</v>
      </c>
      <c r="K234" s="27" t="s">
        <v>842</v>
      </c>
      <c r="L234" s="30">
        <v>60</v>
      </c>
    </row>
    <row r="235" spans="1:12" x14ac:dyDescent="0.25">
      <c r="A235" s="26">
        <v>234</v>
      </c>
      <c r="B235" s="26" t="s">
        <v>19</v>
      </c>
      <c r="C235" s="27" t="s">
        <v>1173</v>
      </c>
      <c r="D235" s="27" t="s">
        <v>769</v>
      </c>
      <c r="E235" s="27" t="s">
        <v>774</v>
      </c>
      <c r="F235" s="17">
        <v>907498282</v>
      </c>
      <c r="G235" s="27" t="s">
        <v>912</v>
      </c>
      <c r="H235" s="29">
        <v>33</v>
      </c>
      <c r="I235" s="27" t="s">
        <v>942</v>
      </c>
      <c r="J235" s="29">
        <v>5</v>
      </c>
      <c r="K235" s="27" t="s">
        <v>765</v>
      </c>
      <c r="L235" s="30">
        <v>60</v>
      </c>
    </row>
    <row r="236" spans="1:12" x14ac:dyDescent="0.25">
      <c r="A236" s="26">
        <v>235</v>
      </c>
      <c r="B236" s="26" t="s">
        <v>20</v>
      </c>
      <c r="C236" s="27" t="s">
        <v>1174</v>
      </c>
      <c r="D236" s="27" t="s">
        <v>769</v>
      </c>
      <c r="E236" s="27" t="s">
        <v>878</v>
      </c>
      <c r="F236" s="17" t="s">
        <v>1175</v>
      </c>
      <c r="G236" s="27" t="s">
        <v>903</v>
      </c>
      <c r="H236" s="29">
        <v>30</v>
      </c>
      <c r="I236" s="27" t="s">
        <v>1006</v>
      </c>
      <c r="J236" s="27" t="s">
        <v>1006</v>
      </c>
      <c r="K236" s="27" t="s">
        <v>1006</v>
      </c>
      <c r="L236" s="30">
        <v>60</v>
      </c>
    </row>
    <row r="237" spans="1:12" x14ac:dyDescent="0.25">
      <c r="A237" s="26">
        <v>236</v>
      </c>
      <c r="B237" s="26" t="s">
        <v>21</v>
      </c>
      <c r="C237" s="27" t="s">
        <v>1176</v>
      </c>
      <c r="D237" s="27" t="s">
        <v>769</v>
      </c>
      <c r="E237" s="27" t="s">
        <v>974</v>
      </c>
      <c r="F237" s="17">
        <v>907291771</v>
      </c>
      <c r="G237" s="27" t="s">
        <v>912</v>
      </c>
      <c r="H237" s="29">
        <v>32</v>
      </c>
      <c r="I237" s="27" t="s">
        <v>979</v>
      </c>
      <c r="J237" s="29">
        <v>6</v>
      </c>
      <c r="K237" s="27" t="s">
        <v>765</v>
      </c>
      <c r="L237" s="30">
        <v>60</v>
      </c>
    </row>
    <row r="238" spans="1:12" x14ac:dyDescent="0.25">
      <c r="A238" s="26">
        <v>237</v>
      </c>
      <c r="B238" s="26" t="s">
        <v>110</v>
      </c>
      <c r="C238" s="27" t="s">
        <v>1177</v>
      </c>
      <c r="D238" s="27" t="s">
        <v>769</v>
      </c>
      <c r="E238" s="27" t="s">
        <v>759</v>
      </c>
      <c r="F238" s="17">
        <v>939220880</v>
      </c>
      <c r="G238" s="27" t="s">
        <v>912</v>
      </c>
      <c r="H238" s="29">
        <v>33</v>
      </c>
      <c r="I238" s="27" t="s">
        <v>934</v>
      </c>
      <c r="J238" s="29">
        <v>12</v>
      </c>
      <c r="K238" s="27" t="s">
        <v>937</v>
      </c>
      <c r="L238" s="30">
        <v>60</v>
      </c>
    </row>
    <row r="239" spans="1:12" x14ac:dyDescent="0.25">
      <c r="A239" s="26">
        <v>238</v>
      </c>
      <c r="B239" s="26" t="s">
        <v>111</v>
      </c>
      <c r="C239" s="27" t="s">
        <v>1178</v>
      </c>
      <c r="D239" s="27" t="s">
        <v>769</v>
      </c>
      <c r="E239" s="27" t="s">
        <v>774</v>
      </c>
      <c r="F239" s="17">
        <v>907498282</v>
      </c>
      <c r="G239" s="27" t="s">
        <v>912</v>
      </c>
      <c r="H239" s="29">
        <v>29</v>
      </c>
      <c r="I239" s="27" t="s">
        <v>942</v>
      </c>
      <c r="J239" s="29">
        <v>5</v>
      </c>
      <c r="K239" s="27" t="s">
        <v>765</v>
      </c>
      <c r="L239" s="30">
        <v>60</v>
      </c>
    </row>
    <row r="240" spans="1:12" x14ac:dyDescent="0.25">
      <c r="A240" s="26">
        <v>239</v>
      </c>
      <c r="B240" s="26" t="s">
        <v>27</v>
      </c>
      <c r="C240" s="27" t="s">
        <v>1179</v>
      </c>
      <c r="D240" s="27" t="s">
        <v>769</v>
      </c>
      <c r="E240" s="27" t="s">
        <v>774</v>
      </c>
      <c r="F240" s="17">
        <v>907498282</v>
      </c>
      <c r="G240" s="27" t="s">
        <v>912</v>
      </c>
      <c r="H240" s="29">
        <v>31</v>
      </c>
      <c r="I240" s="27" t="s">
        <v>942</v>
      </c>
      <c r="J240" s="29">
        <v>5</v>
      </c>
      <c r="K240" s="27" t="s">
        <v>765</v>
      </c>
      <c r="L240" s="30">
        <v>60</v>
      </c>
    </row>
    <row r="241" spans="1:12" x14ac:dyDescent="0.25">
      <c r="A241" s="26">
        <v>240</v>
      </c>
      <c r="B241" s="26" t="s">
        <v>133</v>
      </c>
      <c r="C241" s="27" t="s">
        <v>1180</v>
      </c>
      <c r="D241" s="27" t="s">
        <v>769</v>
      </c>
      <c r="E241" s="27" t="s">
        <v>774</v>
      </c>
      <c r="F241" s="17">
        <v>907498282</v>
      </c>
      <c r="G241" s="27" t="s">
        <v>912</v>
      </c>
      <c r="H241" s="29">
        <v>30</v>
      </c>
      <c r="I241" s="27" t="s">
        <v>942</v>
      </c>
      <c r="J241" s="29">
        <v>5</v>
      </c>
      <c r="K241" s="27" t="s">
        <v>765</v>
      </c>
      <c r="L241" s="30">
        <v>60</v>
      </c>
    </row>
    <row r="242" spans="1:12" x14ac:dyDescent="0.25">
      <c r="A242" s="26">
        <v>241</v>
      </c>
      <c r="B242" s="26" t="s">
        <v>22</v>
      </c>
      <c r="C242" s="27" t="s">
        <v>1181</v>
      </c>
      <c r="D242" s="27" t="s">
        <v>769</v>
      </c>
      <c r="E242" s="27" t="s">
        <v>774</v>
      </c>
      <c r="F242" s="17">
        <v>907498282</v>
      </c>
      <c r="G242" s="27" t="s">
        <v>912</v>
      </c>
      <c r="H242" s="29">
        <v>30</v>
      </c>
      <c r="I242" s="27" t="s">
        <v>942</v>
      </c>
      <c r="J242" s="29">
        <v>5</v>
      </c>
      <c r="K242" s="27" t="s">
        <v>765</v>
      </c>
      <c r="L242" s="30">
        <v>60</v>
      </c>
    </row>
    <row r="243" spans="1:12" x14ac:dyDescent="0.25">
      <c r="A243" s="26">
        <v>242</v>
      </c>
      <c r="B243" s="26" t="s">
        <v>23</v>
      </c>
      <c r="C243" s="27" t="s">
        <v>1182</v>
      </c>
      <c r="D243" s="27" t="s">
        <v>769</v>
      </c>
      <c r="E243" s="27" t="s">
        <v>774</v>
      </c>
      <c r="F243" s="17">
        <v>907498282</v>
      </c>
      <c r="G243" s="27" t="s">
        <v>912</v>
      </c>
      <c r="H243" s="29">
        <v>25</v>
      </c>
      <c r="I243" s="27" t="s">
        <v>942</v>
      </c>
      <c r="J243" s="29">
        <v>5</v>
      </c>
      <c r="K243" s="27" t="s">
        <v>765</v>
      </c>
      <c r="L243" s="30">
        <v>60</v>
      </c>
    </row>
    <row r="244" spans="1:12" x14ac:dyDescent="0.25">
      <c r="A244" s="26">
        <v>243</v>
      </c>
      <c r="B244" s="26" t="s">
        <v>112</v>
      </c>
      <c r="C244" s="27" t="s">
        <v>1183</v>
      </c>
      <c r="D244" s="27" t="s">
        <v>769</v>
      </c>
      <c r="E244" s="27" t="s">
        <v>759</v>
      </c>
      <c r="F244" s="17" t="s">
        <v>1184</v>
      </c>
      <c r="G244" s="27" t="s">
        <v>912</v>
      </c>
      <c r="H244" s="29">
        <v>24</v>
      </c>
      <c r="I244" s="27" t="s">
        <v>927</v>
      </c>
      <c r="J244" s="29">
        <v>8</v>
      </c>
      <c r="K244" s="27" t="s">
        <v>878</v>
      </c>
      <c r="L244" s="30">
        <v>60</v>
      </c>
    </row>
    <row r="245" spans="1:12" x14ac:dyDescent="0.25">
      <c r="A245" s="26">
        <v>244</v>
      </c>
      <c r="B245" s="26" t="s">
        <v>113</v>
      </c>
      <c r="C245" s="27" t="s">
        <v>835</v>
      </c>
      <c r="D245" s="27" t="s">
        <v>769</v>
      </c>
      <c r="E245" s="27" t="s">
        <v>774</v>
      </c>
      <c r="F245" s="17">
        <v>907498282</v>
      </c>
      <c r="G245" s="27" t="s">
        <v>912</v>
      </c>
      <c r="H245" s="29">
        <v>31</v>
      </c>
      <c r="I245" s="27" t="s">
        <v>942</v>
      </c>
      <c r="J245" s="29">
        <v>5</v>
      </c>
      <c r="K245" s="27" t="s">
        <v>765</v>
      </c>
      <c r="L245" s="30">
        <v>60</v>
      </c>
    </row>
    <row r="246" spans="1:12" x14ac:dyDescent="0.25">
      <c r="A246" s="26">
        <v>245</v>
      </c>
      <c r="B246" s="26" t="s">
        <v>114</v>
      </c>
      <c r="C246" s="27" t="s">
        <v>836</v>
      </c>
      <c r="D246" s="27" t="s">
        <v>769</v>
      </c>
      <c r="E246" s="27" t="s">
        <v>774</v>
      </c>
      <c r="F246" s="17">
        <v>907498282</v>
      </c>
      <c r="G246" s="27" t="s">
        <v>912</v>
      </c>
      <c r="H246" s="29">
        <v>26</v>
      </c>
      <c r="I246" s="27" t="s">
        <v>942</v>
      </c>
      <c r="J246" s="29">
        <v>5</v>
      </c>
      <c r="K246" s="27" t="s">
        <v>765</v>
      </c>
      <c r="L246" s="30">
        <v>60</v>
      </c>
    </row>
    <row r="247" spans="1:12" x14ac:dyDescent="0.25">
      <c r="A247" s="26">
        <v>246</v>
      </c>
      <c r="B247" s="26" t="s">
        <v>120</v>
      </c>
      <c r="C247" s="27" t="s">
        <v>1185</v>
      </c>
      <c r="D247" s="27" t="s">
        <v>769</v>
      </c>
      <c r="E247" s="27" t="s">
        <v>759</v>
      </c>
      <c r="F247" s="17">
        <v>939070807</v>
      </c>
      <c r="G247" s="27" t="s">
        <v>912</v>
      </c>
      <c r="H247" s="29">
        <v>26</v>
      </c>
      <c r="I247" s="27" t="s">
        <v>991</v>
      </c>
      <c r="J247" s="29">
        <v>5</v>
      </c>
      <c r="K247" s="27" t="s">
        <v>937</v>
      </c>
      <c r="L247" s="30">
        <v>60</v>
      </c>
    </row>
    <row r="248" spans="1:12" x14ac:dyDescent="0.25">
      <c r="A248" s="26">
        <v>247</v>
      </c>
      <c r="B248" s="26" t="s">
        <v>115</v>
      </c>
      <c r="C248" s="27" t="s">
        <v>1186</v>
      </c>
      <c r="D248" s="27" t="s">
        <v>769</v>
      </c>
      <c r="E248" s="27" t="s">
        <v>842</v>
      </c>
      <c r="F248" s="17">
        <v>2923823194</v>
      </c>
      <c r="G248" s="27" t="s">
        <v>912</v>
      </c>
      <c r="H248" s="29">
        <v>30</v>
      </c>
      <c r="I248" s="27" t="s">
        <v>931</v>
      </c>
      <c r="J248" s="29">
        <v>8.5</v>
      </c>
      <c r="K248" s="27" t="s">
        <v>878</v>
      </c>
      <c r="L248" s="30">
        <v>60</v>
      </c>
    </row>
    <row r="249" spans="1:12" x14ac:dyDescent="0.25">
      <c r="A249" s="26">
        <v>248</v>
      </c>
      <c r="B249" s="26" t="s">
        <v>136</v>
      </c>
      <c r="C249" s="27" t="s">
        <v>1187</v>
      </c>
      <c r="D249" s="27" t="s">
        <v>769</v>
      </c>
      <c r="E249" s="27" t="s">
        <v>759</v>
      </c>
      <c r="F249" s="17">
        <v>913707447</v>
      </c>
      <c r="G249" s="27" t="s">
        <v>912</v>
      </c>
      <c r="H249" s="29">
        <v>35</v>
      </c>
      <c r="I249" s="27" t="s">
        <v>991</v>
      </c>
      <c r="J249" s="29">
        <v>8</v>
      </c>
      <c r="K249" s="27" t="s">
        <v>937</v>
      </c>
      <c r="L249" s="30">
        <v>60</v>
      </c>
    </row>
    <row r="250" spans="1:12" x14ac:dyDescent="0.25">
      <c r="A250" s="26">
        <v>249</v>
      </c>
      <c r="B250" s="26" t="s">
        <v>116</v>
      </c>
      <c r="C250" s="27" t="s">
        <v>1188</v>
      </c>
      <c r="D250" s="27" t="s">
        <v>769</v>
      </c>
      <c r="E250" s="27" t="s">
        <v>759</v>
      </c>
      <c r="F250" s="17">
        <v>913149169</v>
      </c>
      <c r="G250" s="27" t="s">
        <v>912</v>
      </c>
      <c r="H250" s="29">
        <v>30</v>
      </c>
      <c r="I250" s="27" t="s">
        <v>934</v>
      </c>
      <c r="J250" s="29">
        <v>12</v>
      </c>
      <c r="K250" s="27" t="s">
        <v>937</v>
      </c>
      <c r="L250" s="30">
        <v>60</v>
      </c>
    </row>
    <row r="251" spans="1:12" x14ac:dyDescent="0.25">
      <c r="A251" s="26">
        <v>250</v>
      </c>
      <c r="B251" s="26" t="s">
        <v>162</v>
      </c>
      <c r="C251" s="27" t="s">
        <v>1189</v>
      </c>
      <c r="D251" s="27" t="s">
        <v>769</v>
      </c>
      <c r="E251" s="27" t="s">
        <v>759</v>
      </c>
      <c r="F251" s="17">
        <v>939999970</v>
      </c>
      <c r="G251" s="27" t="s">
        <v>912</v>
      </c>
      <c r="H251" s="29">
        <v>42</v>
      </c>
      <c r="I251" s="27" t="s">
        <v>934</v>
      </c>
      <c r="J251" s="29">
        <v>12</v>
      </c>
      <c r="K251" s="27" t="s">
        <v>937</v>
      </c>
      <c r="L251" s="30">
        <v>60</v>
      </c>
    </row>
    <row r="252" spans="1:12" x14ac:dyDescent="0.25">
      <c r="A252" s="26">
        <v>251</v>
      </c>
      <c r="B252" s="26" t="s">
        <v>35</v>
      </c>
      <c r="C252" s="27" t="s">
        <v>1190</v>
      </c>
      <c r="D252" s="27" t="s">
        <v>769</v>
      </c>
      <c r="E252" s="27" t="s">
        <v>878</v>
      </c>
      <c r="F252" s="17" t="s">
        <v>1191</v>
      </c>
      <c r="G252" s="27" t="s">
        <v>912</v>
      </c>
      <c r="H252" s="29">
        <v>45</v>
      </c>
      <c r="I252" s="27" t="s">
        <v>986</v>
      </c>
      <c r="J252" s="29">
        <v>8</v>
      </c>
      <c r="K252" s="27" t="s">
        <v>878</v>
      </c>
      <c r="L252" s="30">
        <v>60</v>
      </c>
    </row>
    <row r="253" spans="1:12" x14ac:dyDescent="0.25">
      <c r="A253" s="26">
        <v>252</v>
      </c>
      <c r="B253" s="26" t="s">
        <v>137</v>
      </c>
      <c r="C253" s="27" t="s">
        <v>1192</v>
      </c>
      <c r="D253" s="27" t="s">
        <v>769</v>
      </c>
      <c r="E253" s="27" t="s">
        <v>759</v>
      </c>
      <c r="F253" s="17">
        <v>913737555</v>
      </c>
      <c r="G253" s="27" t="s">
        <v>912</v>
      </c>
      <c r="H253" s="29">
        <v>42</v>
      </c>
      <c r="I253" s="27" t="s">
        <v>927</v>
      </c>
      <c r="J253" s="29">
        <v>8</v>
      </c>
      <c r="K253" s="27" t="s">
        <v>878</v>
      </c>
      <c r="L253" s="30">
        <v>60</v>
      </c>
    </row>
    <row r="254" spans="1:12" x14ac:dyDescent="0.25">
      <c r="A254" s="26">
        <v>253</v>
      </c>
      <c r="B254" s="26" t="s">
        <v>138</v>
      </c>
      <c r="C254" s="27" t="s">
        <v>1193</v>
      </c>
      <c r="D254" s="27" t="s">
        <v>769</v>
      </c>
      <c r="E254" s="27" t="s">
        <v>759</v>
      </c>
      <c r="F254" s="17" t="s">
        <v>1194</v>
      </c>
      <c r="G254" s="27" t="s">
        <v>912</v>
      </c>
      <c r="H254" s="29">
        <v>45</v>
      </c>
      <c r="I254" s="27" t="s">
        <v>934</v>
      </c>
      <c r="J254" s="29">
        <v>12</v>
      </c>
      <c r="K254" s="27" t="s">
        <v>937</v>
      </c>
      <c r="L254" s="30">
        <v>60</v>
      </c>
    </row>
    <row r="255" spans="1:12" x14ac:dyDescent="0.25">
      <c r="A255" s="26">
        <v>254</v>
      </c>
      <c r="B255" s="26" t="s">
        <v>139</v>
      </c>
      <c r="C255" s="27" t="s">
        <v>1195</v>
      </c>
      <c r="D255" s="27" t="s">
        <v>769</v>
      </c>
      <c r="E255" s="27" t="s">
        <v>759</v>
      </c>
      <c r="F255" s="17">
        <v>908099992</v>
      </c>
      <c r="G255" s="27" t="s">
        <v>912</v>
      </c>
      <c r="H255" s="29">
        <v>31</v>
      </c>
      <c r="I255" s="27" t="s">
        <v>931</v>
      </c>
      <c r="J255" s="29">
        <v>12</v>
      </c>
      <c r="K255" s="27" t="s">
        <v>878</v>
      </c>
      <c r="L255" s="30">
        <v>60</v>
      </c>
    </row>
    <row r="256" spans="1:12" x14ac:dyDescent="0.25">
      <c r="A256" s="26">
        <v>255</v>
      </c>
      <c r="B256" s="26" t="s">
        <v>140</v>
      </c>
      <c r="C256" s="27" t="s">
        <v>1196</v>
      </c>
      <c r="D256" s="27" t="s">
        <v>769</v>
      </c>
      <c r="E256" s="27" t="s">
        <v>759</v>
      </c>
      <c r="F256" s="17">
        <v>939800006</v>
      </c>
      <c r="G256" s="27" t="s">
        <v>912</v>
      </c>
      <c r="H256" s="29">
        <v>29</v>
      </c>
      <c r="I256" s="27" t="s">
        <v>934</v>
      </c>
      <c r="J256" s="29">
        <v>12</v>
      </c>
      <c r="K256" s="27" t="s">
        <v>937</v>
      </c>
      <c r="L256" s="30">
        <v>60</v>
      </c>
    </row>
    <row r="257" spans="1:12" x14ac:dyDescent="0.25">
      <c r="A257" s="26">
        <v>256</v>
      </c>
      <c r="B257" s="26" t="s">
        <v>36</v>
      </c>
      <c r="C257" s="27" t="s">
        <v>1197</v>
      </c>
      <c r="D257" s="27" t="s">
        <v>769</v>
      </c>
      <c r="E257" s="27" t="s">
        <v>759</v>
      </c>
      <c r="F257" s="17">
        <v>908099992</v>
      </c>
      <c r="G257" s="27" t="s">
        <v>909</v>
      </c>
      <c r="H257" s="29">
        <v>26</v>
      </c>
      <c r="I257" s="27" t="s">
        <v>1006</v>
      </c>
      <c r="J257" s="27" t="s">
        <v>1006</v>
      </c>
      <c r="K257" s="27" t="s">
        <v>1006</v>
      </c>
      <c r="L257" s="30">
        <v>60</v>
      </c>
    </row>
    <row r="258" spans="1:12" x14ac:dyDescent="0.25">
      <c r="A258" s="26">
        <v>257</v>
      </c>
      <c r="B258" s="26" t="s">
        <v>383</v>
      </c>
      <c r="C258" s="27" t="s">
        <v>1198</v>
      </c>
      <c r="D258" s="27" t="s">
        <v>769</v>
      </c>
      <c r="E258" s="27" t="s">
        <v>878</v>
      </c>
      <c r="F258" s="17">
        <v>939960008</v>
      </c>
      <c r="G258" s="27" t="s">
        <v>912</v>
      </c>
      <c r="H258" s="29">
        <v>33</v>
      </c>
      <c r="I258" s="27" t="s">
        <v>1006</v>
      </c>
      <c r="J258" s="27" t="s">
        <v>1006</v>
      </c>
      <c r="K258" s="27" t="s">
        <v>1006</v>
      </c>
      <c r="L258" s="30">
        <v>60</v>
      </c>
    </row>
    <row r="259" spans="1:12" x14ac:dyDescent="0.25">
      <c r="A259" s="26">
        <v>258</v>
      </c>
      <c r="B259" s="26" t="s">
        <v>384</v>
      </c>
      <c r="C259" s="27" t="s">
        <v>1199</v>
      </c>
      <c r="D259" s="27" t="s">
        <v>769</v>
      </c>
      <c r="E259" s="27" t="s">
        <v>878</v>
      </c>
      <c r="F259" s="17">
        <v>987990752</v>
      </c>
      <c r="G259" s="27" t="s">
        <v>912</v>
      </c>
      <c r="H259" s="29">
        <v>30</v>
      </c>
      <c r="I259" s="27" t="s">
        <v>1006</v>
      </c>
      <c r="J259" s="27" t="s">
        <v>1006</v>
      </c>
      <c r="K259" s="27" t="s">
        <v>1006</v>
      </c>
      <c r="L259" s="30">
        <v>60</v>
      </c>
    </row>
    <row r="260" spans="1:12" x14ac:dyDescent="0.25">
      <c r="A260" s="26">
        <v>259</v>
      </c>
      <c r="B260" s="26" t="s">
        <v>424</v>
      </c>
      <c r="C260" s="27" t="s">
        <v>1200</v>
      </c>
      <c r="D260" s="27" t="s">
        <v>769</v>
      </c>
      <c r="E260" s="27" t="s">
        <v>783</v>
      </c>
      <c r="F260" s="17">
        <v>908099992</v>
      </c>
      <c r="G260" s="27" t="s">
        <v>883</v>
      </c>
      <c r="H260" s="29">
        <v>0</v>
      </c>
      <c r="I260" s="27" t="s">
        <v>929</v>
      </c>
      <c r="J260" s="27" t="s">
        <v>929</v>
      </c>
      <c r="K260" s="27" t="s">
        <v>765</v>
      </c>
      <c r="L260" s="30">
        <v>60</v>
      </c>
    </row>
    <row r="261" spans="1:12" x14ac:dyDescent="0.25">
      <c r="A261" s="26">
        <v>260</v>
      </c>
      <c r="B261" s="26" t="s">
        <v>390</v>
      </c>
      <c r="C261" s="27" t="s">
        <v>1201</v>
      </c>
      <c r="D261" s="27" t="s">
        <v>769</v>
      </c>
      <c r="E261" s="27" t="s">
        <v>759</v>
      </c>
      <c r="F261" s="17">
        <v>939999647</v>
      </c>
      <c r="G261" s="27" t="s">
        <v>912</v>
      </c>
      <c r="H261" s="29">
        <v>25</v>
      </c>
      <c r="I261" s="27" t="s">
        <v>1011</v>
      </c>
      <c r="J261" s="29">
        <v>5</v>
      </c>
      <c r="K261" s="27" t="s">
        <v>937</v>
      </c>
      <c r="L261" s="30">
        <v>60</v>
      </c>
    </row>
    <row r="262" spans="1:12" x14ac:dyDescent="0.25">
      <c r="A262" s="26">
        <v>261</v>
      </c>
      <c r="B262" s="26" t="s">
        <v>391</v>
      </c>
      <c r="C262" s="27" t="s">
        <v>1202</v>
      </c>
      <c r="D262" s="27" t="s">
        <v>769</v>
      </c>
      <c r="E262" s="27" t="s">
        <v>759</v>
      </c>
      <c r="F262" s="17">
        <v>907720033</v>
      </c>
      <c r="G262" s="27" t="s">
        <v>912</v>
      </c>
      <c r="H262" s="29">
        <v>34</v>
      </c>
      <c r="I262" s="27" t="s">
        <v>1011</v>
      </c>
      <c r="J262" s="29">
        <v>5</v>
      </c>
      <c r="K262" s="27" t="s">
        <v>937</v>
      </c>
      <c r="L262" s="30">
        <v>60</v>
      </c>
    </row>
    <row r="263" spans="1:12" x14ac:dyDescent="0.25">
      <c r="A263" s="26">
        <v>262</v>
      </c>
      <c r="B263" s="26" t="s">
        <v>438</v>
      </c>
      <c r="C263" s="27" t="s">
        <v>1203</v>
      </c>
      <c r="D263" s="27" t="s">
        <v>769</v>
      </c>
      <c r="E263" s="27" t="s">
        <v>783</v>
      </c>
      <c r="F263" s="17">
        <v>908099992</v>
      </c>
      <c r="G263" s="27" t="s">
        <v>883</v>
      </c>
      <c r="H263" s="29">
        <v>0</v>
      </c>
      <c r="I263" s="27" t="s">
        <v>929</v>
      </c>
      <c r="J263" s="27" t="s">
        <v>929</v>
      </c>
      <c r="K263" s="27" t="s">
        <v>765</v>
      </c>
      <c r="L263" s="30">
        <v>60</v>
      </c>
    </row>
    <row r="264" spans="1:12" x14ac:dyDescent="0.25">
      <c r="A264" s="26">
        <v>263</v>
      </c>
      <c r="B264" s="26" t="s">
        <v>449</v>
      </c>
      <c r="C264" s="27" t="s">
        <v>1204</v>
      </c>
      <c r="D264" s="27" t="s">
        <v>769</v>
      </c>
      <c r="E264" s="27" t="s">
        <v>878</v>
      </c>
      <c r="F264" s="17">
        <v>939684696</v>
      </c>
      <c r="G264" s="27" t="s">
        <v>909</v>
      </c>
      <c r="H264" s="29">
        <v>28</v>
      </c>
      <c r="I264" s="27" t="s">
        <v>993</v>
      </c>
      <c r="J264" s="29">
        <v>5.5</v>
      </c>
      <c r="K264" s="27" t="s">
        <v>878</v>
      </c>
      <c r="L264" s="30">
        <v>60</v>
      </c>
    </row>
    <row r="265" spans="1:12" x14ac:dyDescent="0.25">
      <c r="A265" s="26">
        <v>264</v>
      </c>
      <c r="B265" s="26" t="s">
        <v>546</v>
      </c>
      <c r="C265" s="27" t="s">
        <v>1205</v>
      </c>
      <c r="D265" s="27" t="s">
        <v>769</v>
      </c>
      <c r="E265" s="27" t="s">
        <v>783</v>
      </c>
      <c r="F265" s="17">
        <v>908099992</v>
      </c>
      <c r="G265" s="27" t="s">
        <v>883</v>
      </c>
      <c r="H265" s="29">
        <v>0</v>
      </c>
      <c r="I265" s="27" t="s">
        <v>929</v>
      </c>
      <c r="J265" s="27" t="s">
        <v>929</v>
      </c>
      <c r="K265" s="27" t="s">
        <v>765</v>
      </c>
      <c r="L265" s="30">
        <v>60</v>
      </c>
    </row>
    <row r="266" spans="1:12" x14ac:dyDescent="0.25">
      <c r="A266" s="26">
        <v>265</v>
      </c>
      <c r="B266" s="26" t="s">
        <v>450</v>
      </c>
      <c r="C266" s="27" t="s">
        <v>1206</v>
      </c>
      <c r="D266" s="27" t="s">
        <v>769</v>
      </c>
      <c r="E266" s="27" t="s">
        <v>878</v>
      </c>
      <c r="F266" s="17" t="s">
        <v>1207</v>
      </c>
      <c r="G266" s="27" t="s">
        <v>909</v>
      </c>
      <c r="H266" s="29">
        <v>24</v>
      </c>
      <c r="I266" s="27" t="s">
        <v>1006</v>
      </c>
      <c r="J266" s="27" t="s">
        <v>1006</v>
      </c>
      <c r="K266" s="27" t="s">
        <v>1006</v>
      </c>
      <c r="L266" s="30">
        <v>60</v>
      </c>
    </row>
    <row r="267" spans="1:12" x14ac:dyDescent="0.25">
      <c r="A267" s="26">
        <v>266</v>
      </c>
      <c r="B267" s="26" t="s">
        <v>441</v>
      </c>
      <c r="C267" s="27" t="s">
        <v>1208</v>
      </c>
      <c r="D267" s="27" t="s">
        <v>769</v>
      </c>
      <c r="E267" s="27" t="s">
        <v>759</v>
      </c>
      <c r="F267" s="17" t="s">
        <v>1209</v>
      </c>
      <c r="G267" s="27" t="s">
        <v>912</v>
      </c>
      <c r="H267" s="29">
        <v>39</v>
      </c>
      <c r="I267" s="27" t="s">
        <v>993</v>
      </c>
      <c r="J267" s="29">
        <v>5.5</v>
      </c>
      <c r="K267" s="27" t="s">
        <v>878</v>
      </c>
      <c r="L267" s="30">
        <v>60</v>
      </c>
    </row>
    <row r="268" spans="1:12" x14ac:dyDescent="0.25">
      <c r="A268" s="26">
        <v>267</v>
      </c>
      <c r="B268" s="26" t="s">
        <v>464</v>
      </c>
      <c r="C268" s="27" t="s">
        <v>1210</v>
      </c>
      <c r="D268" s="27" t="s">
        <v>769</v>
      </c>
      <c r="E268" s="27" t="s">
        <v>759</v>
      </c>
      <c r="F268" s="17">
        <v>939745938</v>
      </c>
      <c r="G268" s="27" t="s">
        <v>912</v>
      </c>
      <c r="H268" s="29">
        <v>47</v>
      </c>
      <c r="I268" s="27" t="s">
        <v>1007</v>
      </c>
      <c r="J268" s="27" t="s">
        <v>1007</v>
      </c>
      <c r="K268" s="27" t="s">
        <v>1007</v>
      </c>
      <c r="L268" s="30">
        <v>60</v>
      </c>
    </row>
    <row r="269" spans="1:12" x14ac:dyDescent="0.25">
      <c r="A269" s="26">
        <v>268</v>
      </c>
      <c r="B269" s="26" t="s">
        <v>451</v>
      </c>
      <c r="C269" s="27" t="s">
        <v>1211</v>
      </c>
      <c r="D269" s="27" t="s">
        <v>769</v>
      </c>
      <c r="E269" s="27" t="s">
        <v>878</v>
      </c>
      <c r="F269" s="17" t="s">
        <v>1212</v>
      </c>
      <c r="G269" s="27" t="s">
        <v>912</v>
      </c>
      <c r="H269" s="29">
        <v>39</v>
      </c>
      <c r="I269" s="27" t="s">
        <v>1006</v>
      </c>
      <c r="J269" s="27" t="s">
        <v>1006</v>
      </c>
      <c r="K269" s="27" t="s">
        <v>1006</v>
      </c>
      <c r="L269" s="30">
        <v>60</v>
      </c>
    </row>
    <row r="270" spans="1:12" x14ac:dyDescent="0.25">
      <c r="A270" s="26">
        <v>269</v>
      </c>
      <c r="B270" s="26" t="s">
        <v>466</v>
      </c>
      <c r="C270" s="27" t="s">
        <v>1213</v>
      </c>
      <c r="D270" s="27" t="s">
        <v>769</v>
      </c>
      <c r="E270" s="27" t="s">
        <v>783</v>
      </c>
      <c r="F270" s="17">
        <v>908099992</v>
      </c>
      <c r="G270" s="27" t="s">
        <v>883</v>
      </c>
      <c r="H270" s="29">
        <v>0</v>
      </c>
      <c r="I270" s="27" t="s">
        <v>929</v>
      </c>
      <c r="J270" s="27" t="s">
        <v>929</v>
      </c>
      <c r="K270" s="27" t="s">
        <v>765</v>
      </c>
      <c r="L270" s="30">
        <v>60</v>
      </c>
    </row>
    <row r="271" spans="1:12" x14ac:dyDescent="0.25">
      <c r="A271" s="26">
        <v>270</v>
      </c>
      <c r="B271" s="26" t="s">
        <v>465</v>
      </c>
      <c r="C271" s="27" t="s">
        <v>1214</v>
      </c>
      <c r="D271" s="27" t="s">
        <v>769</v>
      </c>
      <c r="E271" s="27" t="s">
        <v>784</v>
      </c>
      <c r="F271" s="17">
        <v>908099992</v>
      </c>
      <c r="G271" s="27" t="s">
        <v>883</v>
      </c>
      <c r="H271" s="29">
        <v>0</v>
      </c>
      <c r="I271" s="27" t="s">
        <v>929</v>
      </c>
      <c r="J271" s="27" t="s">
        <v>929</v>
      </c>
      <c r="K271" s="27" t="s">
        <v>765</v>
      </c>
      <c r="L271" s="30">
        <v>60</v>
      </c>
    </row>
    <row r="272" spans="1:12" x14ac:dyDescent="0.25">
      <c r="A272" s="26">
        <v>271</v>
      </c>
      <c r="B272" s="26" t="s">
        <v>472</v>
      </c>
      <c r="C272" s="27" t="s">
        <v>659</v>
      </c>
      <c r="D272" s="27" t="s">
        <v>769</v>
      </c>
      <c r="E272" s="27" t="s">
        <v>759</v>
      </c>
      <c r="F272" s="17">
        <v>918799988</v>
      </c>
      <c r="G272" s="27" t="s">
        <v>912</v>
      </c>
      <c r="H272" s="29">
        <v>39</v>
      </c>
      <c r="I272" s="27" t="s">
        <v>1007</v>
      </c>
      <c r="J272" s="27" t="s">
        <v>1007</v>
      </c>
      <c r="K272" s="27" t="s">
        <v>1007</v>
      </c>
      <c r="L272" s="30">
        <v>60</v>
      </c>
    </row>
    <row r="273" spans="1:12" x14ac:dyDescent="0.25">
      <c r="A273" s="26">
        <v>272</v>
      </c>
      <c r="B273" s="26" t="s">
        <v>473</v>
      </c>
      <c r="C273" s="27" t="s">
        <v>660</v>
      </c>
      <c r="D273" s="27" t="s">
        <v>769</v>
      </c>
      <c r="E273" s="27" t="s">
        <v>759</v>
      </c>
      <c r="F273" s="17" t="s">
        <v>1215</v>
      </c>
      <c r="G273" s="27" t="s">
        <v>912</v>
      </c>
      <c r="H273" s="29">
        <v>39</v>
      </c>
      <c r="I273" s="27" t="s">
        <v>1007</v>
      </c>
      <c r="J273" s="27" t="s">
        <v>1007</v>
      </c>
      <c r="K273" s="27" t="s">
        <v>1007</v>
      </c>
      <c r="L273" s="30">
        <v>60</v>
      </c>
    </row>
    <row r="274" spans="1:12" x14ac:dyDescent="0.25">
      <c r="A274" s="26">
        <v>273</v>
      </c>
      <c r="B274" s="26" t="s">
        <v>484</v>
      </c>
      <c r="C274" s="27" t="s">
        <v>1216</v>
      </c>
      <c r="D274" s="27" t="s">
        <v>769</v>
      </c>
      <c r="E274" s="27" t="s">
        <v>759</v>
      </c>
      <c r="F274" s="17">
        <v>918799988</v>
      </c>
      <c r="G274" s="27" t="s">
        <v>912</v>
      </c>
      <c r="H274" s="29">
        <v>39</v>
      </c>
      <c r="I274" s="27" t="s">
        <v>1007</v>
      </c>
      <c r="J274" s="27" t="s">
        <v>1007</v>
      </c>
      <c r="K274" s="27" t="s">
        <v>1007</v>
      </c>
      <c r="L274" s="30">
        <v>60</v>
      </c>
    </row>
    <row r="275" spans="1:12" x14ac:dyDescent="0.25">
      <c r="A275" s="26">
        <v>274</v>
      </c>
      <c r="B275" s="26" t="s">
        <v>471</v>
      </c>
      <c r="C275" s="27" t="s">
        <v>661</v>
      </c>
      <c r="D275" s="27" t="s">
        <v>769</v>
      </c>
      <c r="E275" s="27" t="s">
        <v>759</v>
      </c>
      <c r="F275" s="17">
        <v>918799988</v>
      </c>
      <c r="G275" s="27" t="s">
        <v>912</v>
      </c>
      <c r="H275" s="29">
        <v>39</v>
      </c>
      <c r="I275" s="27" t="s">
        <v>998</v>
      </c>
      <c r="J275" s="29">
        <v>5.5</v>
      </c>
      <c r="K275" s="27" t="s">
        <v>878</v>
      </c>
      <c r="L275" s="30">
        <v>60</v>
      </c>
    </row>
    <row r="276" spans="1:12" x14ac:dyDescent="0.25">
      <c r="A276" s="26">
        <v>275</v>
      </c>
      <c r="B276" s="26" t="s">
        <v>352</v>
      </c>
      <c r="C276" s="27" t="s">
        <v>1217</v>
      </c>
      <c r="D276" s="27" t="s">
        <v>785</v>
      </c>
      <c r="E276" s="27" t="s">
        <v>842</v>
      </c>
      <c r="F276" s="17">
        <v>2923823194</v>
      </c>
      <c r="G276" s="27" t="s">
        <v>903</v>
      </c>
      <c r="H276" s="29">
        <v>50</v>
      </c>
      <c r="I276" s="27" t="s">
        <v>1042</v>
      </c>
      <c r="J276" s="29">
        <v>12</v>
      </c>
      <c r="K276" s="27" t="s">
        <v>878</v>
      </c>
      <c r="L276" s="30">
        <v>60</v>
      </c>
    </row>
    <row r="277" spans="1:12" x14ac:dyDescent="0.25">
      <c r="A277" s="26">
        <v>276</v>
      </c>
      <c r="B277" s="26" t="s">
        <v>347</v>
      </c>
      <c r="C277" s="27" t="s">
        <v>1218</v>
      </c>
      <c r="D277" s="27" t="s">
        <v>785</v>
      </c>
      <c r="E277" s="27" t="s">
        <v>759</v>
      </c>
      <c r="F277" s="17">
        <v>939056076</v>
      </c>
      <c r="G277" s="27" t="s">
        <v>912</v>
      </c>
      <c r="H277" s="29">
        <v>33</v>
      </c>
      <c r="I277" s="27" t="s">
        <v>1011</v>
      </c>
      <c r="J277" s="29">
        <v>5</v>
      </c>
      <c r="K277" s="27" t="s">
        <v>937</v>
      </c>
      <c r="L277" s="30">
        <v>60</v>
      </c>
    </row>
    <row r="278" spans="1:12" x14ac:dyDescent="0.25">
      <c r="A278" s="26">
        <v>277</v>
      </c>
      <c r="B278" s="26" t="s">
        <v>366</v>
      </c>
      <c r="C278" s="27" t="s">
        <v>1219</v>
      </c>
      <c r="D278" s="27" t="s">
        <v>785</v>
      </c>
      <c r="E278" s="27" t="s">
        <v>974</v>
      </c>
      <c r="F278" s="17">
        <v>907291771</v>
      </c>
      <c r="G278" s="27" t="s">
        <v>912</v>
      </c>
      <c r="H278" s="29">
        <v>45</v>
      </c>
      <c r="I278" s="27" t="s">
        <v>934</v>
      </c>
      <c r="J278" s="29">
        <v>12</v>
      </c>
      <c r="K278" s="27" t="s">
        <v>765</v>
      </c>
      <c r="L278" s="30">
        <v>60</v>
      </c>
    </row>
    <row r="279" spans="1:12" x14ac:dyDescent="0.25">
      <c r="A279" s="26">
        <v>278</v>
      </c>
      <c r="B279" s="26" t="s">
        <v>348</v>
      </c>
      <c r="C279" s="27" t="s">
        <v>1220</v>
      </c>
      <c r="D279" s="27" t="s">
        <v>785</v>
      </c>
      <c r="E279" s="27" t="s">
        <v>974</v>
      </c>
      <c r="F279" s="17">
        <v>907291771</v>
      </c>
      <c r="G279" s="27" t="s">
        <v>912</v>
      </c>
      <c r="H279" s="29">
        <v>48</v>
      </c>
      <c r="I279" s="27" t="s">
        <v>934</v>
      </c>
      <c r="J279" s="29">
        <v>12</v>
      </c>
      <c r="K279" s="27" t="s">
        <v>765</v>
      </c>
      <c r="L279" s="30">
        <v>60</v>
      </c>
    </row>
    <row r="280" spans="1:12" x14ac:dyDescent="0.25">
      <c r="A280" s="26">
        <v>279</v>
      </c>
      <c r="B280" s="26" t="s">
        <v>354</v>
      </c>
      <c r="C280" s="27" t="s">
        <v>1221</v>
      </c>
      <c r="D280" s="27" t="s">
        <v>785</v>
      </c>
      <c r="E280" s="27" t="s">
        <v>878</v>
      </c>
      <c r="F280" s="17" t="s">
        <v>1222</v>
      </c>
      <c r="G280" s="27" t="s">
        <v>912</v>
      </c>
      <c r="H280" s="29">
        <v>45</v>
      </c>
      <c r="I280" s="27" t="s">
        <v>1223</v>
      </c>
      <c r="J280" s="29">
        <v>13</v>
      </c>
      <c r="K280" s="27" t="s">
        <v>878</v>
      </c>
      <c r="L280" s="30">
        <v>60</v>
      </c>
    </row>
    <row r="281" spans="1:12" x14ac:dyDescent="0.25">
      <c r="A281" s="26">
        <v>280</v>
      </c>
      <c r="B281" s="26" t="s">
        <v>349</v>
      </c>
      <c r="C281" s="27" t="s">
        <v>1224</v>
      </c>
      <c r="D281" s="27" t="s">
        <v>785</v>
      </c>
      <c r="E281" s="27" t="s">
        <v>933</v>
      </c>
      <c r="F281" s="17">
        <v>903303637</v>
      </c>
      <c r="G281" s="27" t="s">
        <v>912</v>
      </c>
      <c r="H281" s="29">
        <v>42</v>
      </c>
      <c r="I281" s="27" t="s">
        <v>934</v>
      </c>
      <c r="J281" s="29">
        <v>12</v>
      </c>
      <c r="K281" s="27" t="s">
        <v>765</v>
      </c>
      <c r="L281" s="30">
        <v>60</v>
      </c>
    </row>
    <row r="282" spans="1:12" x14ac:dyDescent="0.25">
      <c r="A282" s="26">
        <v>281</v>
      </c>
      <c r="B282" s="26" t="s">
        <v>363</v>
      </c>
      <c r="C282" s="27" t="s">
        <v>1225</v>
      </c>
      <c r="D282" s="27" t="s">
        <v>785</v>
      </c>
      <c r="E282" s="27" t="s">
        <v>933</v>
      </c>
      <c r="F282" s="17">
        <v>903303637</v>
      </c>
      <c r="G282" s="27" t="s">
        <v>912</v>
      </c>
      <c r="H282" s="29">
        <v>42</v>
      </c>
      <c r="I282" s="27" t="s">
        <v>934</v>
      </c>
      <c r="J282" s="29">
        <v>12</v>
      </c>
      <c r="K282" s="27" t="s">
        <v>765</v>
      </c>
      <c r="L282" s="30">
        <v>60</v>
      </c>
    </row>
    <row r="283" spans="1:12" x14ac:dyDescent="0.25">
      <c r="A283" s="26">
        <v>282</v>
      </c>
      <c r="B283" s="26" t="s">
        <v>350</v>
      </c>
      <c r="C283" s="27" t="s">
        <v>1226</v>
      </c>
      <c r="D283" s="27" t="s">
        <v>785</v>
      </c>
      <c r="E283" s="27" t="s">
        <v>974</v>
      </c>
      <c r="F283" s="17">
        <v>907291771</v>
      </c>
      <c r="G283" s="27" t="s">
        <v>912</v>
      </c>
      <c r="H283" s="29">
        <v>45</v>
      </c>
      <c r="I283" s="27" t="s">
        <v>934</v>
      </c>
      <c r="J283" s="29">
        <v>12</v>
      </c>
      <c r="K283" s="27" t="s">
        <v>765</v>
      </c>
      <c r="L283" s="30">
        <v>60</v>
      </c>
    </row>
    <row r="284" spans="1:12" x14ac:dyDescent="0.25">
      <c r="A284" s="26">
        <v>283</v>
      </c>
      <c r="B284" s="26" t="s">
        <v>351</v>
      </c>
      <c r="C284" s="27" t="s">
        <v>1227</v>
      </c>
      <c r="D284" s="27" t="s">
        <v>785</v>
      </c>
      <c r="E284" s="27" t="s">
        <v>974</v>
      </c>
      <c r="F284" s="17">
        <v>907291771</v>
      </c>
      <c r="G284" s="27" t="s">
        <v>912</v>
      </c>
      <c r="H284" s="29">
        <v>30</v>
      </c>
      <c r="I284" s="27" t="s">
        <v>934</v>
      </c>
      <c r="J284" s="29">
        <v>12</v>
      </c>
      <c r="K284" s="27" t="s">
        <v>765</v>
      </c>
      <c r="L284" s="30">
        <v>60</v>
      </c>
    </row>
    <row r="285" spans="1:12" x14ac:dyDescent="0.25">
      <c r="A285" s="26">
        <v>284</v>
      </c>
      <c r="B285" s="26" t="s">
        <v>344</v>
      </c>
      <c r="C285" s="27" t="s">
        <v>1228</v>
      </c>
      <c r="D285" s="27" t="s">
        <v>785</v>
      </c>
      <c r="E285" s="27" t="s">
        <v>774</v>
      </c>
      <c r="F285" s="17">
        <v>907498282</v>
      </c>
      <c r="G285" s="27" t="s">
        <v>912</v>
      </c>
      <c r="H285" s="29">
        <v>42</v>
      </c>
      <c r="I285" s="27" t="s">
        <v>1024</v>
      </c>
      <c r="J285" s="29">
        <v>12</v>
      </c>
      <c r="K285" s="27" t="s">
        <v>765</v>
      </c>
      <c r="L285" s="30">
        <v>60</v>
      </c>
    </row>
    <row r="286" spans="1:12" x14ac:dyDescent="0.25">
      <c r="A286" s="26">
        <v>285</v>
      </c>
      <c r="B286" s="26" t="s">
        <v>372</v>
      </c>
      <c r="C286" s="27" t="s">
        <v>1229</v>
      </c>
      <c r="D286" s="27" t="s">
        <v>785</v>
      </c>
      <c r="E286" s="27" t="s">
        <v>878</v>
      </c>
      <c r="F286" s="17" t="s">
        <v>1230</v>
      </c>
      <c r="G286" s="27" t="s">
        <v>912</v>
      </c>
      <c r="H286" s="29">
        <v>45</v>
      </c>
      <c r="I286" s="27" t="s">
        <v>952</v>
      </c>
      <c r="J286" s="29">
        <v>12.5</v>
      </c>
      <c r="K286" s="27" t="s">
        <v>878</v>
      </c>
      <c r="L286" s="30">
        <v>60</v>
      </c>
    </row>
    <row r="287" spans="1:12" x14ac:dyDescent="0.25">
      <c r="A287" s="26">
        <v>286</v>
      </c>
      <c r="B287" s="26" t="s">
        <v>370</v>
      </c>
      <c r="C287" s="27" t="s">
        <v>1231</v>
      </c>
      <c r="D287" s="27" t="s">
        <v>785</v>
      </c>
      <c r="E287" s="27" t="s">
        <v>759</v>
      </c>
      <c r="F287" s="17">
        <v>939595596</v>
      </c>
      <c r="G287" s="27" t="s">
        <v>912</v>
      </c>
      <c r="H287" s="29">
        <v>42</v>
      </c>
      <c r="I287" s="27" t="s">
        <v>934</v>
      </c>
      <c r="J287" s="29">
        <v>12</v>
      </c>
      <c r="K287" s="27" t="s">
        <v>937</v>
      </c>
      <c r="L287" s="30">
        <v>60</v>
      </c>
    </row>
    <row r="288" spans="1:12" x14ac:dyDescent="0.25">
      <c r="A288" s="26">
        <v>287</v>
      </c>
      <c r="B288" s="26" t="s">
        <v>359</v>
      </c>
      <c r="C288" s="27" t="s">
        <v>1232</v>
      </c>
      <c r="D288" s="27" t="s">
        <v>785</v>
      </c>
      <c r="E288" s="27" t="s">
        <v>933</v>
      </c>
      <c r="F288" s="17">
        <v>903303637</v>
      </c>
      <c r="G288" s="27" t="s">
        <v>912</v>
      </c>
      <c r="H288" s="29">
        <v>42</v>
      </c>
      <c r="I288" s="27" t="s">
        <v>934</v>
      </c>
      <c r="J288" s="29">
        <v>12</v>
      </c>
      <c r="K288" s="27" t="s">
        <v>765</v>
      </c>
      <c r="L288" s="30">
        <v>60</v>
      </c>
    </row>
    <row r="289" spans="1:12" x14ac:dyDescent="0.25">
      <c r="A289" s="26">
        <v>288</v>
      </c>
      <c r="B289" s="26" t="s">
        <v>358</v>
      </c>
      <c r="C289" s="27" t="s">
        <v>1233</v>
      </c>
      <c r="D289" s="27" t="s">
        <v>785</v>
      </c>
      <c r="E289" s="27" t="s">
        <v>878</v>
      </c>
      <c r="F289" s="17" t="s">
        <v>1234</v>
      </c>
      <c r="G289" s="27" t="s">
        <v>912</v>
      </c>
      <c r="H289" s="29">
        <v>45</v>
      </c>
      <c r="I289" s="27" t="s">
        <v>1223</v>
      </c>
      <c r="J289" s="29">
        <v>13</v>
      </c>
      <c r="K289" s="27" t="s">
        <v>878</v>
      </c>
      <c r="L289" s="30">
        <v>60</v>
      </c>
    </row>
    <row r="290" spans="1:12" x14ac:dyDescent="0.25">
      <c r="A290" s="26">
        <v>289</v>
      </c>
      <c r="B290" s="26" t="s">
        <v>356</v>
      </c>
      <c r="C290" s="27" t="s">
        <v>1235</v>
      </c>
      <c r="D290" s="27" t="s">
        <v>785</v>
      </c>
      <c r="E290" s="27" t="s">
        <v>771</v>
      </c>
      <c r="F290" s="17">
        <v>939185125</v>
      </c>
      <c r="G290" s="27" t="s">
        <v>912</v>
      </c>
      <c r="H290" s="29">
        <v>42</v>
      </c>
      <c r="I290" s="27" t="s">
        <v>934</v>
      </c>
      <c r="J290" s="29">
        <v>12</v>
      </c>
      <c r="K290" s="27" t="s">
        <v>765</v>
      </c>
      <c r="L290" s="30">
        <v>60</v>
      </c>
    </row>
    <row r="291" spans="1:12" x14ac:dyDescent="0.25">
      <c r="A291" s="26">
        <v>290</v>
      </c>
      <c r="B291" s="26" t="s">
        <v>371</v>
      </c>
      <c r="C291" s="27" t="s">
        <v>1236</v>
      </c>
      <c r="D291" s="27" t="s">
        <v>785</v>
      </c>
      <c r="E291" s="27" t="s">
        <v>772</v>
      </c>
      <c r="F291" s="17">
        <v>907729992</v>
      </c>
      <c r="G291" s="27" t="s">
        <v>912</v>
      </c>
      <c r="H291" s="29">
        <v>42</v>
      </c>
      <c r="I291" s="27" t="s">
        <v>934</v>
      </c>
      <c r="J291" s="29">
        <v>12</v>
      </c>
      <c r="K291" s="27" t="s">
        <v>765</v>
      </c>
      <c r="L291" s="30">
        <v>60</v>
      </c>
    </row>
    <row r="292" spans="1:12" x14ac:dyDescent="0.25">
      <c r="A292" s="26">
        <v>291</v>
      </c>
      <c r="B292" s="26" t="s">
        <v>360</v>
      </c>
      <c r="C292" s="27" t="s">
        <v>1237</v>
      </c>
      <c r="D292" s="27" t="s">
        <v>785</v>
      </c>
      <c r="E292" s="27" t="s">
        <v>967</v>
      </c>
      <c r="F292" s="17">
        <v>903460199</v>
      </c>
      <c r="G292" s="27" t="s">
        <v>912</v>
      </c>
      <c r="H292" s="29">
        <v>48</v>
      </c>
      <c r="I292" s="27" t="s">
        <v>934</v>
      </c>
      <c r="J292" s="29">
        <v>12</v>
      </c>
      <c r="K292" s="27" t="s">
        <v>765</v>
      </c>
      <c r="L292" s="30">
        <v>60</v>
      </c>
    </row>
    <row r="293" spans="1:12" x14ac:dyDescent="0.25">
      <c r="A293" s="26">
        <v>292</v>
      </c>
      <c r="B293" s="26" t="s">
        <v>353</v>
      </c>
      <c r="C293" s="27" t="s">
        <v>1238</v>
      </c>
      <c r="D293" s="27" t="s">
        <v>785</v>
      </c>
      <c r="E293" s="27" t="s">
        <v>842</v>
      </c>
      <c r="F293" s="17">
        <v>2923823194</v>
      </c>
      <c r="G293" s="27" t="s">
        <v>912</v>
      </c>
      <c r="H293" s="29">
        <v>29</v>
      </c>
      <c r="I293" s="27" t="s">
        <v>929</v>
      </c>
      <c r="J293" s="29">
        <v>15</v>
      </c>
      <c r="K293" s="27" t="s">
        <v>842</v>
      </c>
      <c r="L293" s="30">
        <v>60</v>
      </c>
    </row>
    <row r="294" spans="1:12" x14ac:dyDescent="0.25">
      <c r="A294" s="26">
        <v>293</v>
      </c>
      <c r="B294" s="26" t="s">
        <v>368</v>
      </c>
      <c r="C294" s="27" t="s">
        <v>1239</v>
      </c>
      <c r="D294" s="27" t="s">
        <v>785</v>
      </c>
      <c r="E294" s="27" t="s">
        <v>974</v>
      </c>
      <c r="F294" s="17">
        <v>907291771</v>
      </c>
      <c r="G294" s="27" t="s">
        <v>912</v>
      </c>
      <c r="H294" s="29">
        <v>45</v>
      </c>
      <c r="I294" s="27" t="s">
        <v>934</v>
      </c>
      <c r="J294" s="29">
        <v>12</v>
      </c>
      <c r="K294" s="27" t="s">
        <v>765</v>
      </c>
      <c r="L294" s="30">
        <v>60</v>
      </c>
    </row>
    <row r="295" spans="1:12" x14ac:dyDescent="0.25">
      <c r="A295" s="26">
        <v>294</v>
      </c>
      <c r="B295" s="26" t="s">
        <v>369</v>
      </c>
      <c r="C295" s="27" t="s">
        <v>1240</v>
      </c>
      <c r="D295" s="27" t="s">
        <v>785</v>
      </c>
      <c r="E295" s="27" t="s">
        <v>779</v>
      </c>
      <c r="F295" s="17">
        <v>939636248</v>
      </c>
      <c r="G295" s="27" t="s">
        <v>912</v>
      </c>
      <c r="H295" s="29">
        <v>42</v>
      </c>
      <c r="I295" s="27" t="s">
        <v>934</v>
      </c>
      <c r="J295" s="29">
        <v>12</v>
      </c>
      <c r="K295" s="27" t="s">
        <v>765</v>
      </c>
      <c r="L295" s="30">
        <v>60</v>
      </c>
    </row>
    <row r="296" spans="1:12" x14ac:dyDescent="0.25">
      <c r="A296" s="26">
        <v>295</v>
      </c>
      <c r="B296" s="26" t="s">
        <v>392</v>
      </c>
      <c r="C296" s="27" t="s">
        <v>1241</v>
      </c>
      <c r="D296" s="27" t="s">
        <v>785</v>
      </c>
      <c r="E296" s="27" t="s">
        <v>878</v>
      </c>
      <c r="F296" s="17">
        <v>169389357</v>
      </c>
      <c r="G296" s="27" t="s">
        <v>912</v>
      </c>
      <c r="H296" s="29">
        <v>45</v>
      </c>
      <c r="I296" s="27" t="s">
        <v>931</v>
      </c>
      <c r="J296" s="29">
        <v>5.5</v>
      </c>
      <c r="K296" s="27" t="s">
        <v>878</v>
      </c>
      <c r="L296" s="30">
        <v>60</v>
      </c>
    </row>
    <row r="297" spans="1:12" x14ac:dyDescent="0.25">
      <c r="A297" s="26">
        <v>296</v>
      </c>
      <c r="B297" s="26" t="s">
        <v>364</v>
      </c>
      <c r="C297" s="27" t="s">
        <v>1242</v>
      </c>
      <c r="D297" s="27" t="s">
        <v>785</v>
      </c>
      <c r="E297" s="27" t="s">
        <v>933</v>
      </c>
      <c r="F297" s="17">
        <v>903303637</v>
      </c>
      <c r="G297" s="27" t="s">
        <v>912</v>
      </c>
      <c r="H297" s="29">
        <v>42</v>
      </c>
      <c r="I297" s="27" t="s">
        <v>934</v>
      </c>
      <c r="J297" s="29">
        <v>12</v>
      </c>
      <c r="K297" s="27" t="s">
        <v>765</v>
      </c>
      <c r="L297" s="30">
        <v>60</v>
      </c>
    </row>
    <row r="298" spans="1:12" x14ac:dyDescent="0.25">
      <c r="A298" s="26">
        <v>297</v>
      </c>
      <c r="B298" s="26" t="s">
        <v>355</v>
      </c>
      <c r="C298" s="27" t="s">
        <v>1243</v>
      </c>
      <c r="D298" s="27" t="s">
        <v>785</v>
      </c>
      <c r="E298" s="27" t="s">
        <v>933</v>
      </c>
      <c r="F298" s="17">
        <v>903303637</v>
      </c>
      <c r="G298" s="27" t="s">
        <v>912</v>
      </c>
      <c r="H298" s="29">
        <v>42</v>
      </c>
      <c r="I298" s="27" t="s">
        <v>934</v>
      </c>
      <c r="J298" s="29">
        <v>12</v>
      </c>
      <c r="K298" s="27" t="s">
        <v>765</v>
      </c>
      <c r="L298" s="30">
        <v>60</v>
      </c>
    </row>
    <row r="299" spans="1:12" x14ac:dyDescent="0.25">
      <c r="A299" s="26">
        <v>298</v>
      </c>
      <c r="B299" s="26" t="s">
        <v>357</v>
      </c>
      <c r="C299" s="27" t="s">
        <v>1244</v>
      </c>
      <c r="D299" s="27" t="s">
        <v>785</v>
      </c>
      <c r="E299" s="27" t="s">
        <v>933</v>
      </c>
      <c r="F299" s="17">
        <v>903303637</v>
      </c>
      <c r="G299" s="27" t="s">
        <v>912</v>
      </c>
      <c r="H299" s="29">
        <v>42</v>
      </c>
      <c r="I299" s="27" t="s">
        <v>934</v>
      </c>
      <c r="J299" s="29">
        <v>12</v>
      </c>
      <c r="K299" s="27" t="s">
        <v>765</v>
      </c>
      <c r="L299" s="30">
        <v>60</v>
      </c>
    </row>
    <row r="300" spans="1:12" x14ac:dyDescent="0.25">
      <c r="A300" s="26">
        <v>299</v>
      </c>
      <c r="B300" s="26" t="s">
        <v>361</v>
      </c>
      <c r="C300" s="27" t="s">
        <v>1245</v>
      </c>
      <c r="D300" s="27" t="s">
        <v>785</v>
      </c>
      <c r="E300" s="27" t="s">
        <v>974</v>
      </c>
      <c r="F300" s="17">
        <v>907291771</v>
      </c>
      <c r="G300" s="27" t="s">
        <v>912</v>
      </c>
      <c r="H300" s="29">
        <v>45</v>
      </c>
      <c r="I300" s="27" t="s">
        <v>934</v>
      </c>
      <c r="J300" s="29">
        <v>12</v>
      </c>
      <c r="K300" s="27" t="s">
        <v>765</v>
      </c>
      <c r="L300" s="30">
        <v>60</v>
      </c>
    </row>
    <row r="301" spans="1:12" x14ac:dyDescent="0.25">
      <c r="A301" s="26">
        <v>300</v>
      </c>
      <c r="B301" s="26" t="s">
        <v>362</v>
      </c>
      <c r="C301" s="27" t="s">
        <v>1246</v>
      </c>
      <c r="D301" s="27" t="s">
        <v>785</v>
      </c>
      <c r="E301" s="27" t="s">
        <v>974</v>
      </c>
      <c r="F301" s="17">
        <v>907291771</v>
      </c>
      <c r="G301" s="27" t="s">
        <v>912</v>
      </c>
      <c r="H301" s="29">
        <v>45</v>
      </c>
      <c r="I301" s="27" t="s">
        <v>934</v>
      </c>
      <c r="J301" s="29">
        <v>12</v>
      </c>
      <c r="K301" s="27" t="s">
        <v>765</v>
      </c>
      <c r="L301" s="30">
        <v>60</v>
      </c>
    </row>
    <row r="302" spans="1:12" x14ac:dyDescent="0.25">
      <c r="A302" s="26">
        <v>301</v>
      </c>
      <c r="B302" s="26" t="s">
        <v>373</v>
      </c>
      <c r="C302" s="27" t="s">
        <v>1247</v>
      </c>
      <c r="D302" s="27" t="s">
        <v>785</v>
      </c>
      <c r="E302" s="27" t="s">
        <v>974</v>
      </c>
      <c r="F302" s="17">
        <v>907291771</v>
      </c>
      <c r="G302" s="27" t="s">
        <v>912</v>
      </c>
      <c r="H302" s="29">
        <v>42</v>
      </c>
      <c r="I302" s="27" t="s">
        <v>934</v>
      </c>
      <c r="J302" s="29">
        <v>12</v>
      </c>
      <c r="K302" s="27" t="s">
        <v>765</v>
      </c>
      <c r="L302" s="30">
        <v>60</v>
      </c>
    </row>
    <row r="303" spans="1:12" x14ac:dyDescent="0.25">
      <c r="A303" s="26">
        <v>302</v>
      </c>
      <c r="B303" s="26" t="s">
        <v>345</v>
      </c>
      <c r="C303" s="27" t="s">
        <v>1248</v>
      </c>
      <c r="D303" s="27" t="s">
        <v>785</v>
      </c>
      <c r="E303" s="27" t="s">
        <v>878</v>
      </c>
      <c r="F303" s="17" t="s">
        <v>1249</v>
      </c>
      <c r="G303" s="27" t="s">
        <v>903</v>
      </c>
      <c r="H303" s="29">
        <v>45</v>
      </c>
      <c r="I303" s="27" t="s">
        <v>931</v>
      </c>
      <c r="J303" s="29">
        <v>12</v>
      </c>
      <c r="K303" s="27" t="s">
        <v>878</v>
      </c>
      <c r="L303" s="30">
        <v>60</v>
      </c>
    </row>
    <row r="304" spans="1:12" x14ac:dyDescent="0.25">
      <c r="A304" s="26">
        <v>303</v>
      </c>
      <c r="B304" s="26" t="s">
        <v>367</v>
      </c>
      <c r="C304" s="27" t="s">
        <v>1250</v>
      </c>
      <c r="D304" s="27" t="s">
        <v>785</v>
      </c>
      <c r="E304" s="27" t="s">
        <v>974</v>
      </c>
      <c r="F304" s="17">
        <v>907291771</v>
      </c>
      <c r="G304" s="27" t="s">
        <v>912</v>
      </c>
      <c r="H304" s="29">
        <v>45</v>
      </c>
      <c r="I304" s="27" t="s">
        <v>934</v>
      </c>
      <c r="J304" s="29">
        <v>12</v>
      </c>
      <c r="K304" s="27" t="s">
        <v>765</v>
      </c>
      <c r="L304" s="30">
        <v>60</v>
      </c>
    </row>
    <row r="305" spans="1:12" x14ac:dyDescent="0.25">
      <c r="A305" s="26">
        <v>304</v>
      </c>
      <c r="B305" s="26" t="s">
        <v>346</v>
      </c>
      <c r="C305" s="27" t="s">
        <v>839</v>
      </c>
      <c r="D305" s="27" t="s">
        <v>785</v>
      </c>
      <c r="E305" s="27" t="s">
        <v>774</v>
      </c>
      <c r="F305" s="17">
        <v>907498282</v>
      </c>
      <c r="G305" s="27" t="s">
        <v>912</v>
      </c>
      <c r="H305" s="29">
        <v>42</v>
      </c>
      <c r="I305" s="27" t="s">
        <v>1024</v>
      </c>
      <c r="J305" s="29">
        <v>12</v>
      </c>
      <c r="K305" s="27" t="s">
        <v>765</v>
      </c>
      <c r="L305" s="30">
        <v>60</v>
      </c>
    </row>
    <row r="306" spans="1:12" x14ac:dyDescent="0.25">
      <c r="A306" s="26">
        <v>305</v>
      </c>
      <c r="B306" s="26" t="s">
        <v>365</v>
      </c>
      <c r="C306" s="27" t="s">
        <v>1251</v>
      </c>
      <c r="D306" s="27" t="s">
        <v>785</v>
      </c>
      <c r="E306" s="27" t="s">
        <v>878</v>
      </c>
      <c r="F306" s="17" t="s">
        <v>1252</v>
      </c>
      <c r="G306" s="27" t="s">
        <v>912</v>
      </c>
      <c r="H306" s="29">
        <v>45</v>
      </c>
      <c r="I306" s="27" t="s">
        <v>952</v>
      </c>
      <c r="J306" s="29">
        <v>5.5</v>
      </c>
      <c r="K306" s="27" t="s">
        <v>878</v>
      </c>
      <c r="L306" s="30">
        <v>60</v>
      </c>
    </row>
    <row r="307" spans="1:12" x14ac:dyDescent="0.25">
      <c r="A307" s="26">
        <v>306</v>
      </c>
      <c r="B307" s="26" t="s">
        <v>376</v>
      </c>
      <c r="C307" s="27" t="s">
        <v>1253</v>
      </c>
      <c r="D307" s="27" t="s">
        <v>785</v>
      </c>
      <c r="E307" s="27" t="s">
        <v>878</v>
      </c>
      <c r="F307" s="17">
        <v>939538890</v>
      </c>
      <c r="G307" s="27" t="s">
        <v>912</v>
      </c>
      <c r="H307" s="29">
        <v>45</v>
      </c>
      <c r="I307" s="27" t="s">
        <v>931</v>
      </c>
      <c r="J307" s="29">
        <v>12</v>
      </c>
      <c r="K307" s="27" t="s">
        <v>878</v>
      </c>
      <c r="L307" s="30">
        <v>60</v>
      </c>
    </row>
    <row r="308" spans="1:12" x14ac:dyDescent="0.25">
      <c r="A308" s="26">
        <v>307</v>
      </c>
      <c r="B308" s="26" t="s">
        <v>374</v>
      </c>
      <c r="C308" s="27" t="s">
        <v>1254</v>
      </c>
      <c r="D308" s="27" t="s">
        <v>785</v>
      </c>
      <c r="E308" s="27" t="s">
        <v>878</v>
      </c>
      <c r="F308" s="17" t="s">
        <v>1255</v>
      </c>
      <c r="G308" s="27" t="s">
        <v>912</v>
      </c>
      <c r="H308" s="29">
        <v>45</v>
      </c>
      <c r="I308" s="27" t="s">
        <v>986</v>
      </c>
      <c r="J308" s="29">
        <v>8</v>
      </c>
      <c r="K308" s="27" t="s">
        <v>878</v>
      </c>
      <c r="L308" s="30">
        <v>60</v>
      </c>
    </row>
    <row r="309" spans="1:12" x14ac:dyDescent="0.25">
      <c r="A309" s="26">
        <v>308</v>
      </c>
      <c r="B309" s="26" t="s">
        <v>375</v>
      </c>
      <c r="C309" s="27" t="s">
        <v>1256</v>
      </c>
      <c r="D309" s="27" t="s">
        <v>785</v>
      </c>
      <c r="E309" s="27" t="s">
        <v>878</v>
      </c>
      <c r="F309" s="17">
        <v>1668982866</v>
      </c>
      <c r="G309" s="27" t="s">
        <v>912</v>
      </c>
      <c r="H309" s="29">
        <v>36</v>
      </c>
      <c r="I309" s="27" t="s">
        <v>1086</v>
      </c>
      <c r="J309" s="29">
        <v>8</v>
      </c>
      <c r="K309" s="27" t="s">
        <v>878</v>
      </c>
      <c r="L309" s="30">
        <v>60</v>
      </c>
    </row>
    <row r="310" spans="1:12" x14ac:dyDescent="0.25">
      <c r="A310" s="26">
        <v>309</v>
      </c>
      <c r="B310" s="26" t="s">
        <v>411</v>
      </c>
      <c r="C310" s="27" t="s">
        <v>1257</v>
      </c>
      <c r="D310" s="27" t="s">
        <v>785</v>
      </c>
      <c r="E310" s="27" t="s">
        <v>878</v>
      </c>
      <c r="F310" s="17">
        <v>908099992</v>
      </c>
      <c r="G310" s="27" t="s">
        <v>912</v>
      </c>
      <c r="H310" s="29">
        <v>42</v>
      </c>
      <c r="I310" s="27" t="s">
        <v>931</v>
      </c>
      <c r="J310" s="29">
        <v>8.5</v>
      </c>
      <c r="K310" s="27" t="s">
        <v>878</v>
      </c>
      <c r="L310" s="30">
        <v>60</v>
      </c>
    </row>
    <row r="311" spans="1:12" x14ac:dyDescent="0.25">
      <c r="A311" s="26">
        <v>310</v>
      </c>
      <c r="B311" s="26" t="s">
        <v>410</v>
      </c>
      <c r="C311" s="27" t="s">
        <v>1258</v>
      </c>
      <c r="D311" s="27" t="s">
        <v>785</v>
      </c>
      <c r="E311" s="27" t="s">
        <v>759</v>
      </c>
      <c r="F311" s="17">
        <v>908380919</v>
      </c>
      <c r="G311" s="27" t="s">
        <v>912</v>
      </c>
      <c r="H311" s="29">
        <v>42</v>
      </c>
      <c r="I311" s="27" t="s">
        <v>934</v>
      </c>
      <c r="J311" s="29">
        <v>12</v>
      </c>
      <c r="K311" s="27" t="s">
        <v>937</v>
      </c>
      <c r="L311" s="30">
        <v>60</v>
      </c>
    </row>
    <row r="312" spans="1:12" x14ac:dyDescent="0.25">
      <c r="A312" s="26">
        <v>311</v>
      </c>
      <c r="B312" s="26" t="s">
        <v>420</v>
      </c>
      <c r="C312" s="27" t="s">
        <v>1259</v>
      </c>
      <c r="D312" s="27" t="s">
        <v>785</v>
      </c>
      <c r="E312" s="27" t="s">
        <v>759</v>
      </c>
      <c r="F312" s="17">
        <v>908099992</v>
      </c>
      <c r="G312" s="27" t="s">
        <v>909</v>
      </c>
      <c r="H312" s="29">
        <v>15</v>
      </c>
      <c r="I312" s="27" t="s">
        <v>1006</v>
      </c>
      <c r="J312" s="27" t="s">
        <v>1007</v>
      </c>
      <c r="K312" s="27" t="s">
        <v>1007</v>
      </c>
      <c r="L312" s="30">
        <v>60</v>
      </c>
    </row>
    <row r="313" spans="1:12" x14ac:dyDescent="0.25">
      <c r="A313" s="26">
        <v>312</v>
      </c>
      <c r="B313" s="26" t="s">
        <v>443</v>
      </c>
      <c r="C313" s="27" t="s">
        <v>1260</v>
      </c>
      <c r="D313" s="27" t="s">
        <v>785</v>
      </c>
      <c r="E313" s="27" t="s">
        <v>759</v>
      </c>
      <c r="F313" s="17" t="s">
        <v>1261</v>
      </c>
      <c r="G313" s="27" t="s">
        <v>912</v>
      </c>
      <c r="H313" s="29">
        <v>42</v>
      </c>
      <c r="I313" s="27" t="s">
        <v>993</v>
      </c>
      <c r="J313" s="29">
        <v>5.5</v>
      </c>
      <c r="K313" s="27" t="s">
        <v>878</v>
      </c>
      <c r="L313" s="30">
        <v>60</v>
      </c>
    </row>
    <row r="314" spans="1:12" x14ac:dyDescent="0.25">
      <c r="A314" s="26">
        <v>313</v>
      </c>
      <c r="B314" s="26" t="s">
        <v>444</v>
      </c>
      <c r="C314" s="27" t="s">
        <v>1262</v>
      </c>
      <c r="D314" s="27" t="s">
        <v>785</v>
      </c>
      <c r="E314" s="27" t="s">
        <v>759</v>
      </c>
      <c r="F314" s="17" t="s">
        <v>1263</v>
      </c>
      <c r="G314" s="27" t="s">
        <v>912</v>
      </c>
      <c r="H314" s="29">
        <v>42</v>
      </c>
      <c r="I314" s="27" t="s">
        <v>993</v>
      </c>
      <c r="J314" s="29">
        <v>5.5</v>
      </c>
      <c r="K314" s="27" t="s">
        <v>878</v>
      </c>
      <c r="L314" s="30">
        <v>60</v>
      </c>
    </row>
    <row r="315" spans="1:12" x14ac:dyDescent="0.25">
      <c r="A315" s="26">
        <v>314</v>
      </c>
      <c r="B315" s="26" t="s">
        <v>445</v>
      </c>
      <c r="C315" s="27" t="s">
        <v>1264</v>
      </c>
      <c r="D315" s="27" t="s">
        <v>785</v>
      </c>
      <c r="E315" s="27" t="s">
        <v>759</v>
      </c>
      <c r="F315" s="17">
        <v>1226841006</v>
      </c>
      <c r="G315" s="27" t="s">
        <v>912</v>
      </c>
      <c r="H315" s="29">
        <v>42</v>
      </c>
      <c r="I315" s="27" t="s">
        <v>998</v>
      </c>
      <c r="J315" s="29">
        <v>5.5</v>
      </c>
      <c r="K315" s="27" t="s">
        <v>878</v>
      </c>
      <c r="L315" s="30">
        <v>60</v>
      </c>
    </row>
    <row r="316" spans="1:12" x14ac:dyDescent="0.25">
      <c r="A316" s="26">
        <v>315</v>
      </c>
      <c r="B316" s="26" t="s">
        <v>446</v>
      </c>
      <c r="C316" s="27" t="s">
        <v>1265</v>
      </c>
      <c r="D316" s="27" t="s">
        <v>785</v>
      </c>
      <c r="E316" s="27" t="s">
        <v>759</v>
      </c>
      <c r="F316" s="17" t="s">
        <v>1266</v>
      </c>
      <c r="G316" s="27" t="s">
        <v>912</v>
      </c>
      <c r="H316" s="29">
        <v>42</v>
      </c>
      <c r="I316" s="27" t="s">
        <v>998</v>
      </c>
      <c r="J316" s="29">
        <v>5.5</v>
      </c>
      <c r="K316" s="27" t="s">
        <v>878</v>
      </c>
      <c r="L316" s="30">
        <v>60</v>
      </c>
    </row>
    <row r="317" spans="1:12" x14ac:dyDescent="0.25">
      <c r="A317" s="26">
        <v>316</v>
      </c>
      <c r="B317" s="26" t="s">
        <v>475</v>
      </c>
      <c r="C317" s="27" t="s">
        <v>664</v>
      </c>
      <c r="D317" s="27" t="s">
        <v>785</v>
      </c>
      <c r="E317" s="27" t="s">
        <v>757</v>
      </c>
      <c r="F317" s="17">
        <v>931920679</v>
      </c>
      <c r="G317" s="27" t="s">
        <v>912</v>
      </c>
      <c r="H317" s="29">
        <v>42</v>
      </c>
      <c r="I317" s="27" t="s">
        <v>1006</v>
      </c>
      <c r="J317" s="27" t="s">
        <v>1007</v>
      </c>
      <c r="K317" s="27" t="s">
        <v>1006</v>
      </c>
      <c r="L317" s="30">
        <v>60</v>
      </c>
    </row>
    <row r="318" spans="1:12" x14ac:dyDescent="0.25">
      <c r="A318" s="26">
        <v>317</v>
      </c>
      <c r="B318" s="26" t="s">
        <v>476</v>
      </c>
      <c r="C318" s="27" t="s">
        <v>665</v>
      </c>
      <c r="D318" s="27" t="s">
        <v>785</v>
      </c>
      <c r="E318" s="27" t="s">
        <v>757</v>
      </c>
      <c r="F318" s="17">
        <v>931920679</v>
      </c>
      <c r="G318" s="27" t="s">
        <v>912</v>
      </c>
      <c r="H318" s="29">
        <v>42</v>
      </c>
      <c r="I318" s="27" t="s">
        <v>1006</v>
      </c>
      <c r="J318" s="27" t="s">
        <v>1007</v>
      </c>
      <c r="K318" s="27" t="s">
        <v>1006</v>
      </c>
      <c r="L318" s="30">
        <v>60</v>
      </c>
    </row>
    <row r="319" spans="1:12" x14ac:dyDescent="0.25">
      <c r="A319" s="26">
        <v>318</v>
      </c>
      <c r="B319" s="26" t="s">
        <v>485</v>
      </c>
      <c r="C319" s="27" t="s">
        <v>666</v>
      </c>
      <c r="D319" s="27" t="s">
        <v>785</v>
      </c>
      <c r="E319" s="27" t="s">
        <v>757</v>
      </c>
      <c r="F319" s="17">
        <v>931920679</v>
      </c>
      <c r="G319" s="27" t="s">
        <v>912</v>
      </c>
      <c r="H319" s="29">
        <v>42</v>
      </c>
      <c r="I319" s="27" t="s">
        <v>1006</v>
      </c>
      <c r="J319" s="27" t="s">
        <v>1007</v>
      </c>
      <c r="K319" s="27" t="s">
        <v>1006</v>
      </c>
      <c r="L319" s="30">
        <v>60</v>
      </c>
    </row>
    <row r="320" spans="1:12" x14ac:dyDescent="0.25">
      <c r="A320" s="26">
        <v>319</v>
      </c>
      <c r="B320" s="26" t="s">
        <v>538</v>
      </c>
      <c r="C320" s="27" t="s">
        <v>667</v>
      </c>
      <c r="D320" s="27" t="s">
        <v>785</v>
      </c>
      <c r="E320" s="27" t="s">
        <v>757</v>
      </c>
      <c r="F320" s="17">
        <v>931920679</v>
      </c>
      <c r="G320" s="27" t="s">
        <v>912</v>
      </c>
      <c r="H320" s="29">
        <v>42</v>
      </c>
      <c r="I320" s="27" t="s">
        <v>1006</v>
      </c>
      <c r="J320" s="27" t="s">
        <v>1007</v>
      </c>
      <c r="K320" s="27" t="s">
        <v>1006</v>
      </c>
      <c r="L320" s="30">
        <v>60</v>
      </c>
    </row>
    <row r="321" spans="1:12" x14ac:dyDescent="0.25">
      <c r="A321" s="26">
        <v>320</v>
      </c>
      <c r="B321" s="26" t="s">
        <v>510</v>
      </c>
      <c r="C321" s="27" t="s">
        <v>668</v>
      </c>
      <c r="D321" s="27" t="s">
        <v>785</v>
      </c>
      <c r="E321" s="27" t="s">
        <v>757</v>
      </c>
      <c r="F321" s="17">
        <v>931920679</v>
      </c>
      <c r="G321" s="27" t="s">
        <v>912</v>
      </c>
      <c r="H321" s="29">
        <v>42</v>
      </c>
      <c r="I321" s="27" t="s">
        <v>1006</v>
      </c>
      <c r="J321" s="27" t="s">
        <v>1007</v>
      </c>
      <c r="K321" s="27" t="s">
        <v>1006</v>
      </c>
      <c r="L321" s="30">
        <v>60</v>
      </c>
    </row>
    <row r="322" spans="1:12" x14ac:dyDescent="0.25">
      <c r="A322" s="26">
        <v>321</v>
      </c>
      <c r="B322" s="26" t="s">
        <v>477</v>
      </c>
      <c r="C322" s="27" t="s">
        <v>669</v>
      </c>
      <c r="D322" s="27" t="s">
        <v>785</v>
      </c>
      <c r="E322" s="27" t="s">
        <v>757</v>
      </c>
      <c r="F322" s="17">
        <v>931920679</v>
      </c>
      <c r="G322" s="27" t="s">
        <v>912</v>
      </c>
      <c r="H322" s="29">
        <v>42</v>
      </c>
      <c r="I322" s="27" t="s">
        <v>1006</v>
      </c>
      <c r="J322" s="27" t="s">
        <v>1007</v>
      </c>
      <c r="K322" s="27" t="s">
        <v>1006</v>
      </c>
      <c r="L322" s="30">
        <v>60</v>
      </c>
    </row>
    <row r="323" spans="1:12" x14ac:dyDescent="0.25">
      <c r="A323" s="26">
        <v>322</v>
      </c>
      <c r="B323" s="26" t="s">
        <v>539</v>
      </c>
      <c r="C323" s="27" t="s">
        <v>670</v>
      </c>
      <c r="D323" s="27" t="s">
        <v>785</v>
      </c>
      <c r="E323" s="27" t="s">
        <v>757</v>
      </c>
      <c r="F323" s="17">
        <v>931920679</v>
      </c>
      <c r="G323" s="27" t="s">
        <v>912</v>
      </c>
      <c r="H323" s="29">
        <v>42</v>
      </c>
      <c r="I323" s="27" t="s">
        <v>1006</v>
      </c>
      <c r="J323" s="27" t="s">
        <v>1007</v>
      </c>
      <c r="K323" s="27" t="s">
        <v>1006</v>
      </c>
      <c r="L323" s="30">
        <v>60</v>
      </c>
    </row>
    <row r="324" spans="1:12" x14ac:dyDescent="0.25">
      <c r="A324" s="26">
        <v>323</v>
      </c>
      <c r="B324" s="26" t="s">
        <v>478</v>
      </c>
      <c r="C324" s="27" t="s">
        <v>671</v>
      </c>
      <c r="D324" s="27" t="s">
        <v>785</v>
      </c>
      <c r="E324" s="27" t="s">
        <v>757</v>
      </c>
      <c r="F324" s="17">
        <v>931920679</v>
      </c>
      <c r="G324" s="27" t="s">
        <v>912</v>
      </c>
      <c r="H324" s="29">
        <v>40</v>
      </c>
      <c r="I324" s="27" t="s">
        <v>1006</v>
      </c>
      <c r="J324" s="27" t="s">
        <v>1007</v>
      </c>
      <c r="K324" s="27" t="s">
        <v>1006</v>
      </c>
      <c r="L324" s="30">
        <v>60</v>
      </c>
    </row>
    <row r="325" spans="1:12" x14ac:dyDescent="0.25">
      <c r="A325" s="26">
        <v>324</v>
      </c>
      <c r="B325" s="26" t="s">
        <v>474</v>
      </c>
      <c r="C325" s="27" t="s">
        <v>672</v>
      </c>
      <c r="D325" s="27" t="s">
        <v>785</v>
      </c>
      <c r="E325" s="27" t="s">
        <v>759</v>
      </c>
      <c r="F325" s="17">
        <v>1266864291</v>
      </c>
      <c r="G325" s="27" t="s">
        <v>912</v>
      </c>
      <c r="H325" s="29">
        <v>42</v>
      </c>
      <c r="I325" s="27" t="s">
        <v>1002</v>
      </c>
      <c r="J325" s="29">
        <v>6</v>
      </c>
      <c r="K325" s="27" t="s">
        <v>878</v>
      </c>
      <c r="L325" s="30">
        <v>60</v>
      </c>
    </row>
    <row r="326" spans="1:12" x14ac:dyDescent="0.25">
      <c r="A326" s="26">
        <v>325</v>
      </c>
      <c r="B326" s="26" t="s">
        <v>504</v>
      </c>
      <c r="C326" s="27" t="s">
        <v>1267</v>
      </c>
      <c r="D326" s="27" t="s">
        <v>785</v>
      </c>
      <c r="E326" s="27" t="s">
        <v>757</v>
      </c>
      <c r="F326" s="17">
        <v>931920679</v>
      </c>
      <c r="G326" s="27" t="s">
        <v>912</v>
      </c>
      <c r="H326" s="29">
        <v>42</v>
      </c>
      <c r="I326" s="27" t="s">
        <v>1006</v>
      </c>
      <c r="J326" s="27" t="s">
        <v>1007</v>
      </c>
      <c r="K326" s="27" t="s">
        <v>1006</v>
      </c>
      <c r="L326" s="30">
        <v>60</v>
      </c>
    </row>
    <row r="327" spans="1:12" x14ac:dyDescent="0.25">
      <c r="A327" s="26">
        <v>326</v>
      </c>
      <c r="B327" s="26" t="s">
        <v>543</v>
      </c>
      <c r="C327" s="27" t="s">
        <v>673</v>
      </c>
      <c r="D327" s="27" t="s">
        <v>785</v>
      </c>
      <c r="E327" s="27" t="s">
        <v>759</v>
      </c>
      <c r="F327" s="17">
        <v>908099992</v>
      </c>
      <c r="G327" s="27" t="s">
        <v>912</v>
      </c>
      <c r="H327" s="29">
        <v>42</v>
      </c>
      <c r="I327" s="27" t="s">
        <v>1007</v>
      </c>
      <c r="J327" s="27" t="s">
        <v>1007</v>
      </c>
      <c r="K327" s="27" t="s">
        <v>1007</v>
      </c>
      <c r="L327" s="30">
        <v>60</v>
      </c>
    </row>
    <row r="328" spans="1:12" x14ac:dyDescent="0.25">
      <c r="A328" s="26">
        <v>327</v>
      </c>
      <c r="B328" s="26" t="s">
        <v>537</v>
      </c>
      <c r="C328" s="27" t="s">
        <v>674</v>
      </c>
      <c r="D328" s="27" t="s">
        <v>785</v>
      </c>
      <c r="E328" s="27" t="s">
        <v>759</v>
      </c>
      <c r="F328" s="17">
        <v>939553439</v>
      </c>
      <c r="G328" s="27" t="s">
        <v>912</v>
      </c>
      <c r="H328" s="29">
        <v>42</v>
      </c>
      <c r="I328" s="27" t="s">
        <v>1002</v>
      </c>
      <c r="J328" s="29">
        <v>6</v>
      </c>
      <c r="K328" s="27" t="s">
        <v>878</v>
      </c>
      <c r="L328" s="30">
        <v>60</v>
      </c>
    </row>
    <row r="329" spans="1:12" x14ac:dyDescent="0.25">
      <c r="A329" s="26">
        <v>328</v>
      </c>
      <c r="B329" s="26" t="s">
        <v>498</v>
      </c>
      <c r="C329" s="27" t="s">
        <v>675</v>
      </c>
      <c r="D329" s="27" t="s">
        <v>785</v>
      </c>
      <c r="E329" s="27" t="s">
        <v>759</v>
      </c>
      <c r="F329" s="17" t="s">
        <v>1268</v>
      </c>
      <c r="G329" s="27" t="s">
        <v>912</v>
      </c>
      <c r="H329" s="29">
        <v>42</v>
      </c>
      <c r="I329" s="27" t="s">
        <v>1002</v>
      </c>
      <c r="J329" s="29">
        <v>6</v>
      </c>
      <c r="K329" s="27" t="s">
        <v>878</v>
      </c>
      <c r="L329" s="30">
        <v>60</v>
      </c>
    </row>
    <row r="330" spans="1:12" x14ac:dyDescent="0.25">
      <c r="A330" s="26">
        <v>329</v>
      </c>
      <c r="B330" s="26" t="s">
        <v>526</v>
      </c>
      <c r="C330" s="27" t="s">
        <v>676</v>
      </c>
      <c r="D330" s="27" t="s">
        <v>785</v>
      </c>
      <c r="E330" s="27" t="s">
        <v>759</v>
      </c>
      <c r="F330" s="17">
        <v>939553439</v>
      </c>
      <c r="G330" s="27" t="s">
        <v>912</v>
      </c>
      <c r="H330" s="29">
        <v>39</v>
      </c>
      <c r="I330" s="27" t="s">
        <v>1007</v>
      </c>
      <c r="J330" s="27" t="s">
        <v>1007</v>
      </c>
      <c r="K330" s="27" t="s">
        <v>1007</v>
      </c>
      <c r="L330" s="30">
        <v>60</v>
      </c>
    </row>
    <row r="331" spans="1:12" x14ac:dyDescent="0.25">
      <c r="A331" s="26">
        <v>330</v>
      </c>
      <c r="B331" s="26" t="s">
        <v>511</v>
      </c>
      <c r="C331" s="27" t="s">
        <v>677</v>
      </c>
      <c r="D331" s="27" t="s">
        <v>785</v>
      </c>
      <c r="E331" s="27" t="s">
        <v>759</v>
      </c>
      <c r="F331" s="17">
        <v>908099992</v>
      </c>
      <c r="G331" s="27" t="s">
        <v>912</v>
      </c>
      <c r="H331" s="29">
        <v>42</v>
      </c>
      <c r="I331" s="27" t="s">
        <v>1002</v>
      </c>
      <c r="J331" s="29">
        <v>6</v>
      </c>
      <c r="K331" s="27" t="s">
        <v>878</v>
      </c>
      <c r="L331" s="30">
        <v>60</v>
      </c>
    </row>
    <row r="332" spans="1:12" x14ac:dyDescent="0.25">
      <c r="A332" s="26">
        <v>331</v>
      </c>
      <c r="B332" s="26" t="s">
        <v>525</v>
      </c>
      <c r="C332" s="27" t="s">
        <v>678</v>
      </c>
      <c r="D332" s="27" t="s">
        <v>785</v>
      </c>
      <c r="E332" s="27" t="s">
        <v>759</v>
      </c>
      <c r="F332" s="17">
        <v>903813839</v>
      </c>
      <c r="G332" s="27" t="s">
        <v>912</v>
      </c>
      <c r="H332" s="29">
        <v>42</v>
      </c>
      <c r="I332" s="27" t="s">
        <v>1007</v>
      </c>
      <c r="J332" s="27" t="s">
        <v>1007</v>
      </c>
      <c r="K332" s="27" t="s">
        <v>1007</v>
      </c>
      <c r="L332" s="30">
        <v>60</v>
      </c>
    </row>
    <row r="333" spans="1:12" x14ac:dyDescent="0.25">
      <c r="A333" s="26">
        <v>332</v>
      </c>
      <c r="B333" s="26" t="s">
        <v>512</v>
      </c>
      <c r="C333" s="27" t="s">
        <v>679</v>
      </c>
      <c r="D333" s="27" t="s">
        <v>785</v>
      </c>
      <c r="E333" s="27" t="s">
        <v>759</v>
      </c>
      <c r="F333" s="17" t="s">
        <v>1269</v>
      </c>
      <c r="G333" s="27" t="s">
        <v>912</v>
      </c>
      <c r="H333" s="29">
        <v>42</v>
      </c>
      <c r="I333" s="27" t="s">
        <v>1007</v>
      </c>
      <c r="J333" s="27" t="s">
        <v>1007</v>
      </c>
      <c r="K333" s="27" t="s">
        <v>1007</v>
      </c>
      <c r="L333" s="30">
        <v>60</v>
      </c>
    </row>
    <row r="334" spans="1:12" x14ac:dyDescent="0.25">
      <c r="A334" s="26">
        <v>333</v>
      </c>
      <c r="B334" s="26" t="s">
        <v>527</v>
      </c>
      <c r="C334" s="27" t="s">
        <v>680</v>
      </c>
      <c r="D334" s="27" t="s">
        <v>785</v>
      </c>
      <c r="E334" s="27" t="s">
        <v>759</v>
      </c>
      <c r="F334" s="17">
        <v>908099992</v>
      </c>
      <c r="G334" s="27" t="s">
        <v>912</v>
      </c>
      <c r="H334" s="29">
        <v>42</v>
      </c>
      <c r="I334" s="27" t="s">
        <v>1007</v>
      </c>
      <c r="J334" s="27" t="s">
        <v>1007</v>
      </c>
      <c r="K334" s="27" t="s">
        <v>1007</v>
      </c>
      <c r="L334" s="30">
        <v>60</v>
      </c>
    </row>
    <row r="335" spans="1:12" x14ac:dyDescent="0.25">
      <c r="A335" s="26">
        <v>334</v>
      </c>
      <c r="B335" s="26" t="s">
        <v>513</v>
      </c>
      <c r="C335" s="27" t="s">
        <v>681</v>
      </c>
      <c r="D335" s="27" t="s">
        <v>785</v>
      </c>
      <c r="E335" s="27" t="s">
        <v>759</v>
      </c>
      <c r="F335" s="17" t="s">
        <v>1270</v>
      </c>
      <c r="G335" s="27" t="s">
        <v>912</v>
      </c>
      <c r="H335" s="29">
        <v>42</v>
      </c>
      <c r="I335" s="27" t="s">
        <v>1007</v>
      </c>
      <c r="J335" s="27" t="s">
        <v>1007</v>
      </c>
      <c r="K335" s="27" t="s">
        <v>1007</v>
      </c>
      <c r="L335" s="30">
        <v>60</v>
      </c>
    </row>
    <row r="336" spans="1:12" x14ac:dyDescent="0.25">
      <c r="A336" s="26">
        <v>335</v>
      </c>
      <c r="B336" s="26" t="s">
        <v>165</v>
      </c>
      <c r="C336" s="27" t="s">
        <v>1271</v>
      </c>
      <c r="D336" s="27" t="s">
        <v>768</v>
      </c>
      <c r="E336" s="27" t="s">
        <v>878</v>
      </c>
      <c r="F336" s="17">
        <v>908099992</v>
      </c>
      <c r="G336" s="27" t="s">
        <v>912</v>
      </c>
      <c r="H336" s="29">
        <v>45</v>
      </c>
      <c r="I336" s="27" t="s">
        <v>1223</v>
      </c>
      <c r="J336" s="29">
        <v>13</v>
      </c>
      <c r="K336" s="27" t="s">
        <v>878</v>
      </c>
      <c r="L336" s="30">
        <v>60</v>
      </c>
    </row>
    <row r="337" spans="1:12" x14ac:dyDescent="0.25">
      <c r="A337" s="26">
        <v>336</v>
      </c>
      <c r="B337" s="26" t="s">
        <v>166</v>
      </c>
      <c r="C337" s="27" t="s">
        <v>837</v>
      </c>
      <c r="D337" s="27" t="s">
        <v>768</v>
      </c>
      <c r="E337" s="27" t="s">
        <v>842</v>
      </c>
      <c r="F337" s="17">
        <v>2923823194</v>
      </c>
      <c r="G337" s="27" t="s">
        <v>903</v>
      </c>
      <c r="H337" s="29">
        <v>45</v>
      </c>
      <c r="I337" s="27" t="s">
        <v>929</v>
      </c>
      <c r="J337" s="29">
        <v>30</v>
      </c>
      <c r="K337" s="27" t="s">
        <v>842</v>
      </c>
      <c r="L337" s="30">
        <v>60</v>
      </c>
    </row>
    <row r="338" spans="1:12" x14ac:dyDescent="0.25">
      <c r="A338" s="26">
        <v>337</v>
      </c>
      <c r="B338" s="26" t="s">
        <v>153</v>
      </c>
      <c r="C338" s="27" t="s">
        <v>1272</v>
      </c>
      <c r="D338" s="27" t="s">
        <v>768</v>
      </c>
      <c r="E338" s="27" t="s">
        <v>759</v>
      </c>
      <c r="F338" s="17">
        <v>907670202</v>
      </c>
      <c r="G338" s="27" t="s">
        <v>912</v>
      </c>
      <c r="H338" s="29">
        <v>39</v>
      </c>
      <c r="I338" s="27" t="s">
        <v>934</v>
      </c>
      <c r="J338" s="29">
        <v>12</v>
      </c>
      <c r="K338" s="27" t="s">
        <v>937</v>
      </c>
      <c r="L338" s="30">
        <v>60</v>
      </c>
    </row>
    <row r="339" spans="1:12" x14ac:dyDescent="0.25">
      <c r="A339" s="26">
        <v>338</v>
      </c>
      <c r="B339" s="26" t="s">
        <v>154</v>
      </c>
      <c r="C339" s="27" t="s">
        <v>1273</v>
      </c>
      <c r="D339" s="27" t="s">
        <v>768</v>
      </c>
      <c r="E339" s="27" t="s">
        <v>933</v>
      </c>
      <c r="F339" s="17">
        <v>903303637</v>
      </c>
      <c r="G339" s="27" t="s">
        <v>912</v>
      </c>
      <c r="H339" s="29">
        <v>45</v>
      </c>
      <c r="I339" s="27" t="s">
        <v>934</v>
      </c>
      <c r="J339" s="29">
        <v>12</v>
      </c>
      <c r="K339" s="27" t="s">
        <v>765</v>
      </c>
      <c r="L339" s="30">
        <v>60</v>
      </c>
    </row>
    <row r="340" spans="1:12" x14ac:dyDescent="0.25">
      <c r="A340" s="26">
        <v>339</v>
      </c>
      <c r="B340" s="26" t="s">
        <v>155</v>
      </c>
      <c r="C340" s="27" t="s">
        <v>1274</v>
      </c>
      <c r="D340" s="27" t="s">
        <v>768</v>
      </c>
      <c r="E340" s="27" t="s">
        <v>933</v>
      </c>
      <c r="F340" s="17">
        <v>903303637</v>
      </c>
      <c r="G340" s="27" t="s">
        <v>912</v>
      </c>
      <c r="H340" s="29">
        <v>42</v>
      </c>
      <c r="I340" s="27" t="s">
        <v>934</v>
      </c>
      <c r="J340" s="29">
        <v>12</v>
      </c>
      <c r="K340" s="27" t="s">
        <v>765</v>
      </c>
      <c r="L340" s="30">
        <v>60</v>
      </c>
    </row>
    <row r="341" spans="1:12" x14ac:dyDescent="0.25">
      <c r="A341" s="26">
        <v>340</v>
      </c>
      <c r="B341" s="26" t="s">
        <v>167</v>
      </c>
      <c r="C341" s="27" t="s">
        <v>1275</v>
      </c>
      <c r="D341" s="27" t="s">
        <v>768</v>
      </c>
      <c r="E341" s="27" t="s">
        <v>793</v>
      </c>
      <c r="F341" s="17">
        <v>936738008</v>
      </c>
      <c r="G341" s="27" t="s">
        <v>912</v>
      </c>
      <c r="H341" s="29">
        <v>45</v>
      </c>
      <c r="I341" s="27" t="s">
        <v>934</v>
      </c>
      <c r="J341" s="29">
        <v>12</v>
      </c>
      <c r="K341" s="27" t="s">
        <v>765</v>
      </c>
      <c r="L341" s="30">
        <v>60</v>
      </c>
    </row>
    <row r="342" spans="1:12" x14ac:dyDescent="0.25">
      <c r="A342" s="26">
        <v>341</v>
      </c>
      <c r="B342" s="26" t="s">
        <v>168</v>
      </c>
      <c r="C342" s="27" t="s">
        <v>1276</v>
      </c>
      <c r="D342" s="27" t="s">
        <v>768</v>
      </c>
      <c r="E342" s="27" t="s">
        <v>974</v>
      </c>
      <c r="F342" s="17">
        <v>907291771</v>
      </c>
      <c r="G342" s="27" t="s">
        <v>912</v>
      </c>
      <c r="H342" s="29">
        <v>48</v>
      </c>
      <c r="I342" s="27" t="s">
        <v>934</v>
      </c>
      <c r="J342" s="29">
        <v>12</v>
      </c>
      <c r="K342" s="27" t="s">
        <v>765</v>
      </c>
      <c r="L342" s="30">
        <v>60</v>
      </c>
    </row>
    <row r="343" spans="1:12" x14ac:dyDescent="0.25">
      <c r="A343" s="26">
        <v>342</v>
      </c>
      <c r="B343" s="26" t="s">
        <v>169</v>
      </c>
      <c r="C343" s="27" t="s">
        <v>1277</v>
      </c>
      <c r="D343" s="27" t="s">
        <v>768</v>
      </c>
      <c r="E343" s="27" t="s">
        <v>967</v>
      </c>
      <c r="F343" s="17">
        <v>903460199</v>
      </c>
      <c r="G343" s="27" t="s">
        <v>912</v>
      </c>
      <c r="H343" s="29">
        <v>48</v>
      </c>
      <c r="I343" s="27" t="s">
        <v>934</v>
      </c>
      <c r="J343" s="29">
        <v>12</v>
      </c>
      <c r="K343" s="27" t="s">
        <v>765</v>
      </c>
      <c r="L343" s="30">
        <v>60</v>
      </c>
    </row>
    <row r="344" spans="1:12" x14ac:dyDescent="0.25">
      <c r="A344" s="26">
        <v>343</v>
      </c>
      <c r="B344" s="26" t="s">
        <v>156</v>
      </c>
      <c r="C344" s="27" t="s">
        <v>1278</v>
      </c>
      <c r="D344" s="27" t="s">
        <v>768</v>
      </c>
      <c r="E344" s="27" t="s">
        <v>933</v>
      </c>
      <c r="F344" s="17">
        <v>903303637</v>
      </c>
      <c r="G344" s="27" t="s">
        <v>912</v>
      </c>
      <c r="H344" s="29">
        <v>42</v>
      </c>
      <c r="I344" s="27" t="s">
        <v>934</v>
      </c>
      <c r="J344" s="29">
        <v>12</v>
      </c>
      <c r="K344" s="27" t="s">
        <v>765</v>
      </c>
      <c r="L344" s="30">
        <v>60</v>
      </c>
    </row>
    <row r="345" spans="1:12" x14ac:dyDescent="0.25">
      <c r="A345" s="26">
        <v>344</v>
      </c>
      <c r="B345" s="26" t="s">
        <v>157</v>
      </c>
      <c r="C345" s="27" t="s">
        <v>1279</v>
      </c>
      <c r="D345" s="27" t="s">
        <v>768</v>
      </c>
      <c r="E345" s="27" t="s">
        <v>933</v>
      </c>
      <c r="F345" s="17">
        <v>903303637</v>
      </c>
      <c r="G345" s="27" t="s">
        <v>912</v>
      </c>
      <c r="H345" s="29">
        <v>45</v>
      </c>
      <c r="I345" s="27" t="s">
        <v>934</v>
      </c>
      <c r="J345" s="29">
        <v>12</v>
      </c>
      <c r="K345" s="27" t="s">
        <v>765</v>
      </c>
      <c r="L345" s="30">
        <v>60</v>
      </c>
    </row>
    <row r="346" spans="1:12" x14ac:dyDescent="0.25">
      <c r="A346" s="26">
        <v>345</v>
      </c>
      <c r="B346" s="26" t="s">
        <v>170</v>
      </c>
      <c r="C346" s="27" t="s">
        <v>1280</v>
      </c>
      <c r="D346" s="27" t="s">
        <v>768</v>
      </c>
      <c r="E346" s="27" t="s">
        <v>974</v>
      </c>
      <c r="F346" s="17">
        <v>907291771</v>
      </c>
      <c r="G346" s="27" t="s">
        <v>912</v>
      </c>
      <c r="H346" s="29">
        <v>45</v>
      </c>
      <c r="I346" s="27" t="s">
        <v>934</v>
      </c>
      <c r="J346" s="29">
        <v>12</v>
      </c>
      <c r="K346" s="27" t="s">
        <v>765</v>
      </c>
      <c r="L346" s="30">
        <v>60</v>
      </c>
    </row>
    <row r="347" spans="1:12" x14ac:dyDescent="0.25">
      <c r="A347" s="26">
        <v>346</v>
      </c>
      <c r="B347" s="26" t="s">
        <v>171</v>
      </c>
      <c r="C347" s="27" t="s">
        <v>1281</v>
      </c>
      <c r="D347" s="27" t="s">
        <v>768</v>
      </c>
      <c r="E347" s="27" t="s">
        <v>933</v>
      </c>
      <c r="F347" s="17">
        <v>903303637</v>
      </c>
      <c r="G347" s="27" t="s">
        <v>912</v>
      </c>
      <c r="H347" s="29">
        <v>45</v>
      </c>
      <c r="I347" s="27" t="s">
        <v>934</v>
      </c>
      <c r="J347" s="29">
        <v>12</v>
      </c>
      <c r="K347" s="27" t="s">
        <v>765</v>
      </c>
      <c r="L347" s="30">
        <v>60</v>
      </c>
    </row>
    <row r="348" spans="1:12" x14ac:dyDescent="0.25">
      <c r="A348" s="26">
        <v>347</v>
      </c>
      <c r="B348" s="26" t="s">
        <v>172</v>
      </c>
      <c r="C348" s="27" t="s">
        <v>1282</v>
      </c>
      <c r="D348" s="27" t="s">
        <v>768</v>
      </c>
      <c r="E348" s="27" t="s">
        <v>933</v>
      </c>
      <c r="F348" s="17">
        <v>903303637</v>
      </c>
      <c r="G348" s="27" t="s">
        <v>912</v>
      </c>
      <c r="H348" s="29">
        <v>42</v>
      </c>
      <c r="I348" s="27" t="s">
        <v>934</v>
      </c>
      <c r="J348" s="29">
        <v>12</v>
      </c>
      <c r="K348" s="27" t="s">
        <v>765</v>
      </c>
      <c r="L348" s="30">
        <v>60</v>
      </c>
    </row>
    <row r="349" spans="1:12" x14ac:dyDescent="0.25">
      <c r="A349" s="26">
        <v>348</v>
      </c>
      <c r="B349" s="26" t="s">
        <v>173</v>
      </c>
      <c r="C349" s="27" t="s">
        <v>1283</v>
      </c>
      <c r="D349" s="27" t="s">
        <v>768</v>
      </c>
      <c r="E349" s="27" t="s">
        <v>771</v>
      </c>
      <c r="F349" s="17">
        <v>939185125</v>
      </c>
      <c r="G349" s="27" t="s">
        <v>912</v>
      </c>
      <c r="H349" s="29">
        <v>42</v>
      </c>
      <c r="I349" s="27" t="s">
        <v>934</v>
      </c>
      <c r="J349" s="29">
        <v>12</v>
      </c>
      <c r="K349" s="27" t="s">
        <v>765</v>
      </c>
      <c r="L349" s="30">
        <v>60</v>
      </c>
    </row>
    <row r="350" spans="1:12" x14ac:dyDescent="0.25">
      <c r="A350" s="26">
        <v>349</v>
      </c>
      <c r="B350" s="26" t="s">
        <v>174</v>
      </c>
      <c r="C350" s="27" t="s">
        <v>1284</v>
      </c>
      <c r="D350" s="27" t="s">
        <v>768</v>
      </c>
      <c r="E350" s="27" t="s">
        <v>974</v>
      </c>
      <c r="F350" s="17">
        <v>907291771</v>
      </c>
      <c r="G350" s="27" t="s">
        <v>912</v>
      </c>
      <c r="H350" s="29">
        <v>45</v>
      </c>
      <c r="I350" s="27" t="s">
        <v>934</v>
      </c>
      <c r="J350" s="29">
        <v>12</v>
      </c>
      <c r="K350" s="27" t="s">
        <v>765</v>
      </c>
      <c r="L350" s="30">
        <v>60</v>
      </c>
    </row>
    <row r="351" spans="1:12" x14ac:dyDescent="0.25">
      <c r="A351" s="26">
        <v>350</v>
      </c>
      <c r="B351" s="26" t="s">
        <v>175</v>
      </c>
      <c r="C351" s="27" t="s">
        <v>1285</v>
      </c>
      <c r="D351" s="27" t="s">
        <v>768</v>
      </c>
      <c r="E351" s="27" t="s">
        <v>878</v>
      </c>
      <c r="F351" s="17">
        <v>908099992</v>
      </c>
      <c r="G351" s="27" t="s">
        <v>912</v>
      </c>
      <c r="H351" s="29">
        <v>45</v>
      </c>
      <c r="I351" s="27" t="s">
        <v>931</v>
      </c>
      <c r="J351" s="29">
        <v>12</v>
      </c>
      <c r="K351" s="27" t="s">
        <v>878</v>
      </c>
      <c r="L351" s="30">
        <v>60</v>
      </c>
    </row>
    <row r="352" spans="1:12" x14ac:dyDescent="0.25">
      <c r="A352" s="26">
        <v>351</v>
      </c>
      <c r="B352" s="26" t="s">
        <v>158</v>
      </c>
      <c r="C352" s="27" t="s">
        <v>1286</v>
      </c>
      <c r="D352" s="27" t="s">
        <v>768</v>
      </c>
      <c r="E352" s="27" t="s">
        <v>878</v>
      </c>
      <c r="F352" s="17">
        <v>908099992</v>
      </c>
      <c r="G352" s="27" t="s">
        <v>912</v>
      </c>
      <c r="H352" s="29">
        <v>45</v>
      </c>
      <c r="I352" s="27" t="s">
        <v>965</v>
      </c>
      <c r="J352" s="29">
        <v>15</v>
      </c>
      <c r="K352" s="27" t="s">
        <v>878</v>
      </c>
      <c r="L352" s="30">
        <v>60</v>
      </c>
    </row>
    <row r="353" spans="1:12" x14ac:dyDescent="0.25">
      <c r="A353" s="26">
        <v>352</v>
      </c>
      <c r="B353" s="26" t="s">
        <v>176</v>
      </c>
      <c r="C353" s="27" t="s">
        <v>1287</v>
      </c>
      <c r="D353" s="27" t="s">
        <v>768</v>
      </c>
      <c r="E353" s="27" t="s">
        <v>878</v>
      </c>
      <c r="F353" s="17">
        <v>908099992</v>
      </c>
      <c r="G353" s="27" t="s">
        <v>912</v>
      </c>
      <c r="H353" s="29">
        <v>45</v>
      </c>
      <c r="I353" s="27" t="s">
        <v>952</v>
      </c>
      <c r="J353" s="29">
        <v>12.5</v>
      </c>
      <c r="K353" s="27" t="s">
        <v>878</v>
      </c>
      <c r="L353" s="30">
        <v>60</v>
      </c>
    </row>
    <row r="354" spans="1:12" x14ac:dyDescent="0.25">
      <c r="A354" s="26">
        <v>353</v>
      </c>
      <c r="B354" s="26" t="s">
        <v>177</v>
      </c>
      <c r="C354" s="27" t="s">
        <v>1288</v>
      </c>
      <c r="D354" s="27" t="s">
        <v>768</v>
      </c>
      <c r="E354" s="27" t="s">
        <v>774</v>
      </c>
      <c r="F354" s="17">
        <v>907498282</v>
      </c>
      <c r="G354" s="27" t="s">
        <v>912</v>
      </c>
      <c r="H354" s="29">
        <v>42</v>
      </c>
      <c r="I354" s="27" t="s">
        <v>1024</v>
      </c>
      <c r="J354" s="29">
        <v>12</v>
      </c>
      <c r="K354" s="27" t="s">
        <v>765</v>
      </c>
      <c r="L354" s="30">
        <v>60</v>
      </c>
    </row>
    <row r="355" spans="1:12" x14ac:dyDescent="0.25">
      <c r="A355" s="26">
        <v>354</v>
      </c>
      <c r="B355" s="26" t="s">
        <v>178</v>
      </c>
      <c r="C355" s="27" t="s">
        <v>1289</v>
      </c>
      <c r="D355" s="27" t="s">
        <v>768</v>
      </c>
      <c r="E355" s="27" t="s">
        <v>878</v>
      </c>
      <c r="F355" s="17">
        <v>908099992</v>
      </c>
      <c r="G355" s="27" t="s">
        <v>912</v>
      </c>
      <c r="H355" s="29">
        <v>45</v>
      </c>
      <c r="I355" s="27" t="s">
        <v>1223</v>
      </c>
      <c r="J355" s="29">
        <v>13</v>
      </c>
      <c r="K355" s="27" t="s">
        <v>878</v>
      </c>
      <c r="L355" s="30">
        <v>60</v>
      </c>
    </row>
    <row r="356" spans="1:12" x14ac:dyDescent="0.25">
      <c r="A356" s="26">
        <v>355</v>
      </c>
      <c r="B356" s="26" t="s">
        <v>179</v>
      </c>
      <c r="C356" s="27" t="s">
        <v>1290</v>
      </c>
      <c r="D356" s="27" t="s">
        <v>768</v>
      </c>
      <c r="E356" s="27" t="s">
        <v>772</v>
      </c>
      <c r="F356" s="17">
        <v>907729992</v>
      </c>
      <c r="G356" s="27" t="s">
        <v>912</v>
      </c>
      <c r="H356" s="29">
        <v>42</v>
      </c>
      <c r="I356" s="27" t="s">
        <v>934</v>
      </c>
      <c r="J356" s="29">
        <v>12</v>
      </c>
      <c r="K356" s="27" t="s">
        <v>765</v>
      </c>
      <c r="L356" s="30">
        <v>60</v>
      </c>
    </row>
    <row r="357" spans="1:12" x14ac:dyDescent="0.25">
      <c r="A357" s="26">
        <v>356</v>
      </c>
      <c r="B357" s="26" t="s">
        <v>180</v>
      </c>
      <c r="C357" s="27" t="s">
        <v>1291</v>
      </c>
      <c r="D357" s="27" t="s">
        <v>768</v>
      </c>
      <c r="E357" s="27" t="s">
        <v>772</v>
      </c>
      <c r="F357" s="17">
        <v>907729992</v>
      </c>
      <c r="G357" s="27" t="s">
        <v>912</v>
      </c>
      <c r="H357" s="29">
        <v>42</v>
      </c>
      <c r="I357" s="27" t="s">
        <v>934</v>
      </c>
      <c r="J357" s="29">
        <v>12</v>
      </c>
      <c r="K357" s="27" t="s">
        <v>765</v>
      </c>
      <c r="L357" s="30">
        <v>60</v>
      </c>
    </row>
    <row r="358" spans="1:12" x14ac:dyDescent="0.25">
      <c r="A358" s="26">
        <v>357</v>
      </c>
      <c r="B358" s="26" t="s">
        <v>181</v>
      </c>
      <c r="C358" s="27" t="s">
        <v>1292</v>
      </c>
      <c r="D358" s="27" t="s">
        <v>768</v>
      </c>
      <c r="E358" s="27" t="s">
        <v>772</v>
      </c>
      <c r="F358" s="17">
        <v>907729992</v>
      </c>
      <c r="G358" s="27" t="s">
        <v>912</v>
      </c>
      <c r="H358" s="29">
        <v>42</v>
      </c>
      <c r="I358" s="27" t="s">
        <v>934</v>
      </c>
      <c r="J358" s="29">
        <v>12</v>
      </c>
      <c r="K358" s="27" t="s">
        <v>765</v>
      </c>
      <c r="L358" s="30">
        <v>60</v>
      </c>
    </row>
    <row r="359" spans="1:12" x14ac:dyDescent="0.25">
      <c r="A359" s="26">
        <v>358</v>
      </c>
      <c r="B359" s="26" t="s">
        <v>182</v>
      </c>
      <c r="C359" s="27" t="s">
        <v>1293</v>
      </c>
      <c r="D359" s="27" t="s">
        <v>768</v>
      </c>
      <c r="E359" s="27" t="s">
        <v>772</v>
      </c>
      <c r="F359" s="17">
        <v>907729992</v>
      </c>
      <c r="G359" s="27" t="s">
        <v>912</v>
      </c>
      <c r="H359" s="29">
        <v>42</v>
      </c>
      <c r="I359" s="27" t="s">
        <v>934</v>
      </c>
      <c r="J359" s="29">
        <v>12</v>
      </c>
      <c r="K359" s="27" t="s">
        <v>765</v>
      </c>
      <c r="L359" s="30">
        <v>60</v>
      </c>
    </row>
    <row r="360" spans="1:12" x14ac:dyDescent="0.25">
      <c r="A360" s="26">
        <v>359</v>
      </c>
      <c r="B360" s="26" t="s">
        <v>183</v>
      </c>
      <c r="C360" s="27" t="s">
        <v>1294</v>
      </c>
      <c r="D360" s="27" t="s">
        <v>768</v>
      </c>
      <c r="E360" s="27" t="s">
        <v>933</v>
      </c>
      <c r="F360" s="17">
        <v>903303637</v>
      </c>
      <c r="G360" s="27" t="s">
        <v>912</v>
      </c>
      <c r="H360" s="29">
        <v>42</v>
      </c>
      <c r="I360" s="27" t="s">
        <v>934</v>
      </c>
      <c r="J360" s="29">
        <v>12</v>
      </c>
      <c r="K360" s="27" t="s">
        <v>765</v>
      </c>
      <c r="L360" s="30">
        <v>60</v>
      </c>
    </row>
    <row r="361" spans="1:12" x14ac:dyDescent="0.25">
      <c r="A361" s="26">
        <v>360</v>
      </c>
      <c r="B361" s="26" t="s">
        <v>184</v>
      </c>
      <c r="C361" s="27" t="s">
        <v>1295</v>
      </c>
      <c r="D361" s="27" t="s">
        <v>768</v>
      </c>
      <c r="E361" s="27" t="s">
        <v>878</v>
      </c>
      <c r="F361" s="17">
        <v>908099992</v>
      </c>
      <c r="G361" s="27" t="s">
        <v>912</v>
      </c>
      <c r="H361" s="29">
        <v>45</v>
      </c>
      <c r="I361" s="27" t="s">
        <v>981</v>
      </c>
      <c r="J361" s="29">
        <v>8</v>
      </c>
      <c r="K361" s="27" t="s">
        <v>878</v>
      </c>
      <c r="L361" s="30">
        <v>60</v>
      </c>
    </row>
    <row r="362" spans="1:12" x14ac:dyDescent="0.25">
      <c r="A362" s="26">
        <v>361</v>
      </c>
      <c r="B362" s="26" t="s">
        <v>185</v>
      </c>
      <c r="C362" s="27" t="s">
        <v>1296</v>
      </c>
      <c r="D362" s="27" t="s">
        <v>768</v>
      </c>
      <c r="E362" s="27" t="s">
        <v>772</v>
      </c>
      <c r="F362" s="17">
        <v>907729992</v>
      </c>
      <c r="G362" s="27" t="s">
        <v>912</v>
      </c>
      <c r="H362" s="29">
        <v>42</v>
      </c>
      <c r="I362" s="27" t="s">
        <v>934</v>
      </c>
      <c r="J362" s="29">
        <v>12</v>
      </c>
      <c r="K362" s="27" t="s">
        <v>765</v>
      </c>
      <c r="L362" s="30">
        <v>60</v>
      </c>
    </row>
    <row r="363" spans="1:12" x14ac:dyDescent="0.25">
      <c r="A363" s="26">
        <v>362</v>
      </c>
      <c r="B363" s="26" t="s">
        <v>186</v>
      </c>
      <c r="C363" s="27" t="s">
        <v>1297</v>
      </c>
      <c r="D363" s="27" t="s">
        <v>768</v>
      </c>
      <c r="E363" s="27" t="s">
        <v>772</v>
      </c>
      <c r="F363" s="17">
        <v>907729992</v>
      </c>
      <c r="G363" s="27" t="s">
        <v>912</v>
      </c>
      <c r="H363" s="29">
        <v>42</v>
      </c>
      <c r="I363" s="27" t="s">
        <v>934</v>
      </c>
      <c r="J363" s="29">
        <v>12</v>
      </c>
      <c r="K363" s="27" t="s">
        <v>765</v>
      </c>
      <c r="L363" s="30">
        <v>60</v>
      </c>
    </row>
    <row r="364" spans="1:12" x14ac:dyDescent="0.25">
      <c r="A364" s="26">
        <v>363</v>
      </c>
      <c r="B364" s="26" t="s">
        <v>163</v>
      </c>
      <c r="C364" s="27" t="s">
        <v>1298</v>
      </c>
      <c r="D364" s="27" t="s">
        <v>768</v>
      </c>
      <c r="E364" s="27" t="s">
        <v>878</v>
      </c>
      <c r="F364" s="17">
        <v>908099992</v>
      </c>
      <c r="G364" s="27" t="s">
        <v>912</v>
      </c>
      <c r="H364" s="29">
        <v>45</v>
      </c>
      <c r="I364" s="27" t="s">
        <v>927</v>
      </c>
      <c r="J364" s="29">
        <v>8</v>
      </c>
      <c r="K364" s="27" t="s">
        <v>878</v>
      </c>
      <c r="L364" s="30">
        <v>60</v>
      </c>
    </row>
    <row r="365" spans="1:12" x14ac:dyDescent="0.25">
      <c r="A365" s="26">
        <v>364</v>
      </c>
      <c r="B365" s="26" t="s">
        <v>164</v>
      </c>
      <c r="C365" s="27" t="s">
        <v>1299</v>
      </c>
      <c r="D365" s="27" t="s">
        <v>768</v>
      </c>
      <c r="E365" s="27" t="s">
        <v>842</v>
      </c>
      <c r="F365" s="17">
        <v>908099992</v>
      </c>
      <c r="G365" s="27" t="s">
        <v>912</v>
      </c>
      <c r="H365" s="29">
        <v>45</v>
      </c>
      <c r="I365" s="27" t="s">
        <v>927</v>
      </c>
      <c r="J365" s="29">
        <v>12</v>
      </c>
      <c r="K365" s="27" t="s">
        <v>878</v>
      </c>
      <c r="L365" s="30">
        <v>60</v>
      </c>
    </row>
    <row r="366" spans="1:12" x14ac:dyDescent="0.25">
      <c r="A366" s="26">
        <v>365</v>
      </c>
      <c r="B366" s="26" t="s">
        <v>418</v>
      </c>
      <c r="C366" s="27" t="s">
        <v>1300</v>
      </c>
      <c r="D366" s="27" t="s">
        <v>768</v>
      </c>
      <c r="E366" s="27" t="s">
        <v>759</v>
      </c>
      <c r="F366" s="17">
        <v>932865888</v>
      </c>
      <c r="G366" s="27" t="s">
        <v>912</v>
      </c>
      <c r="H366" s="29">
        <v>42</v>
      </c>
      <c r="I366" s="27" t="s">
        <v>1007</v>
      </c>
      <c r="J366" s="27" t="s">
        <v>1007</v>
      </c>
      <c r="K366" s="27" t="s">
        <v>1007</v>
      </c>
      <c r="L366" s="30">
        <v>60</v>
      </c>
    </row>
    <row r="367" spans="1:12" x14ac:dyDescent="0.25">
      <c r="A367" s="26">
        <v>366</v>
      </c>
      <c r="B367" s="26" t="s">
        <v>486</v>
      </c>
      <c r="C367" s="27" t="s">
        <v>688</v>
      </c>
      <c r="D367" s="27" t="s">
        <v>768</v>
      </c>
      <c r="E367" s="27" t="s">
        <v>757</v>
      </c>
      <c r="F367" s="17">
        <v>931920679</v>
      </c>
      <c r="G367" s="27" t="s">
        <v>912</v>
      </c>
      <c r="H367" s="29">
        <v>42</v>
      </c>
      <c r="I367" s="27" t="s">
        <v>1006</v>
      </c>
      <c r="J367" s="27" t="s">
        <v>1007</v>
      </c>
      <c r="K367" s="27" t="s">
        <v>1006</v>
      </c>
      <c r="L367" s="30">
        <v>60</v>
      </c>
    </row>
    <row r="368" spans="1:12" x14ac:dyDescent="0.25">
      <c r="A368" s="26">
        <v>367</v>
      </c>
      <c r="B368" s="26" t="s">
        <v>480</v>
      </c>
      <c r="C368" s="27" t="s">
        <v>689</v>
      </c>
      <c r="D368" s="27" t="s">
        <v>768</v>
      </c>
      <c r="E368" s="27" t="s">
        <v>757</v>
      </c>
      <c r="F368" s="17">
        <v>931920679</v>
      </c>
      <c r="G368" s="27" t="s">
        <v>912</v>
      </c>
      <c r="H368" s="29">
        <v>42</v>
      </c>
      <c r="I368" s="27" t="s">
        <v>1006</v>
      </c>
      <c r="J368" s="27" t="s">
        <v>1007</v>
      </c>
      <c r="K368" s="27" t="s">
        <v>1006</v>
      </c>
      <c r="L368" s="30">
        <v>60</v>
      </c>
    </row>
    <row r="369" spans="1:12" x14ac:dyDescent="0.25">
      <c r="A369" s="26">
        <v>368</v>
      </c>
      <c r="B369" s="26" t="s">
        <v>500</v>
      </c>
      <c r="C369" s="27" t="s">
        <v>690</v>
      </c>
      <c r="D369" s="27" t="s">
        <v>768</v>
      </c>
      <c r="E369" s="27" t="s">
        <v>757</v>
      </c>
      <c r="F369" s="17">
        <v>931920679</v>
      </c>
      <c r="G369" s="27" t="s">
        <v>912</v>
      </c>
      <c r="H369" s="29">
        <v>42</v>
      </c>
      <c r="I369" s="27" t="s">
        <v>1006</v>
      </c>
      <c r="J369" s="27" t="s">
        <v>1007</v>
      </c>
      <c r="K369" s="27" t="s">
        <v>1006</v>
      </c>
      <c r="L369" s="30">
        <v>60</v>
      </c>
    </row>
    <row r="370" spans="1:12" x14ac:dyDescent="0.25">
      <c r="A370" s="26">
        <v>369</v>
      </c>
      <c r="B370" s="26" t="s">
        <v>479</v>
      </c>
      <c r="C370" s="27" t="s">
        <v>691</v>
      </c>
      <c r="D370" s="27" t="s">
        <v>768</v>
      </c>
      <c r="E370" s="27" t="s">
        <v>759</v>
      </c>
      <c r="F370" s="17">
        <v>939227474</v>
      </c>
      <c r="G370" s="27" t="s">
        <v>912</v>
      </c>
      <c r="H370" s="29">
        <v>42</v>
      </c>
      <c r="I370" s="27" t="s">
        <v>1007</v>
      </c>
      <c r="J370" s="27" t="s">
        <v>1007</v>
      </c>
      <c r="K370" s="27" t="s">
        <v>1007</v>
      </c>
      <c r="L370" s="30">
        <v>60</v>
      </c>
    </row>
    <row r="371" spans="1:12" x14ac:dyDescent="0.25">
      <c r="A371" s="26">
        <v>370</v>
      </c>
      <c r="B371" s="26" t="s">
        <v>487</v>
      </c>
      <c r="C371" s="27" t="s">
        <v>692</v>
      </c>
      <c r="D371" s="27" t="s">
        <v>768</v>
      </c>
      <c r="E371" s="27" t="s">
        <v>759</v>
      </c>
      <c r="F371" s="17">
        <v>908099992</v>
      </c>
      <c r="G371" s="27" t="s">
        <v>912</v>
      </c>
      <c r="H371" s="29">
        <v>42</v>
      </c>
      <c r="I371" s="27" t="s">
        <v>1007</v>
      </c>
      <c r="J371" s="27" t="s">
        <v>1007</v>
      </c>
      <c r="K371" s="27" t="s">
        <v>1007</v>
      </c>
      <c r="L371" s="30">
        <v>60</v>
      </c>
    </row>
    <row r="372" spans="1:12" x14ac:dyDescent="0.25">
      <c r="A372" s="26">
        <v>371</v>
      </c>
      <c r="B372" s="26" t="s">
        <v>488</v>
      </c>
      <c r="C372" s="27" t="s">
        <v>693</v>
      </c>
      <c r="D372" s="27" t="s">
        <v>768</v>
      </c>
      <c r="E372" s="27" t="s">
        <v>759</v>
      </c>
      <c r="F372" s="17">
        <v>908099992</v>
      </c>
      <c r="G372" s="27" t="s">
        <v>912</v>
      </c>
      <c r="H372" s="29">
        <v>42</v>
      </c>
      <c r="I372" s="27" t="s">
        <v>1007</v>
      </c>
      <c r="J372" s="27" t="s">
        <v>1007</v>
      </c>
      <c r="K372" s="27" t="s">
        <v>1007</v>
      </c>
      <c r="L372" s="30">
        <v>60</v>
      </c>
    </row>
    <row r="373" spans="1:12" x14ac:dyDescent="0.25">
      <c r="A373" s="26">
        <v>372</v>
      </c>
      <c r="B373" s="26" t="s">
        <v>499</v>
      </c>
      <c r="C373" s="27" t="s">
        <v>694</v>
      </c>
      <c r="D373" s="27" t="s">
        <v>768</v>
      </c>
      <c r="E373" s="27" t="s">
        <v>759</v>
      </c>
      <c r="F373" s="17" t="s">
        <v>1301</v>
      </c>
      <c r="G373" s="27" t="s">
        <v>912</v>
      </c>
      <c r="H373" s="29">
        <v>42</v>
      </c>
      <c r="I373" s="27" t="s">
        <v>1007</v>
      </c>
      <c r="J373" s="27" t="s">
        <v>1007</v>
      </c>
      <c r="K373" s="27" t="s">
        <v>1007</v>
      </c>
      <c r="L373" s="30">
        <v>60</v>
      </c>
    </row>
    <row r="374" spans="1:12" x14ac:dyDescent="0.25">
      <c r="A374" s="26">
        <v>373</v>
      </c>
      <c r="B374" s="26" t="s">
        <v>544</v>
      </c>
      <c r="C374" s="27" t="s">
        <v>695</v>
      </c>
      <c r="D374" s="27" t="s">
        <v>768</v>
      </c>
      <c r="E374" s="27" t="s">
        <v>757</v>
      </c>
      <c r="F374" s="17">
        <v>931920679</v>
      </c>
      <c r="G374" s="27" t="s">
        <v>912</v>
      </c>
      <c r="H374" s="29">
        <v>42</v>
      </c>
      <c r="I374" s="27" t="s">
        <v>1006</v>
      </c>
      <c r="J374" s="27" t="s">
        <v>1007</v>
      </c>
      <c r="K374" s="27" t="s">
        <v>1006</v>
      </c>
      <c r="L374" s="30">
        <v>60</v>
      </c>
    </row>
    <row r="375" spans="1:12" x14ac:dyDescent="0.25">
      <c r="A375" s="26">
        <v>374</v>
      </c>
      <c r="B375" s="26" t="s">
        <v>489</v>
      </c>
      <c r="C375" s="27" t="s">
        <v>696</v>
      </c>
      <c r="D375" s="27" t="s">
        <v>768</v>
      </c>
      <c r="E375" s="27" t="s">
        <v>759</v>
      </c>
      <c r="F375" s="17">
        <v>938862839</v>
      </c>
      <c r="G375" s="27" t="s">
        <v>912</v>
      </c>
      <c r="H375" s="29">
        <v>42</v>
      </c>
      <c r="I375" s="27" t="s">
        <v>1007</v>
      </c>
      <c r="J375" s="27" t="s">
        <v>1007</v>
      </c>
      <c r="K375" s="27" t="s">
        <v>1007</v>
      </c>
      <c r="L375" s="30">
        <v>60</v>
      </c>
    </row>
    <row r="376" spans="1:12" x14ac:dyDescent="0.25">
      <c r="A376" s="26">
        <v>375</v>
      </c>
      <c r="B376" s="26" t="s">
        <v>529</v>
      </c>
      <c r="C376" s="27" t="s">
        <v>697</v>
      </c>
      <c r="D376" s="27" t="s">
        <v>768</v>
      </c>
      <c r="E376" s="27" t="s">
        <v>759</v>
      </c>
      <c r="F376" s="17">
        <v>908099992</v>
      </c>
      <c r="G376" s="27" t="s">
        <v>912</v>
      </c>
      <c r="H376" s="29">
        <v>42</v>
      </c>
      <c r="I376" s="27" t="s">
        <v>1007</v>
      </c>
      <c r="J376" s="27" t="s">
        <v>1007</v>
      </c>
      <c r="K376" s="27" t="s">
        <v>1007</v>
      </c>
      <c r="L376" s="30">
        <v>60</v>
      </c>
    </row>
    <row r="377" spans="1:12" x14ac:dyDescent="0.25">
      <c r="A377" s="26">
        <v>376</v>
      </c>
      <c r="B377" s="26" t="s">
        <v>528</v>
      </c>
      <c r="C377" s="27" t="s">
        <v>698</v>
      </c>
      <c r="D377" s="27" t="s">
        <v>768</v>
      </c>
      <c r="E377" s="27" t="s">
        <v>759</v>
      </c>
      <c r="F377" s="17">
        <v>937371087</v>
      </c>
      <c r="G377" s="27" t="s">
        <v>912</v>
      </c>
      <c r="H377" s="29">
        <v>42</v>
      </c>
      <c r="I377" s="27" t="s">
        <v>1007</v>
      </c>
      <c r="J377" s="27" t="s">
        <v>1007</v>
      </c>
      <c r="K377" s="27" t="s">
        <v>1007</v>
      </c>
      <c r="L377" s="30">
        <v>60</v>
      </c>
    </row>
    <row r="378" spans="1:12" x14ac:dyDescent="0.25">
      <c r="A378" s="26">
        <v>377</v>
      </c>
      <c r="B378" s="26" t="s">
        <v>239</v>
      </c>
      <c r="C378" s="27" t="s">
        <v>1302</v>
      </c>
      <c r="D378" s="27" t="s">
        <v>777</v>
      </c>
      <c r="E378" s="27" t="s">
        <v>878</v>
      </c>
      <c r="F378" s="17">
        <v>909102726</v>
      </c>
      <c r="G378" s="27" t="s">
        <v>912</v>
      </c>
      <c r="H378" s="29">
        <v>45</v>
      </c>
      <c r="I378" s="27" t="s">
        <v>1223</v>
      </c>
      <c r="J378" s="29">
        <v>13</v>
      </c>
      <c r="K378" s="27" t="s">
        <v>878</v>
      </c>
      <c r="L378" s="30">
        <v>60</v>
      </c>
    </row>
    <row r="379" spans="1:12" x14ac:dyDescent="0.25">
      <c r="A379" s="26">
        <v>378</v>
      </c>
      <c r="B379" s="26" t="s">
        <v>240</v>
      </c>
      <c r="C379" s="27" t="s">
        <v>1303</v>
      </c>
      <c r="D379" s="27" t="s">
        <v>777</v>
      </c>
      <c r="E379" s="27" t="s">
        <v>878</v>
      </c>
      <c r="F379" s="17">
        <v>939483976</v>
      </c>
      <c r="G379" s="27" t="s">
        <v>912</v>
      </c>
      <c r="H379" s="29">
        <v>45</v>
      </c>
      <c r="I379" s="27" t="s">
        <v>986</v>
      </c>
      <c r="J379" s="29">
        <v>8</v>
      </c>
      <c r="K379" s="27" t="s">
        <v>878</v>
      </c>
      <c r="L379" s="30">
        <v>60</v>
      </c>
    </row>
    <row r="380" spans="1:12" x14ac:dyDescent="0.25">
      <c r="A380" s="26">
        <v>379</v>
      </c>
      <c r="B380" s="26" t="s">
        <v>241</v>
      </c>
      <c r="C380" s="27" t="s">
        <v>1304</v>
      </c>
      <c r="D380" s="27" t="s">
        <v>777</v>
      </c>
      <c r="E380" s="27" t="s">
        <v>974</v>
      </c>
      <c r="F380" s="17">
        <v>907291771</v>
      </c>
      <c r="G380" s="27" t="s">
        <v>912</v>
      </c>
      <c r="H380" s="29">
        <v>45</v>
      </c>
      <c r="I380" s="27" t="s">
        <v>934</v>
      </c>
      <c r="J380" s="29">
        <v>12</v>
      </c>
      <c r="K380" s="27" t="s">
        <v>765</v>
      </c>
      <c r="L380" s="30">
        <v>60</v>
      </c>
    </row>
    <row r="381" spans="1:12" x14ac:dyDescent="0.25">
      <c r="A381" s="26">
        <v>380</v>
      </c>
      <c r="B381" s="26" t="s">
        <v>242</v>
      </c>
      <c r="C381" s="27" t="s">
        <v>1305</v>
      </c>
      <c r="D381" s="27" t="s">
        <v>777</v>
      </c>
      <c r="E381" s="27" t="s">
        <v>772</v>
      </c>
      <c r="F381" s="17">
        <v>949984983</v>
      </c>
      <c r="G381" s="27" t="s">
        <v>912</v>
      </c>
      <c r="H381" s="29">
        <v>39</v>
      </c>
      <c r="I381" s="27" t="s">
        <v>934</v>
      </c>
      <c r="J381" s="29">
        <v>12</v>
      </c>
      <c r="K381" s="27" t="s">
        <v>765</v>
      </c>
      <c r="L381" s="30">
        <v>60</v>
      </c>
    </row>
    <row r="382" spans="1:12" x14ac:dyDescent="0.25">
      <c r="A382" s="26">
        <v>381</v>
      </c>
      <c r="B382" s="26" t="s">
        <v>243</v>
      </c>
      <c r="C382" s="27" t="s">
        <v>1306</v>
      </c>
      <c r="D382" s="27" t="s">
        <v>777</v>
      </c>
      <c r="E382" s="27" t="s">
        <v>772</v>
      </c>
      <c r="F382" s="17">
        <v>1222897995</v>
      </c>
      <c r="G382" s="27" t="s">
        <v>912</v>
      </c>
      <c r="H382" s="29">
        <v>39</v>
      </c>
      <c r="I382" s="27" t="s">
        <v>934</v>
      </c>
      <c r="J382" s="29">
        <v>12</v>
      </c>
      <c r="K382" s="27" t="s">
        <v>765</v>
      </c>
      <c r="L382" s="30">
        <v>60</v>
      </c>
    </row>
    <row r="383" spans="1:12" x14ac:dyDescent="0.25">
      <c r="A383" s="26">
        <v>382</v>
      </c>
      <c r="B383" s="26" t="s">
        <v>244</v>
      </c>
      <c r="C383" s="27" t="s">
        <v>1307</v>
      </c>
      <c r="D383" s="27" t="s">
        <v>777</v>
      </c>
      <c r="E383" s="27" t="s">
        <v>772</v>
      </c>
      <c r="F383" s="17">
        <v>907729992</v>
      </c>
      <c r="G383" s="27" t="s">
        <v>912</v>
      </c>
      <c r="H383" s="29">
        <v>42</v>
      </c>
      <c r="I383" s="27" t="s">
        <v>934</v>
      </c>
      <c r="J383" s="29">
        <v>12</v>
      </c>
      <c r="K383" s="27" t="s">
        <v>765</v>
      </c>
      <c r="L383" s="30">
        <v>60</v>
      </c>
    </row>
    <row r="384" spans="1:12" x14ac:dyDescent="0.25">
      <c r="A384" s="26">
        <v>383</v>
      </c>
      <c r="B384" s="26" t="s">
        <v>245</v>
      </c>
      <c r="C384" s="27" t="s">
        <v>1308</v>
      </c>
      <c r="D384" s="27" t="s">
        <v>777</v>
      </c>
      <c r="E384" s="27" t="s">
        <v>933</v>
      </c>
      <c r="F384" s="17">
        <v>903303637</v>
      </c>
      <c r="G384" s="27" t="s">
        <v>912</v>
      </c>
      <c r="H384" s="29">
        <v>42</v>
      </c>
      <c r="I384" s="27" t="s">
        <v>934</v>
      </c>
      <c r="J384" s="29">
        <v>12</v>
      </c>
      <c r="K384" s="27" t="s">
        <v>765</v>
      </c>
      <c r="L384" s="30">
        <v>60</v>
      </c>
    </row>
    <row r="385" spans="1:12" x14ac:dyDescent="0.25">
      <c r="A385" s="26">
        <v>384</v>
      </c>
      <c r="B385" s="26" t="s">
        <v>246</v>
      </c>
      <c r="C385" s="27" t="s">
        <v>1309</v>
      </c>
      <c r="D385" s="27" t="s">
        <v>777</v>
      </c>
      <c r="E385" s="27" t="s">
        <v>772</v>
      </c>
      <c r="F385" s="17">
        <v>1658850588</v>
      </c>
      <c r="G385" s="27" t="s">
        <v>912</v>
      </c>
      <c r="H385" s="29">
        <v>42</v>
      </c>
      <c r="I385" s="27" t="s">
        <v>934</v>
      </c>
      <c r="J385" s="29">
        <v>12</v>
      </c>
      <c r="K385" s="27" t="s">
        <v>765</v>
      </c>
      <c r="L385" s="30">
        <v>60</v>
      </c>
    </row>
    <row r="386" spans="1:12" x14ac:dyDescent="0.25">
      <c r="A386" s="26">
        <v>385</v>
      </c>
      <c r="B386" s="26" t="s">
        <v>247</v>
      </c>
      <c r="C386" s="27" t="s">
        <v>1310</v>
      </c>
      <c r="D386" s="27" t="s">
        <v>777</v>
      </c>
      <c r="E386" s="27" t="s">
        <v>842</v>
      </c>
      <c r="F386" s="17">
        <v>2923823194</v>
      </c>
      <c r="G386" s="27" t="s">
        <v>912</v>
      </c>
      <c r="H386" s="29">
        <v>29</v>
      </c>
      <c r="I386" s="27" t="s">
        <v>929</v>
      </c>
      <c r="J386" s="29">
        <v>12</v>
      </c>
      <c r="K386" s="27" t="s">
        <v>842</v>
      </c>
      <c r="L386" s="30">
        <v>60</v>
      </c>
    </row>
    <row r="387" spans="1:12" x14ac:dyDescent="0.25">
      <c r="A387" s="26">
        <v>386</v>
      </c>
      <c r="B387" s="26" t="s">
        <v>248</v>
      </c>
      <c r="C387" s="27" t="s">
        <v>1311</v>
      </c>
      <c r="D387" s="27" t="s">
        <v>777</v>
      </c>
      <c r="E387" s="27" t="s">
        <v>933</v>
      </c>
      <c r="F387" s="17">
        <v>903303637</v>
      </c>
      <c r="G387" s="27" t="s">
        <v>912</v>
      </c>
      <c r="H387" s="29">
        <v>42</v>
      </c>
      <c r="I387" s="27" t="s">
        <v>934</v>
      </c>
      <c r="J387" s="29">
        <v>12</v>
      </c>
      <c r="K387" s="27" t="s">
        <v>765</v>
      </c>
      <c r="L387" s="30">
        <v>60</v>
      </c>
    </row>
    <row r="388" spans="1:12" x14ac:dyDescent="0.25">
      <c r="A388" s="26">
        <v>387</v>
      </c>
      <c r="B388" s="26" t="s">
        <v>249</v>
      </c>
      <c r="C388" s="27" t="s">
        <v>1312</v>
      </c>
      <c r="D388" s="27" t="s">
        <v>777</v>
      </c>
      <c r="E388" s="27" t="s">
        <v>842</v>
      </c>
      <c r="F388" s="17">
        <v>2923823194</v>
      </c>
      <c r="G388" s="27" t="s">
        <v>912</v>
      </c>
      <c r="H388" s="29">
        <v>23</v>
      </c>
      <c r="I388" s="27" t="s">
        <v>929</v>
      </c>
      <c r="J388" s="29">
        <v>12</v>
      </c>
      <c r="K388" s="27" t="s">
        <v>842</v>
      </c>
      <c r="L388" s="30">
        <v>60</v>
      </c>
    </row>
    <row r="389" spans="1:12" x14ac:dyDescent="0.25">
      <c r="A389" s="26">
        <v>388</v>
      </c>
      <c r="B389" s="26" t="s">
        <v>250</v>
      </c>
      <c r="C389" s="27" t="s">
        <v>1313</v>
      </c>
      <c r="D389" s="27" t="s">
        <v>777</v>
      </c>
      <c r="E389" s="27" t="s">
        <v>933</v>
      </c>
      <c r="F389" s="17">
        <v>903303637</v>
      </c>
      <c r="G389" s="27" t="s">
        <v>912</v>
      </c>
      <c r="H389" s="29">
        <v>42</v>
      </c>
      <c r="I389" s="27" t="s">
        <v>934</v>
      </c>
      <c r="J389" s="29">
        <v>12</v>
      </c>
      <c r="K389" s="27" t="s">
        <v>765</v>
      </c>
      <c r="L389" s="30">
        <v>60</v>
      </c>
    </row>
    <row r="390" spans="1:12" x14ac:dyDescent="0.25">
      <c r="A390" s="26">
        <v>389</v>
      </c>
      <c r="B390" s="26" t="s">
        <v>251</v>
      </c>
      <c r="C390" s="27" t="s">
        <v>1314</v>
      </c>
      <c r="D390" s="27" t="s">
        <v>777</v>
      </c>
      <c r="E390" s="27" t="s">
        <v>974</v>
      </c>
      <c r="F390" s="17">
        <v>907291771</v>
      </c>
      <c r="G390" s="27" t="s">
        <v>912</v>
      </c>
      <c r="H390" s="29">
        <v>45</v>
      </c>
      <c r="I390" s="27" t="s">
        <v>934</v>
      </c>
      <c r="J390" s="29">
        <v>12</v>
      </c>
      <c r="K390" s="27" t="s">
        <v>765</v>
      </c>
      <c r="L390" s="30">
        <v>60</v>
      </c>
    </row>
    <row r="391" spans="1:12" x14ac:dyDescent="0.25">
      <c r="A391" s="26">
        <v>390</v>
      </c>
      <c r="B391" s="26" t="s">
        <v>252</v>
      </c>
      <c r="C391" s="27" t="s">
        <v>1315</v>
      </c>
      <c r="D391" s="27" t="s">
        <v>777</v>
      </c>
      <c r="E391" s="27" t="s">
        <v>974</v>
      </c>
      <c r="F391" s="17">
        <v>907291771</v>
      </c>
      <c r="G391" s="27" t="s">
        <v>912</v>
      </c>
      <c r="H391" s="29">
        <v>42</v>
      </c>
      <c r="I391" s="27" t="s">
        <v>934</v>
      </c>
      <c r="J391" s="29">
        <v>12</v>
      </c>
      <c r="K391" s="27" t="s">
        <v>765</v>
      </c>
      <c r="L391" s="30">
        <v>60</v>
      </c>
    </row>
    <row r="392" spans="1:12" x14ac:dyDescent="0.25">
      <c r="A392" s="26">
        <v>391</v>
      </c>
      <c r="B392" s="26" t="s">
        <v>253</v>
      </c>
      <c r="C392" s="27" t="s">
        <v>1316</v>
      </c>
      <c r="D392" s="27" t="s">
        <v>777</v>
      </c>
      <c r="E392" s="27" t="s">
        <v>933</v>
      </c>
      <c r="F392" s="17">
        <v>903303637</v>
      </c>
      <c r="G392" s="27" t="s">
        <v>912</v>
      </c>
      <c r="H392" s="29">
        <v>45</v>
      </c>
      <c r="I392" s="27" t="s">
        <v>934</v>
      </c>
      <c r="J392" s="29">
        <v>12</v>
      </c>
      <c r="K392" s="27" t="s">
        <v>765</v>
      </c>
      <c r="L392" s="30">
        <v>60</v>
      </c>
    </row>
    <row r="393" spans="1:12" x14ac:dyDescent="0.25">
      <c r="A393" s="26">
        <v>392</v>
      </c>
      <c r="B393" s="26" t="s">
        <v>254</v>
      </c>
      <c r="C393" s="27" t="s">
        <v>1317</v>
      </c>
      <c r="D393" s="27" t="s">
        <v>777</v>
      </c>
      <c r="E393" s="27" t="s">
        <v>974</v>
      </c>
      <c r="F393" s="17">
        <v>907291771</v>
      </c>
      <c r="G393" s="27" t="s">
        <v>912</v>
      </c>
      <c r="H393" s="29">
        <v>48</v>
      </c>
      <c r="I393" s="27" t="s">
        <v>934</v>
      </c>
      <c r="J393" s="29">
        <v>12</v>
      </c>
      <c r="K393" s="27" t="s">
        <v>765</v>
      </c>
      <c r="L393" s="30">
        <v>60</v>
      </c>
    </row>
    <row r="394" spans="1:12" x14ac:dyDescent="0.25">
      <c r="A394" s="26">
        <v>393</v>
      </c>
      <c r="B394" s="26" t="s">
        <v>255</v>
      </c>
      <c r="C394" s="27" t="s">
        <v>1318</v>
      </c>
      <c r="D394" s="27" t="s">
        <v>777</v>
      </c>
      <c r="E394" s="27" t="s">
        <v>774</v>
      </c>
      <c r="F394" s="17">
        <v>907498282</v>
      </c>
      <c r="G394" s="27" t="s">
        <v>912</v>
      </c>
      <c r="H394" s="29">
        <v>42</v>
      </c>
      <c r="I394" s="27" t="s">
        <v>1024</v>
      </c>
      <c r="J394" s="29">
        <v>12</v>
      </c>
      <c r="K394" s="27" t="s">
        <v>765</v>
      </c>
      <c r="L394" s="30">
        <v>60</v>
      </c>
    </row>
    <row r="395" spans="1:12" x14ac:dyDescent="0.25">
      <c r="A395" s="26">
        <v>394</v>
      </c>
      <c r="B395" s="26" t="s">
        <v>256</v>
      </c>
      <c r="C395" s="27" t="s">
        <v>1319</v>
      </c>
      <c r="D395" s="27" t="s">
        <v>777</v>
      </c>
      <c r="E395" s="27" t="s">
        <v>974</v>
      </c>
      <c r="F395" s="17">
        <v>907291771</v>
      </c>
      <c r="G395" s="27" t="s">
        <v>912</v>
      </c>
      <c r="H395" s="29">
        <v>39</v>
      </c>
      <c r="I395" s="27" t="s">
        <v>934</v>
      </c>
      <c r="J395" s="29">
        <v>12</v>
      </c>
      <c r="K395" s="27" t="s">
        <v>765</v>
      </c>
      <c r="L395" s="30">
        <v>60</v>
      </c>
    </row>
    <row r="396" spans="1:12" x14ac:dyDescent="0.25">
      <c r="A396" s="26">
        <v>395</v>
      </c>
      <c r="B396" s="26" t="s">
        <v>257</v>
      </c>
      <c r="C396" s="27" t="s">
        <v>1320</v>
      </c>
      <c r="D396" s="27" t="s">
        <v>777</v>
      </c>
      <c r="E396" s="27" t="s">
        <v>779</v>
      </c>
      <c r="F396" s="17">
        <v>939636248</v>
      </c>
      <c r="G396" s="27" t="s">
        <v>912</v>
      </c>
      <c r="H396" s="29">
        <v>39</v>
      </c>
      <c r="I396" s="27" t="s">
        <v>934</v>
      </c>
      <c r="J396" s="29">
        <v>12</v>
      </c>
      <c r="K396" s="27" t="s">
        <v>765</v>
      </c>
      <c r="L396" s="30">
        <v>60</v>
      </c>
    </row>
    <row r="397" spans="1:12" x14ac:dyDescent="0.25">
      <c r="A397" s="26">
        <v>396</v>
      </c>
      <c r="B397" s="26" t="s">
        <v>258</v>
      </c>
      <c r="C397" s="27" t="s">
        <v>1321</v>
      </c>
      <c r="D397" s="27" t="s">
        <v>777</v>
      </c>
      <c r="E397" s="27" t="s">
        <v>974</v>
      </c>
      <c r="F397" s="17">
        <v>907291771</v>
      </c>
      <c r="G397" s="27" t="s">
        <v>912</v>
      </c>
      <c r="H397" s="29">
        <v>45</v>
      </c>
      <c r="I397" s="27" t="s">
        <v>934</v>
      </c>
      <c r="J397" s="29">
        <v>12</v>
      </c>
      <c r="K397" s="27" t="s">
        <v>765</v>
      </c>
      <c r="L397" s="30">
        <v>60</v>
      </c>
    </row>
    <row r="398" spans="1:12" x14ac:dyDescent="0.25">
      <c r="A398" s="26">
        <v>397</v>
      </c>
      <c r="B398" s="26" t="s">
        <v>259</v>
      </c>
      <c r="C398" s="27" t="s">
        <v>1322</v>
      </c>
      <c r="D398" s="27" t="s">
        <v>777</v>
      </c>
      <c r="E398" s="27" t="s">
        <v>974</v>
      </c>
      <c r="F398" s="17">
        <v>907291771</v>
      </c>
      <c r="G398" s="27" t="s">
        <v>912</v>
      </c>
      <c r="H398" s="29">
        <v>29</v>
      </c>
      <c r="I398" s="27" t="s">
        <v>1011</v>
      </c>
      <c r="J398" s="29">
        <v>10</v>
      </c>
      <c r="K398" s="27" t="s">
        <v>765</v>
      </c>
      <c r="L398" s="30">
        <v>60</v>
      </c>
    </row>
    <row r="399" spans="1:12" x14ac:dyDescent="0.25">
      <c r="A399" s="26">
        <v>398</v>
      </c>
      <c r="B399" s="26" t="s">
        <v>260</v>
      </c>
      <c r="C399" s="27" t="s">
        <v>1323</v>
      </c>
      <c r="D399" s="27" t="s">
        <v>777</v>
      </c>
      <c r="E399" s="27" t="s">
        <v>878</v>
      </c>
      <c r="F399" s="17">
        <v>1262987261</v>
      </c>
      <c r="G399" s="27" t="s">
        <v>912</v>
      </c>
      <c r="H399" s="29">
        <v>45</v>
      </c>
      <c r="I399" s="27" t="s">
        <v>1223</v>
      </c>
      <c r="J399" s="29">
        <v>13</v>
      </c>
      <c r="K399" s="27" t="s">
        <v>878</v>
      </c>
      <c r="L399" s="30">
        <v>60</v>
      </c>
    </row>
    <row r="400" spans="1:12" x14ac:dyDescent="0.25">
      <c r="A400" s="26">
        <v>399</v>
      </c>
      <c r="B400" s="26" t="s">
        <v>261</v>
      </c>
      <c r="C400" s="27" t="s">
        <v>1324</v>
      </c>
      <c r="D400" s="27" t="s">
        <v>777</v>
      </c>
      <c r="E400" s="27" t="s">
        <v>772</v>
      </c>
      <c r="F400" s="17">
        <v>1222104929</v>
      </c>
      <c r="G400" s="27" t="s">
        <v>912</v>
      </c>
      <c r="H400" s="29">
        <v>42</v>
      </c>
      <c r="I400" s="27" t="s">
        <v>1325</v>
      </c>
      <c r="J400" s="29">
        <v>5.5</v>
      </c>
      <c r="K400" s="27" t="s">
        <v>765</v>
      </c>
      <c r="L400" s="30">
        <v>60</v>
      </c>
    </row>
    <row r="401" spans="1:12" x14ac:dyDescent="0.25">
      <c r="A401" s="26">
        <v>400</v>
      </c>
      <c r="B401" s="26" t="s">
        <v>262</v>
      </c>
      <c r="C401" s="27" t="s">
        <v>1326</v>
      </c>
      <c r="D401" s="27" t="s">
        <v>777</v>
      </c>
      <c r="E401" s="27" t="s">
        <v>779</v>
      </c>
      <c r="F401" s="17">
        <v>939636248</v>
      </c>
      <c r="G401" s="27" t="s">
        <v>912</v>
      </c>
      <c r="H401" s="29">
        <v>42</v>
      </c>
      <c r="I401" s="27" t="s">
        <v>934</v>
      </c>
      <c r="J401" s="29">
        <v>12</v>
      </c>
      <c r="K401" s="27" t="s">
        <v>765</v>
      </c>
      <c r="L401" s="30">
        <v>60</v>
      </c>
    </row>
    <row r="402" spans="1:12" x14ac:dyDescent="0.25">
      <c r="A402" s="26">
        <v>401</v>
      </c>
      <c r="B402" s="26" t="s">
        <v>330</v>
      </c>
      <c r="C402" s="27" t="s">
        <v>1327</v>
      </c>
      <c r="D402" s="27" t="s">
        <v>777</v>
      </c>
      <c r="E402" s="27" t="s">
        <v>878</v>
      </c>
      <c r="F402" s="17">
        <v>939311241</v>
      </c>
      <c r="G402" s="27" t="s">
        <v>912</v>
      </c>
      <c r="H402" s="29">
        <v>45</v>
      </c>
      <c r="I402" s="27" t="s">
        <v>986</v>
      </c>
      <c r="J402" s="29">
        <v>8</v>
      </c>
      <c r="K402" s="27" t="s">
        <v>878</v>
      </c>
      <c r="L402" s="30">
        <v>60</v>
      </c>
    </row>
    <row r="403" spans="1:12" x14ac:dyDescent="0.25">
      <c r="A403" s="26">
        <v>402</v>
      </c>
      <c r="B403" s="26" t="s">
        <v>329</v>
      </c>
      <c r="C403" s="27" t="s">
        <v>1328</v>
      </c>
      <c r="D403" s="27" t="s">
        <v>777</v>
      </c>
      <c r="E403" s="27" t="s">
        <v>759</v>
      </c>
      <c r="F403" s="17">
        <v>902656797</v>
      </c>
      <c r="G403" s="27" t="s">
        <v>912</v>
      </c>
      <c r="H403" s="29">
        <v>42</v>
      </c>
      <c r="I403" s="27" t="s">
        <v>934</v>
      </c>
      <c r="J403" s="29">
        <v>12</v>
      </c>
      <c r="K403" s="27" t="s">
        <v>937</v>
      </c>
      <c r="L403" s="30">
        <v>60</v>
      </c>
    </row>
    <row r="404" spans="1:12" x14ac:dyDescent="0.25">
      <c r="A404" s="26">
        <v>403</v>
      </c>
      <c r="B404" s="26" t="s">
        <v>331</v>
      </c>
      <c r="C404" s="27" t="s">
        <v>1329</v>
      </c>
      <c r="D404" s="27" t="s">
        <v>777</v>
      </c>
      <c r="E404" s="27" t="s">
        <v>878</v>
      </c>
      <c r="F404" s="17">
        <v>977765250</v>
      </c>
      <c r="G404" s="27" t="s">
        <v>912</v>
      </c>
      <c r="H404" s="29">
        <v>45</v>
      </c>
      <c r="I404" s="27" t="s">
        <v>986</v>
      </c>
      <c r="J404" s="29">
        <v>8</v>
      </c>
      <c r="K404" s="27" t="s">
        <v>878</v>
      </c>
      <c r="L404" s="30">
        <v>60</v>
      </c>
    </row>
    <row r="405" spans="1:12" x14ac:dyDescent="0.25">
      <c r="A405" s="26">
        <v>404</v>
      </c>
      <c r="B405" s="26" t="s">
        <v>379</v>
      </c>
      <c r="C405" s="27" t="s">
        <v>1330</v>
      </c>
      <c r="D405" s="27" t="s">
        <v>777</v>
      </c>
      <c r="E405" s="27" t="s">
        <v>878</v>
      </c>
      <c r="F405" s="17">
        <v>1257441994</v>
      </c>
      <c r="G405" s="27" t="s">
        <v>912</v>
      </c>
      <c r="H405" s="29">
        <v>45</v>
      </c>
      <c r="I405" s="27" t="s">
        <v>927</v>
      </c>
      <c r="J405" s="29">
        <v>8</v>
      </c>
      <c r="K405" s="27" t="s">
        <v>878</v>
      </c>
      <c r="L405" s="30">
        <v>60</v>
      </c>
    </row>
    <row r="406" spans="1:12" x14ac:dyDescent="0.25">
      <c r="A406" s="26">
        <v>405</v>
      </c>
      <c r="B406" s="26" t="s">
        <v>332</v>
      </c>
      <c r="C406" s="27" t="s">
        <v>1331</v>
      </c>
      <c r="D406" s="27" t="s">
        <v>777</v>
      </c>
      <c r="E406" s="27" t="s">
        <v>878</v>
      </c>
      <c r="F406" s="17">
        <v>1267972147</v>
      </c>
      <c r="G406" s="27" t="s">
        <v>912</v>
      </c>
      <c r="H406" s="29">
        <v>45</v>
      </c>
      <c r="I406" s="27" t="s">
        <v>986</v>
      </c>
      <c r="J406" s="29">
        <v>8</v>
      </c>
      <c r="K406" s="27" t="s">
        <v>878</v>
      </c>
      <c r="L406" s="30">
        <v>60</v>
      </c>
    </row>
    <row r="407" spans="1:12" x14ac:dyDescent="0.25">
      <c r="A407" s="26">
        <v>406</v>
      </c>
      <c r="B407" s="26" t="s">
        <v>381</v>
      </c>
      <c r="C407" s="27" t="s">
        <v>1332</v>
      </c>
      <c r="D407" s="27" t="s">
        <v>777</v>
      </c>
      <c r="E407" s="27" t="s">
        <v>878</v>
      </c>
      <c r="F407" s="17">
        <v>292225537</v>
      </c>
      <c r="G407" s="27" t="s">
        <v>912</v>
      </c>
      <c r="H407" s="29">
        <v>45</v>
      </c>
      <c r="I407" s="27" t="s">
        <v>981</v>
      </c>
      <c r="J407" s="29">
        <v>8</v>
      </c>
      <c r="K407" s="27" t="s">
        <v>878</v>
      </c>
      <c r="L407" s="30">
        <v>60</v>
      </c>
    </row>
    <row r="408" spans="1:12" x14ac:dyDescent="0.25">
      <c r="A408" s="26">
        <v>407</v>
      </c>
      <c r="B408" s="26" t="s">
        <v>382</v>
      </c>
      <c r="C408" s="27" t="s">
        <v>1333</v>
      </c>
      <c r="D408" s="27" t="s">
        <v>777</v>
      </c>
      <c r="E408" s="27" t="s">
        <v>974</v>
      </c>
      <c r="F408" s="17">
        <v>907291771</v>
      </c>
      <c r="G408" s="27" t="s">
        <v>912</v>
      </c>
      <c r="H408" s="29">
        <v>39</v>
      </c>
      <c r="I408" s="27" t="s">
        <v>934</v>
      </c>
      <c r="J408" s="29">
        <v>12</v>
      </c>
      <c r="K408" s="27" t="s">
        <v>765</v>
      </c>
      <c r="L408" s="30">
        <v>60</v>
      </c>
    </row>
    <row r="409" spans="1:12" x14ac:dyDescent="0.25">
      <c r="A409" s="26">
        <v>408</v>
      </c>
      <c r="B409" s="26" t="s">
        <v>386</v>
      </c>
      <c r="C409" s="27" t="s">
        <v>1334</v>
      </c>
      <c r="D409" s="27" t="s">
        <v>777</v>
      </c>
      <c r="E409" s="27" t="s">
        <v>759</v>
      </c>
      <c r="F409" s="17">
        <v>916128949</v>
      </c>
      <c r="G409" s="27" t="s">
        <v>912</v>
      </c>
      <c r="H409" s="29">
        <v>42</v>
      </c>
      <c r="I409" s="27" t="s">
        <v>934</v>
      </c>
      <c r="J409" s="29">
        <v>12</v>
      </c>
      <c r="K409" s="27" t="s">
        <v>937</v>
      </c>
      <c r="L409" s="30">
        <v>60</v>
      </c>
    </row>
    <row r="410" spans="1:12" x14ac:dyDescent="0.25">
      <c r="A410" s="26">
        <v>409</v>
      </c>
      <c r="B410" s="26" t="s">
        <v>490</v>
      </c>
      <c r="C410" s="27" t="s">
        <v>699</v>
      </c>
      <c r="D410" s="27" t="s">
        <v>777</v>
      </c>
      <c r="E410" s="27" t="s">
        <v>759</v>
      </c>
      <c r="F410" s="17" t="s">
        <v>1335</v>
      </c>
      <c r="G410" s="27" t="s">
        <v>912</v>
      </c>
      <c r="H410" s="29">
        <v>42</v>
      </c>
      <c r="I410" s="27" t="s">
        <v>1007</v>
      </c>
      <c r="J410" s="27" t="s">
        <v>1007</v>
      </c>
      <c r="K410" s="27" t="s">
        <v>1007</v>
      </c>
      <c r="L410" s="30">
        <v>60</v>
      </c>
    </row>
    <row r="411" spans="1:12" x14ac:dyDescent="0.25">
      <c r="A411" s="26">
        <v>410</v>
      </c>
      <c r="B411" s="26" t="s">
        <v>501</v>
      </c>
      <c r="C411" s="27" t="s">
        <v>700</v>
      </c>
      <c r="D411" s="27" t="s">
        <v>777</v>
      </c>
      <c r="E411" s="27" t="s">
        <v>759</v>
      </c>
      <c r="F411" s="17">
        <v>1668516845</v>
      </c>
      <c r="G411" s="27" t="s">
        <v>912</v>
      </c>
      <c r="H411" s="29">
        <v>42</v>
      </c>
      <c r="I411" s="27" t="s">
        <v>1007</v>
      </c>
      <c r="J411" s="27" t="s">
        <v>1007</v>
      </c>
      <c r="K411" s="27" t="s">
        <v>1007</v>
      </c>
      <c r="L411" s="30">
        <v>60</v>
      </c>
    </row>
    <row r="412" spans="1:12" x14ac:dyDescent="0.25">
      <c r="A412" s="26">
        <v>411</v>
      </c>
      <c r="B412" s="26" t="s">
        <v>502</v>
      </c>
      <c r="C412" s="27" t="s">
        <v>701</v>
      </c>
      <c r="D412" s="27" t="s">
        <v>777</v>
      </c>
      <c r="E412" s="27" t="s">
        <v>759</v>
      </c>
      <c r="F412" s="17">
        <v>908000567</v>
      </c>
      <c r="G412" s="27" t="s">
        <v>912</v>
      </c>
      <c r="H412" s="29">
        <v>42</v>
      </c>
      <c r="I412" s="27" t="s">
        <v>1007</v>
      </c>
      <c r="J412" s="27" t="s">
        <v>1007</v>
      </c>
      <c r="K412" s="27" t="s">
        <v>1007</v>
      </c>
      <c r="L412" s="30">
        <v>60</v>
      </c>
    </row>
    <row r="413" spans="1:12" x14ac:dyDescent="0.25">
      <c r="A413" s="26">
        <v>412</v>
      </c>
      <c r="B413" s="26" t="s">
        <v>503</v>
      </c>
      <c r="C413" s="27" t="s">
        <v>702</v>
      </c>
      <c r="D413" s="27" t="s">
        <v>777</v>
      </c>
      <c r="E413" s="27" t="s">
        <v>759</v>
      </c>
      <c r="F413" s="17">
        <v>908000567</v>
      </c>
      <c r="G413" s="27" t="s">
        <v>912</v>
      </c>
      <c r="H413" s="29">
        <v>42</v>
      </c>
      <c r="I413" s="27" t="s">
        <v>1007</v>
      </c>
      <c r="J413" s="27" t="s">
        <v>1007</v>
      </c>
      <c r="K413" s="27" t="s">
        <v>1007</v>
      </c>
      <c r="L413" s="30">
        <v>60</v>
      </c>
    </row>
    <row r="414" spans="1:12" x14ac:dyDescent="0.25">
      <c r="A414" s="26">
        <v>413</v>
      </c>
      <c r="B414" s="26" t="s">
        <v>521</v>
      </c>
      <c r="C414" s="27" t="s">
        <v>703</v>
      </c>
      <c r="D414" s="27" t="s">
        <v>777</v>
      </c>
      <c r="E414" s="27" t="s">
        <v>759</v>
      </c>
      <c r="F414" s="17">
        <v>908099992</v>
      </c>
      <c r="G414" s="27" t="s">
        <v>912</v>
      </c>
      <c r="H414" s="29">
        <v>42</v>
      </c>
      <c r="I414" s="27" t="s">
        <v>1007</v>
      </c>
      <c r="J414" s="27" t="s">
        <v>1007</v>
      </c>
      <c r="K414" s="27" t="s">
        <v>1007</v>
      </c>
      <c r="L414" s="30">
        <v>60</v>
      </c>
    </row>
    <row r="415" spans="1:12" x14ac:dyDescent="0.25">
      <c r="A415" s="26">
        <v>414</v>
      </c>
      <c r="B415" s="26" t="s">
        <v>530</v>
      </c>
      <c r="C415" s="27" t="s">
        <v>704</v>
      </c>
      <c r="D415" s="27" t="s">
        <v>777</v>
      </c>
      <c r="E415" s="27" t="s">
        <v>759</v>
      </c>
      <c r="F415" s="17">
        <v>939391504</v>
      </c>
      <c r="G415" s="27" t="s">
        <v>912</v>
      </c>
      <c r="H415" s="29">
        <v>42</v>
      </c>
      <c r="I415" s="27" t="s">
        <v>1007</v>
      </c>
      <c r="J415" s="27" t="s">
        <v>1007</v>
      </c>
      <c r="K415" s="27" t="s">
        <v>1007</v>
      </c>
      <c r="L415" s="30">
        <v>60</v>
      </c>
    </row>
    <row r="416" spans="1:12" x14ac:dyDescent="0.25">
      <c r="A416" s="26">
        <v>415</v>
      </c>
      <c r="B416" s="26" t="s">
        <v>263</v>
      </c>
      <c r="C416" s="27" t="s">
        <v>1336</v>
      </c>
      <c r="D416" s="27" t="s">
        <v>763</v>
      </c>
      <c r="E416" s="27" t="s">
        <v>842</v>
      </c>
      <c r="F416" s="17">
        <v>2923823194</v>
      </c>
      <c r="G416" s="27" t="s">
        <v>903</v>
      </c>
      <c r="H416" s="29">
        <v>39</v>
      </c>
      <c r="I416" s="27" t="s">
        <v>929</v>
      </c>
      <c r="J416" s="29">
        <v>30</v>
      </c>
      <c r="K416" s="27" t="s">
        <v>842</v>
      </c>
      <c r="L416" s="30">
        <v>60</v>
      </c>
    </row>
    <row r="417" spans="1:12" x14ac:dyDescent="0.25">
      <c r="A417" s="26">
        <v>416</v>
      </c>
      <c r="B417" s="26" t="s">
        <v>264</v>
      </c>
      <c r="C417" s="27" t="s">
        <v>1337</v>
      </c>
      <c r="D417" s="27" t="s">
        <v>763</v>
      </c>
      <c r="E417" s="27" t="s">
        <v>933</v>
      </c>
      <c r="F417" s="17">
        <v>903303637</v>
      </c>
      <c r="G417" s="27" t="s">
        <v>912</v>
      </c>
      <c r="H417" s="29">
        <v>45</v>
      </c>
      <c r="I417" s="27" t="s">
        <v>934</v>
      </c>
      <c r="J417" s="29">
        <v>12</v>
      </c>
      <c r="K417" s="27" t="s">
        <v>765</v>
      </c>
      <c r="L417" s="30">
        <v>60</v>
      </c>
    </row>
    <row r="418" spans="1:12" x14ac:dyDescent="0.25">
      <c r="A418" s="26">
        <v>417</v>
      </c>
      <c r="B418" s="26" t="s">
        <v>265</v>
      </c>
      <c r="C418" s="27" t="s">
        <v>1338</v>
      </c>
      <c r="D418" s="27" t="s">
        <v>763</v>
      </c>
      <c r="E418" s="27" t="s">
        <v>974</v>
      </c>
      <c r="F418" s="17">
        <v>907291771</v>
      </c>
      <c r="G418" s="27" t="s">
        <v>912</v>
      </c>
      <c r="H418" s="29">
        <v>45</v>
      </c>
      <c r="I418" s="27" t="s">
        <v>934</v>
      </c>
      <c r="J418" s="29">
        <v>12</v>
      </c>
      <c r="K418" s="27" t="s">
        <v>765</v>
      </c>
      <c r="L418" s="30">
        <v>60</v>
      </c>
    </row>
    <row r="419" spans="1:12" x14ac:dyDescent="0.25">
      <c r="A419" s="26">
        <v>418</v>
      </c>
      <c r="B419" s="26" t="s">
        <v>266</v>
      </c>
      <c r="C419" s="27" t="s">
        <v>1339</v>
      </c>
      <c r="D419" s="27" t="s">
        <v>763</v>
      </c>
      <c r="E419" s="27" t="s">
        <v>759</v>
      </c>
      <c r="F419" s="17">
        <v>918161779</v>
      </c>
      <c r="G419" s="27" t="s">
        <v>912</v>
      </c>
      <c r="H419" s="29">
        <v>42</v>
      </c>
      <c r="I419" s="27" t="s">
        <v>934</v>
      </c>
      <c r="J419" s="29">
        <v>12</v>
      </c>
      <c r="K419" s="27" t="s">
        <v>937</v>
      </c>
      <c r="L419" s="30">
        <v>60</v>
      </c>
    </row>
    <row r="420" spans="1:12" x14ac:dyDescent="0.25">
      <c r="A420" s="26">
        <v>419</v>
      </c>
      <c r="B420" s="26" t="s">
        <v>267</v>
      </c>
      <c r="C420" s="27" t="s">
        <v>1340</v>
      </c>
      <c r="D420" s="27" t="s">
        <v>763</v>
      </c>
      <c r="E420" s="27" t="s">
        <v>974</v>
      </c>
      <c r="F420" s="17">
        <v>907291771</v>
      </c>
      <c r="G420" s="27" t="s">
        <v>912</v>
      </c>
      <c r="H420" s="29">
        <v>27</v>
      </c>
      <c r="I420" s="27" t="s">
        <v>1011</v>
      </c>
      <c r="J420" s="29">
        <v>6</v>
      </c>
      <c r="K420" s="27" t="s">
        <v>765</v>
      </c>
      <c r="L420" s="30">
        <v>60</v>
      </c>
    </row>
    <row r="421" spans="1:12" x14ac:dyDescent="0.25">
      <c r="A421" s="26">
        <v>420</v>
      </c>
      <c r="B421" s="26" t="s">
        <v>268</v>
      </c>
      <c r="C421" s="27" t="s">
        <v>1341</v>
      </c>
      <c r="D421" s="27" t="s">
        <v>763</v>
      </c>
      <c r="E421" s="27" t="s">
        <v>759</v>
      </c>
      <c r="F421" s="17">
        <v>939595588</v>
      </c>
      <c r="G421" s="27" t="s">
        <v>912</v>
      </c>
      <c r="H421" s="29">
        <v>39</v>
      </c>
      <c r="I421" s="27" t="s">
        <v>934</v>
      </c>
      <c r="J421" s="29">
        <v>12</v>
      </c>
      <c r="K421" s="27" t="s">
        <v>937</v>
      </c>
      <c r="L421" s="30">
        <v>60</v>
      </c>
    </row>
    <row r="422" spans="1:12" x14ac:dyDescent="0.25">
      <c r="A422" s="26">
        <v>421</v>
      </c>
      <c r="B422" s="26" t="s">
        <v>269</v>
      </c>
      <c r="C422" s="27" t="s">
        <v>1342</v>
      </c>
      <c r="D422" s="27" t="s">
        <v>763</v>
      </c>
      <c r="E422" s="27" t="s">
        <v>974</v>
      </c>
      <c r="F422" s="17">
        <v>907291771</v>
      </c>
      <c r="G422" s="27" t="s">
        <v>912</v>
      </c>
      <c r="H422" s="29">
        <v>45</v>
      </c>
      <c r="I422" s="27" t="s">
        <v>934</v>
      </c>
      <c r="J422" s="29">
        <v>12</v>
      </c>
      <c r="K422" s="27" t="s">
        <v>765</v>
      </c>
      <c r="L422" s="30">
        <v>60</v>
      </c>
    </row>
    <row r="423" spans="1:12" x14ac:dyDescent="0.25">
      <c r="A423" s="26">
        <v>422</v>
      </c>
      <c r="B423" s="26" t="s">
        <v>270</v>
      </c>
      <c r="C423" s="27" t="s">
        <v>1343</v>
      </c>
      <c r="D423" s="27" t="s">
        <v>763</v>
      </c>
      <c r="E423" s="27" t="s">
        <v>974</v>
      </c>
      <c r="F423" s="17">
        <v>907291771</v>
      </c>
      <c r="G423" s="27" t="s">
        <v>912</v>
      </c>
      <c r="H423" s="29">
        <v>45</v>
      </c>
      <c r="I423" s="27" t="s">
        <v>934</v>
      </c>
      <c r="J423" s="29">
        <v>12</v>
      </c>
      <c r="K423" s="27" t="s">
        <v>765</v>
      </c>
      <c r="L423" s="30">
        <v>60</v>
      </c>
    </row>
    <row r="424" spans="1:12" x14ac:dyDescent="0.25">
      <c r="A424" s="26">
        <v>423</v>
      </c>
      <c r="B424" s="26" t="s">
        <v>271</v>
      </c>
      <c r="C424" s="27" t="s">
        <v>1344</v>
      </c>
      <c r="D424" s="27" t="s">
        <v>763</v>
      </c>
      <c r="E424" s="27" t="s">
        <v>759</v>
      </c>
      <c r="F424" s="17">
        <v>902656797</v>
      </c>
      <c r="G424" s="27" t="s">
        <v>912</v>
      </c>
      <c r="H424" s="29">
        <v>45</v>
      </c>
      <c r="I424" s="27" t="s">
        <v>925</v>
      </c>
      <c r="J424" s="29">
        <v>8</v>
      </c>
      <c r="K424" s="27" t="s">
        <v>878</v>
      </c>
      <c r="L424" s="30">
        <v>60</v>
      </c>
    </row>
    <row r="425" spans="1:12" x14ac:dyDescent="0.25">
      <c r="A425" s="26">
        <v>424</v>
      </c>
      <c r="B425" s="26" t="s">
        <v>272</v>
      </c>
      <c r="C425" s="27" t="s">
        <v>1345</v>
      </c>
      <c r="D425" s="27" t="s">
        <v>763</v>
      </c>
      <c r="E425" s="27" t="s">
        <v>771</v>
      </c>
      <c r="F425" s="17">
        <v>939185125</v>
      </c>
      <c r="G425" s="27" t="s">
        <v>912</v>
      </c>
      <c r="H425" s="29">
        <v>42</v>
      </c>
      <c r="I425" s="27" t="s">
        <v>934</v>
      </c>
      <c r="J425" s="29">
        <v>12</v>
      </c>
      <c r="K425" s="27" t="s">
        <v>765</v>
      </c>
      <c r="L425" s="30">
        <v>60</v>
      </c>
    </row>
    <row r="426" spans="1:12" x14ac:dyDescent="0.25">
      <c r="A426" s="26">
        <v>425</v>
      </c>
      <c r="B426" s="26" t="s">
        <v>273</v>
      </c>
      <c r="C426" s="27" t="s">
        <v>1346</v>
      </c>
      <c r="D426" s="27" t="s">
        <v>763</v>
      </c>
      <c r="E426" s="27" t="s">
        <v>842</v>
      </c>
      <c r="F426" s="17">
        <v>2923823194</v>
      </c>
      <c r="G426" s="27" t="s">
        <v>903</v>
      </c>
      <c r="H426" s="29">
        <v>55</v>
      </c>
      <c r="I426" s="27" t="s">
        <v>929</v>
      </c>
      <c r="J426" s="29">
        <v>30</v>
      </c>
      <c r="K426" s="27" t="s">
        <v>842</v>
      </c>
      <c r="L426" s="30">
        <v>60</v>
      </c>
    </row>
    <row r="427" spans="1:12" x14ac:dyDescent="0.25">
      <c r="A427" s="26">
        <v>426</v>
      </c>
      <c r="B427" s="26" t="s">
        <v>7</v>
      </c>
      <c r="C427" s="27" t="s">
        <v>1347</v>
      </c>
      <c r="D427" s="27" t="s">
        <v>763</v>
      </c>
      <c r="E427" s="27" t="s">
        <v>878</v>
      </c>
      <c r="F427" s="17">
        <v>909939366</v>
      </c>
      <c r="G427" s="27" t="s">
        <v>903</v>
      </c>
      <c r="H427" s="29">
        <v>45</v>
      </c>
      <c r="I427" s="27" t="s">
        <v>965</v>
      </c>
      <c r="J427" s="29">
        <v>15</v>
      </c>
      <c r="K427" s="27" t="s">
        <v>878</v>
      </c>
      <c r="L427" s="30">
        <v>60</v>
      </c>
    </row>
    <row r="428" spans="1:12" x14ac:dyDescent="0.25">
      <c r="A428" s="26">
        <v>427</v>
      </c>
      <c r="B428" s="26" t="s">
        <v>274</v>
      </c>
      <c r="C428" s="27" t="s">
        <v>1348</v>
      </c>
      <c r="D428" s="27" t="s">
        <v>763</v>
      </c>
      <c r="E428" s="27" t="s">
        <v>771</v>
      </c>
      <c r="F428" s="17">
        <v>939185125</v>
      </c>
      <c r="G428" s="27" t="s">
        <v>912</v>
      </c>
      <c r="H428" s="29">
        <v>45</v>
      </c>
      <c r="I428" s="27" t="s">
        <v>934</v>
      </c>
      <c r="J428" s="29">
        <v>12</v>
      </c>
      <c r="K428" s="27" t="s">
        <v>765</v>
      </c>
      <c r="L428" s="30">
        <v>60</v>
      </c>
    </row>
    <row r="429" spans="1:12" x14ac:dyDescent="0.25">
      <c r="A429" s="26">
        <v>428</v>
      </c>
      <c r="B429" s="26" t="s">
        <v>275</v>
      </c>
      <c r="C429" s="27" t="s">
        <v>1349</v>
      </c>
      <c r="D429" s="27" t="s">
        <v>763</v>
      </c>
      <c r="E429" s="27" t="s">
        <v>974</v>
      </c>
      <c r="F429" s="17">
        <v>907291771</v>
      </c>
      <c r="G429" s="27" t="s">
        <v>912</v>
      </c>
      <c r="H429" s="29">
        <v>45</v>
      </c>
      <c r="I429" s="27" t="s">
        <v>934</v>
      </c>
      <c r="J429" s="29">
        <v>12</v>
      </c>
      <c r="K429" s="27" t="s">
        <v>765</v>
      </c>
      <c r="L429" s="30">
        <v>60</v>
      </c>
    </row>
    <row r="430" spans="1:12" x14ac:dyDescent="0.25">
      <c r="A430" s="26">
        <v>429</v>
      </c>
      <c r="B430" s="26" t="s">
        <v>276</v>
      </c>
      <c r="C430" s="27" t="s">
        <v>1350</v>
      </c>
      <c r="D430" s="27" t="s">
        <v>763</v>
      </c>
      <c r="E430" s="27" t="s">
        <v>933</v>
      </c>
      <c r="F430" s="17">
        <v>903303637</v>
      </c>
      <c r="G430" s="27" t="s">
        <v>912</v>
      </c>
      <c r="H430" s="29">
        <v>45</v>
      </c>
      <c r="I430" s="27" t="s">
        <v>934</v>
      </c>
      <c r="J430" s="29">
        <v>12</v>
      </c>
      <c r="K430" s="27" t="s">
        <v>765</v>
      </c>
      <c r="L430" s="30">
        <v>60</v>
      </c>
    </row>
    <row r="431" spans="1:12" x14ac:dyDescent="0.25">
      <c r="A431" s="26">
        <v>430</v>
      </c>
      <c r="B431" s="26" t="s">
        <v>277</v>
      </c>
      <c r="C431" s="27" t="s">
        <v>1351</v>
      </c>
      <c r="D431" s="27" t="s">
        <v>763</v>
      </c>
      <c r="E431" s="27" t="s">
        <v>771</v>
      </c>
      <c r="F431" s="17">
        <v>939185125</v>
      </c>
      <c r="G431" s="27" t="s">
        <v>912</v>
      </c>
      <c r="H431" s="29">
        <v>45</v>
      </c>
      <c r="I431" s="27" t="s">
        <v>934</v>
      </c>
      <c r="J431" s="29">
        <v>12</v>
      </c>
      <c r="K431" s="27" t="s">
        <v>765</v>
      </c>
      <c r="L431" s="30">
        <v>60</v>
      </c>
    </row>
    <row r="432" spans="1:12" x14ac:dyDescent="0.25">
      <c r="A432" s="26">
        <v>431</v>
      </c>
      <c r="B432" s="26" t="s">
        <v>278</v>
      </c>
      <c r="C432" s="27" t="s">
        <v>1352</v>
      </c>
      <c r="D432" s="27" t="s">
        <v>763</v>
      </c>
      <c r="E432" s="27" t="s">
        <v>974</v>
      </c>
      <c r="F432" s="17">
        <v>907291771</v>
      </c>
      <c r="G432" s="27" t="s">
        <v>912</v>
      </c>
      <c r="H432" s="29">
        <v>42</v>
      </c>
      <c r="I432" s="27" t="s">
        <v>934</v>
      </c>
      <c r="J432" s="29">
        <v>12</v>
      </c>
      <c r="K432" s="27" t="s">
        <v>765</v>
      </c>
      <c r="L432" s="30">
        <v>60</v>
      </c>
    </row>
    <row r="433" spans="1:12" x14ac:dyDescent="0.25">
      <c r="A433" s="26">
        <v>432</v>
      </c>
      <c r="B433" s="26" t="s">
        <v>279</v>
      </c>
      <c r="C433" s="27" t="s">
        <v>1353</v>
      </c>
      <c r="D433" s="27" t="s">
        <v>763</v>
      </c>
      <c r="E433" s="27" t="s">
        <v>778</v>
      </c>
      <c r="F433" s="17">
        <v>939573663</v>
      </c>
      <c r="G433" s="27" t="s">
        <v>912</v>
      </c>
      <c r="H433" s="29">
        <v>29</v>
      </c>
      <c r="I433" s="27" t="s">
        <v>934</v>
      </c>
      <c r="J433" s="29">
        <v>12</v>
      </c>
      <c r="K433" s="27" t="s">
        <v>765</v>
      </c>
      <c r="L433" s="30">
        <v>60</v>
      </c>
    </row>
    <row r="434" spans="1:12" x14ac:dyDescent="0.25">
      <c r="A434" s="26">
        <v>433</v>
      </c>
      <c r="B434" s="26" t="s">
        <v>280</v>
      </c>
      <c r="C434" s="27" t="s">
        <v>1354</v>
      </c>
      <c r="D434" s="27" t="s">
        <v>763</v>
      </c>
      <c r="E434" s="27" t="s">
        <v>778</v>
      </c>
      <c r="F434" s="17">
        <v>939573663</v>
      </c>
      <c r="G434" s="27" t="s">
        <v>912</v>
      </c>
      <c r="H434" s="29">
        <v>39</v>
      </c>
      <c r="I434" s="27" t="s">
        <v>934</v>
      </c>
      <c r="J434" s="29">
        <v>12</v>
      </c>
      <c r="K434" s="27" t="s">
        <v>765</v>
      </c>
      <c r="L434" s="30">
        <v>60</v>
      </c>
    </row>
    <row r="435" spans="1:12" x14ac:dyDescent="0.25">
      <c r="A435" s="26">
        <v>434</v>
      </c>
      <c r="B435" s="26" t="s">
        <v>281</v>
      </c>
      <c r="C435" s="27" t="s">
        <v>1355</v>
      </c>
      <c r="D435" s="27" t="s">
        <v>763</v>
      </c>
      <c r="E435" s="27" t="s">
        <v>778</v>
      </c>
      <c r="F435" s="17">
        <v>939573663</v>
      </c>
      <c r="G435" s="27" t="s">
        <v>912</v>
      </c>
      <c r="H435" s="29">
        <v>30</v>
      </c>
      <c r="I435" s="27" t="s">
        <v>934</v>
      </c>
      <c r="J435" s="29">
        <v>12</v>
      </c>
      <c r="K435" s="27" t="s">
        <v>765</v>
      </c>
      <c r="L435" s="30">
        <v>60</v>
      </c>
    </row>
    <row r="436" spans="1:12" x14ac:dyDescent="0.25">
      <c r="A436" s="26">
        <v>435</v>
      </c>
      <c r="B436" s="26" t="s">
        <v>282</v>
      </c>
      <c r="C436" s="27" t="s">
        <v>1356</v>
      </c>
      <c r="D436" s="27" t="s">
        <v>763</v>
      </c>
      <c r="E436" s="27" t="s">
        <v>778</v>
      </c>
      <c r="F436" s="17">
        <v>939573663</v>
      </c>
      <c r="G436" s="27" t="s">
        <v>912</v>
      </c>
      <c r="H436" s="29">
        <v>39</v>
      </c>
      <c r="I436" s="27" t="s">
        <v>934</v>
      </c>
      <c r="J436" s="29">
        <v>12</v>
      </c>
      <c r="K436" s="27" t="s">
        <v>765</v>
      </c>
      <c r="L436" s="30">
        <v>60</v>
      </c>
    </row>
    <row r="437" spans="1:12" x14ac:dyDescent="0.25">
      <c r="A437" s="26">
        <v>436</v>
      </c>
      <c r="B437" s="26" t="s">
        <v>283</v>
      </c>
      <c r="C437" s="27" t="s">
        <v>1357</v>
      </c>
      <c r="D437" s="27" t="s">
        <v>763</v>
      </c>
      <c r="E437" s="27" t="s">
        <v>878</v>
      </c>
      <c r="F437" s="17">
        <v>934090258</v>
      </c>
      <c r="G437" s="27" t="s">
        <v>903</v>
      </c>
      <c r="H437" s="29">
        <v>45</v>
      </c>
      <c r="I437" s="27" t="s">
        <v>952</v>
      </c>
      <c r="J437" s="29">
        <v>5.5</v>
      </c>
      <c r="K437" s="27" t="s">
        <v>878</v>
      </c>
      <c r="L437" s="30">
        <v>60</v>
      </c>
    </row>
    <row r="438" spans="1:12" x14ac:dyDescent="0.25">
      <c r="A438" s="26">
        <v>437</v>
      </c>
      <c r="B438" s="26" t="s">
        <v>284</v>
      </c>
      <c r="C438" s="27" t="s">
        <v>1358</v>
      </c>
      <c r="D438" s="27" t="s">
        <v>763</v>
      </c>
      <c r="E438" s="27" t="s">
        <v>778</v>
      </c>
      <c r="F438" s="17">
        <v>939573663</v>
      </c>
      <c r="G438" s="27" t="s">
        <v>912</v>
      </c>
      <c r="H438" s="29">
        <v>39</v>
      </c>
      <c r="I438" s="27" t="s">
        <v>934</v>
      </c>
      <c r="J438" s="29">
        <v>12</v>
      </c>
      <c r="K438" s="27" t="s">
        <v>765</v>
      </c>
      <c r="L438" s="30">
        <v>60</v>
      </c>
    </row>
    <row r="439" spans="1:12" x14ac:dyDescent="0.25">
      <c r="A439" s="26">
        <v>438</v>
      </c>
      <c r="B439" s="26" t="s">
        <v>285</v>
      </c>
      <c r="C439" s="27" t="s">
        <v>1359</v>
      </c>
      <c r="D439" s="27" t="s">
        <v>763</v>
      </c>
      <c r="E439" s="27" t="s">
        <v>778</v>
      </c>
      <c r="F439" s="17">
        <v>939573663</v>
      </c>
      <c r="G439" s="27" t="s">
        <v>912</v>
      </c>
      <c r="H439" s="29">
        <v>39</v>
      </c>
      <c r="I439" s="27" t="s">
        <v>934</v>
      </c>
      <c r="J439" s="29">
        <v>12</v>
      </c>
      <c r="K439" s="27" t="s">
        <v>765</v>
      </c>
      <c r="L439" s="30">
        <v>60</v>
      </c>
    </row>
    <row r="440" spans="1:12" x14ac:dyDescent="0.25">
      <c r="A440" s="26">
        <v>439</v>
      </c>
      <c r="B440" s="26" t="s">
        <v>286</v>
      </c>
      <c r="C440" s="27" t="s">
        <v>1360</v>
      </c>
      <c r="D440" s="27" t="s">
        <v>763</v>
      </c>
      <c r="E440" s="27" t="s">
        <v>778</v>
      </c>
      <c r="F440" s="17">
        <v>939573663</v>
      </c>
      <c r="G440" s="27" t="s">
        <v>912</v>
      </c>
      <c r="H440" s="29">
        <v>40</v>
      </c>
      <c r="I440" s="27" t="s">
        <v>934</v>
      </c>
      <c r="J440" s="29">
        <v>12</v>
      </c>
      <c r="K440" s="27" t="s">
        <v>765</v>
      </c>
      <c r="L440" s="30">
        <v>60</v>
      </c>
    </row>
    <row r="441" spans="1:12" x14ac:dyDescent="0.25">
      <c r="A441" s="26">
        <v>440</v>
      </c>
      <c r="B441" s="26" t="s">
        <v>287</v>
      </c>
      <c r="C441" s="27" t="s">
        <v>1361</v>
      </c>
      <c r="D441" s="27" t="s">
        <v>763</v>
      </c>
      <c r="E441" s="27" t="s">
        <v>778</v>
      </c>
      <c r="F441" s="17">
        <v>939573663</v>
      </c>
      <c r="G441" s="27" t="s">
        <v>912</v>
      </c>
      <c r="H441" s="29">
        <v>42</v>
      </c>
      <c r="I441" s="27" t="s">
        <v>934</v>
      </c>
      <c r="J441" s="29">
        <v>12</v>
      </c>
      <c r="K441" s="27" t="s">
        <v>765</v>
      </c>
      <c r="L441" s="30">
        <v>60</v>
      </c>
    </row>
    <row r="442" spans="1:12" x14ac:dyDescent="0.25">
      <c r="A442" s="26">
        <v>441</v>
      </c>
      <c r="B442" s="26" t="s">
        <v>288</v>
      </c>
      <c r="C442" s="27" t="s">
        <v>1362</v>
      </c>
      <c r="D442" s="27" t="s">
        <v>763</v>
      </c>
      <c r="E442" s="27" t="s">
        <v>779</v>
      </c>
      <c r="F442" s="17">
        <v>939636248</v>
      </c>
      <c r="G442" s="27" t="s">
        <v>912</v>
      </c>
      <c r="H442" s="29">
        <v>42</v>
      </c>
      <c r="I442" s="27" t="s">
        <v>934</v>
      </c>
      <c r="J442" s="29">
        <v>12</v>
      </c>
      <c r="K442" s="27" t="s">
        <v>765</v>
      </c>
      <c r="L442" s="30">
        <v>60</v>
      </c>
    </row>
    <row r="443" spans="1:12" x14ac:dyDescent="0.25">
      <c r="A443" s="26">
        <v>442</v>
      </c>
      <c r="B443" s="26" t="s">
        <v>289</v>
      </c>
      <c r="C443" s="27" t="s">
        <v>1363</v>
      </c>
      <c r="D443" s="27" t="s">
        <v>763</v>
      </c>
      <c r="E443" s="27" t="s">
        <v>779</v>
      </c>
      <c r="F443" s="17">
        <v>939636248</v>
      </c>
      <c r="G443" s="27" t="s">
        <v>912</v>
      </c>
      <c r="H443" s="29">
        <v>42</v>
      </c>
      <c r="I443" s="27" t="s">
        <v>934</v>
      </c>
      <c r="J443" s="29">
        <v>12</v>
      </c>
      <c r="K443" s="27" t="s">
        <v>765</v>
      </c>
      <c r="L443" s="30">
        <v>60</v>
      </c>
    </row>
    <row r="444" spans="1:12" x14ac:dyDescent="0.25">
      <c r="A444" s="26">
        <v>443</v>
      </c>
      <c r="B444" s="26" t="s">
        <v>324</v>
      </c>
      <c r="C444" s="27" t="s">
        <v>1364</v>
      </c>
      <c r="D444" s="27" t="s">
        <v>763</v>
      </c>
      <c r="E444" s="27" t="s">
        <v>878</v>
      </c>
      <c r="F444" s="17">
        <v>908099992</v>
      </c>
      <c r="G444" s="27" t="s">
        <v>912</v>
      </c>
      <c r="H444" s="29">
        <v>45</v>
      </c>
      <c r="I444" s="27" t="s">
        <v>931</v>
      </c>
      <c r="J444" s="29">
        <v>5.5</v>
      </c>
      <c r="K444" s="27" t="s">
        <v>878</v>
      </c>
      <c r="L444" s="30">
        <v>60</v>
      </c>
    </row>
    <row r="445" spans="1:12" x14ac:dyDescent="0.25">
      <c r="A445" s="26">
        <v>444</v>
      </c>
      <c r="B445" s="26" t="s">
        <v>338</v>
      </c>
      <c r="C445" s="27" t="s">
        <v>1365</v>
      </c>
      <c r="D445" s="27" t="s">
        <v>763</v>
      </c>
      <c r="E445" s="27" t="s">
        <v>878</v>
      </c>
      <c r="F445" s="17">
        <v>908099992</v>
      </c>
      <c r="G445" s="27" t="s">
        <v>912</v>
      </c>
      <c r="H445" s="29">
        <v>45</v>
      </c>
      <c r="I445" s="27" t="s">
        <v>986</v>
      </c>
      <c r="J445" s="29">
        <v>8</v>
      </c>
      <c r="K445" s="27" t="s">
        <v>878</v>
      </c>
      <c r="L445" s="30">
        <v>60</v>
      </c>
    </row>
    <row r="446" spans="1:12" x14ac:dyDescent="0.25">
      <c r="A446" s="26">
        <v>445</v>
      </c>
      <c r="B446" s="26" t="s">
        <v>327</v>
      </c>
      <c r="C446" s="27" t="s">
        <v>1366</v>
      </c>
      <c r="D446" s="27" t="s">
        <v>763</v>
      </c>
      <c r="E446" s="27" t="s">
        <v>878</v>
      </c>
      <c r="F446" s="17">
        <v>908099992</v>
      </c>
      <c r="G446" s="27" t="s">
        <v>912</v>
      </c>
      <c r="H446" s="29">
        <v>45</v>
      </c>
      <c r="I446" s="27" t="s">
        <v>1006</v>
      </c>
      <c r="J446" s="27" t="s">
        <v>1006</v>
      </c>
      <c r="K446" s="27" t="s">
        <v>1006</v>
      </c>
      <c r="L446" s="30">
        <v>60</v>
      </c>
    </row>
    <row r="447" spans="1:12" x14ac:dyDescent="0.25">
      <c r="A447" s="26">
        <v>446</v>
      </c>
      <c r="B447" s="26" t="s">
        <v>389</v>
      </c>
      <c r="C447" s="27" t="s">
        <v>1367</v>
      </c>
      <c r="D447" s="27" t="s">
        <v>763</v>
      </c>
      <c r="E447" s="27" t="s">
        <v>878</v>
      </c>
      <c r="F447" s="17">
        <v>908099992</v>
      </c>
      <c r="G447" s="27" t="s">
        <v>912</v>
      </c>
      <c r="H447" s="29">
        <v>0</v>
      </c>
      <c r="I447" s="27" t="s">
        <v>925</v>
      </c>
      <c r="J447" s="29">
        <v>8</v>
      </c>
      <c r="K447" s="27" t="s">
        <v>878</v>
      </c>
      <c r="L447" s="30">
        <v>60</v>
      </c>
    </row>
    <row r="448" spans="1:12" x14ac:dyDescent="0.25">
      <c r="A448" s="26">
        <v>447</v>
      </c>
      <c r="B448" s="26" t="s">
        <v>326</v>
      </c>
      <c r="C448" s="27" t="s">
        <v>1368</v>
      </c>
      <c r="D448" s="27" t="s">
        <v>763</v>
      </c>
      <c r="E448" s="27" t="s">
        <v>878</v>
      </c>
      <c r="F448" s="17">
        <v>908099992</v>
      </c>
      <c r="G448" s="27" t="s">
        <v>912</v>
      </c>
      <c r="H448" s="29">
        <v>0</v>
      </c>
      <c r="I448" s="27" t="s">
        <v>986</v>
      </c>
      <c r="J448" s="29">
        <v>8</v>
      </c>
      <c r="K448" s="27" t="s">
        <v>878</v>
      </c>
      <c r="L448" s="30">
        <v>60</v>
      </c>
    </row>
    <row r="449" spans="1:12" x14ac:dyDescent="0.25">
      <c r="A449" s="26">
        <v>448</v>
      </c>
      <c r="B449" s="26" t="s">
        <v>378</v>
      </c>
      <c r="C449" s="27" t="s">
        <v>1369</v>
      </c>
      <c r="D449" s="27" t="s">
        <v>763</v>
      </c>
      <c r="E449" s="27" t="s">
        <v>878</v>
      </c>
      <c r="F449" s="17">
        <v>908099992</v>
      </c>
      <c r="G449" s="27" t="s">
        <v>903</v>
      </c>
      <c r="H449" s="29">
        <v>50</v>
      </c>
      <c r="I449" s="27" t="s">
        <v>965</v>
      </c>
      <c r="J449" s="29">
        <v>15</v>
      </c>
      <c r="K449" s="27" t="s">
        <v>878</v>
      </c>
      <c r="L449" s="30">
        <v>60</v>
      </c>
    </row>
    <row r="450" spans="1:12" x14ac:dyDescent="0.25">
      <c r="A450" s="26">
        <v>449</v>
      </c>
      <c r="B450" s="26" t="s">
        <v>395</v>
      </c>
      <c r="C450" s="27" t="s">
        <v>1370</v>
      </c>
      <c r="D450" s="27" t="s">
        <v>763</v>
      </c>
      <c r="E450" s="27" t="s">
        <v>759</v>
      </c>
      <c r="F450" s="17">
        <v>907757913</v>
      </c>
      <c r="G450" s="27" t="s">
        <v>912</v>
      </c>
      <c r="H450" s="29">
        <v>39</v>
      </c>
      <c r="I450" s="27" t="s">
        <v>934</v>
      </c>
      <c r="J450" s="29">
        <v>12</v>
      </c>
      <c r="K450" s="27" t="s">
        <v>937</v>
      </c>
      <c r="L450" s="30">
        <v>60</v>
      </c>
    </row>
    <row r="451" spans="1:12" x14ac:dyDescent="0.25">
      <c r="A451" s="26">
        <v>450</v>
      </c>
      <c r="B451" s="26" t="s">
        <v>413</v>
      </c>
      <c r="C451" s="27" t="s">
        <v>1371</v>
      </c>
      <c r="D451" s="27" t="s">
        <v>763</v>
      </c>
      <c r="E451" s="27" t="s">
        <v>759</v>
      </c>
      <c r="F451" s="17">
        <v>939595588</v>
      </c>
      <c r="G451" s="27" t="s">
        <v>912</v>
      </c>
      <c r="H451" s="29">
        <v>42</v>
      </c>
      <c r="I451" s="27" t="s">
        <v>1007</v>
      </c>
      <c r="J451" s="27" t="s">
        <v>1007</v>
      </c>
      <c r="K451" s="27" t="s">
        <v>1007</v>
      </c>
      <c r="L451" s="30">
        <v>60</v>
      </c>
    </row>
    <row r="452" spans="1:12" x14ac:dyDescent="0.25">
      <c r="A452" s="26">
        <v>451</v>
      </c>
      <c r="B452" s="26" t="s">
        <v>414</v>
      </c>
      <c r="C452" s="27" t="s">
        <v>1372</v>
      </c>
      <c r="D452" s="27" t="s">
        <v>763</v>
      </c>
      <c r="E452" s="27" t="s">
        <v>878</v>
      </c>
      <c r="F452" s="17">
        <v>901051510</v>
      </c>
      <c r="G452" s="27" t="s">
        <v>912</v>
      </c>
      <c r="H452" s="29">
        <v>42</v>
      </c>
      <c r="I452" s="27" t="s">
        <v>925</v>
      </c>
      <c r="J452" s="29">
        <v>8</v>
      </c>
      <c r="K452" s="27" t="s">
        <v>878</v>
      </c>
      <c r="L452" s="30">
        <v>60</v>
      </c>
    </row>
    <row r="453" spans="1:12" x14ac:dyDescent="0.25">
      <c r="A453" s="26">
        <v>452</v>
      </c>
      <c r="B453" s="26" t="s">
        <v>409</v>
      </c>
      <c r="C453" s="27" t="s">
        <v>1373</v>
      </c>
      <c r="D453" s="27" t="s">
        <v>763</v>
      </c>
      <c r="E453" s="27" t="s">
        <v>878</v>
      </c>
      <c r="F453" s="17">
        <v>1674052647</v>
      </c>
      <c r="G453" s="27" t="s">
        <v>912</v>
      </c>
      <c r="H453" s="29">
        <v>45</v>
      </c>
      <c r="I453" s="27" t="s">
        <v>1086</v>
      </c>
      <c r="J453" s="29">
        <v>8</v>
      </c>
      <c r="K453" s="27" t="s">
        <v>878</v>
      </c>
      <c r="L453" s="30">
        <v>60</v>
      </c>
    </row>
    <row r="454" spans="1:12" x14ac:dyDescent="0.25">
      <c r="A454" s="26">
        <v>453</v>
      </c>
      <c r="B454" s="26" t="s">
        <v>481</v>
      </c>
      <c r="C454" s="27" t="s">
        <v>712</v>
      </c>
      <c r="D454" s="27" t="s">
        <v>763</v>
      </c>
      <c r="E454" s="27" t="s">
        <v>759</v>
      </c>
      <c r="F454" s="17">
        <v>908099992</v>
      </c>
      <c r="G454" s="27" t="s">
        <v>912</v>
      </c>
      <c r="H454" s="29">
        <v>42</v>
      </c>
      <c r="I454" s="27" t="s">
        <v>998</v>
      </c>
      <c r="J454" s="29">
        <v>5.5</v>
      </c>
      <c r="K454" s="27" t="s">
        <v>878</v>
      </c>
      <c r="L454" s="30">
        <v>60</v>
      </c>
    </row>
    <row r="455" spans="1:12" x14ac:dyDescent="0.25">
      <c r="A455" s="26">
        <v>454</v>
      </c>
      <c r="B455" s="26" t="s">
        <v>491</v>
      </c>
      <c r="C455" s="27" t="s">
        <v>713</v>
      </c>
      <c r="D455" s="27" t="s">
        <v>763</v>
      </c>
      <c r="E455" s="27" t="s">
        <v>759</v>
      </c>
      <c r="F455" s="17">
        <v>939960008</v>
      </c>
      <c r="G455" s="27" t="s">
        <v>912</v>
      </c>
      <c r="H455" s="29">
        <v>42</v>
      </c>
      <c r="I455" s="27" t="s">
        <v>1002</v>
      </c>
      <c r="J455" s="29">
        <v>6</v>
      </c>
      <c r="K455" s="27" t="s">
        <v>878</v>
      </c>
      <c r="L455" s="30">
        <v>60</v>
      </c>
    </row>
    <row r="456" spans="1:12" x14ac:dyDescent="0.25">
      <c r="A456" s="26">
        <v>455</v>
      </c>
      <c r="B456" s="26" t="s">
        <v>492</v>
      </c>
      <c r="C456" s="27" t="s">
        <v>714</v>
      </c>
      <c r="D456" s="27" t="s">
        <v>763</v>
      </c>
      <c r="E456" s="27" t="s">
        <v>759</v>
      </c>
      <c r="F456" s="17">
        <v>939595588</v>
      </c>
      <c r="G456" s="27" t="s">
        <v>912</v>
      </c>
      <c r="H456" s="29">
        <v>42</v>
      </c>
      <c r="I456" s="27" t="s">
        <v>1002</v>
      </c>
      <c r="J456" s="29">
        <v>6</v>
      </c>
      <c r="K456" s="27" t="s">
        <v>878</v>
      </c>
      <c r="L456" s="30">
        <v>60</v>
      </c>
    </row>
    <row r="457" spans="1:12" x14ac:dyDescent="0.25">
      <c r="A457" s="26">
        <v>456</v>
      </c>
      <c r="B457" s="26" t="s">
        <v>545</v>
      </c>
      <c r="C457" s="27" t="s">
        <v>715</v>
      </c>
      <c r="D457" s="27" t="s">
        <v>763</v>
      </c>
      <c r="E457" s="27" t="s">
        <v>757</v>
      </c>
      <c r="F457" s="17">
        <v>931920679</v>
      </c>
      <c r="G457" s="27" t="s">
        <v>912</v>
      </c>
      <c r="H457" s="29">
        <v>42</v>
      </c>
      <c r="I457" s="27" t="s">
        <v>1006</v>
      </c>
      <c r="J457" s="27" t="s">
        <v>1007</v>
      </c>
      <c r="K457" s="27" t="s">
        <v>1006</v>
      </c>
      <c r="L457" s="30">
        <v>60</v>
      </c>
    </row>
    <row r="458" spans="1:12" x14ac:dyDescent="0.25">
      <c r="A458" s="26">
        <v>457</v>
      </c>
      <c r="B458" s="26" t="s">
        <v>508</v>
      </c>
      <c r="C458" s="27" t="s">
        <v>716</v>
      </c>
      <c r="D458" s="27" t="s">
        <v>763</v>
      </c>
      <c r="E458" s="27" t="s">
        <v>759</v>
      </c>
      <c r="F458" s="17">
        <v>939595588</v>
      </c>
      <c r="G458" s="27" t="s">
        <v>912</v>
      </c>
      <c r="H458" s="29">
        <v>42</v>
      </c>
      <c r="I458" s="27" t="s">
        <v>1002</v>
      </c>
      <c r="J458" s="29">
        <v>6</v>
      </c>
      <c r="K458" s="27" t="s">
        <v>878</v>
      </c>
      <c r="L458" s="30">
        <v>60</v>
      </c>
    </row>
    <row r="459" spans="1:12" x14ac:dyDescent="0.25">
      <c r="A459" s="26">
        <v>458</v>
      </c>
      <c r="B459" s="26" t="s">
        <v>493</v>
      </c>
      <c r="C459" s="27" t="s">
        <v>717</v>
      </c>
      <c r="D459" s="27" t="s">
        <v>763</v>
      </c>
      <c r="E459" s="27" t="s">
        <v>759</v>
      </c>
      <c r="F459" s="17">
        <v>939553439</v>
      </c>
      <c r="G459" s="27" t="s">
        <v>912</v>
      </c>
      <c r="H459" s="29">
        <v>42</v>
      </c>
      <c r="I459" s="27" t="s">
        <v>1002</v>
      </c>
      <c r="J459" s="29">
        <v>6</v>
      </c>
      <c r="K459" s="27" t="s">
        <v>878</v>
      </c>
      <c r="L459" s="30">
        <v>60</v>
      </c>
    </row>
    <row r="460" spans="1:12" x14ac:dyDescent="0.25">
      <c r="A460" s="26">
        <v>459</v>
      </c>
      <c r="B460" s="26" t="s">
        <v>509</v>
      </c>
      <c r="C460" s="27" t="s">
        <v>718</v>
      </c>
      <c r="D460" s="27" t="s">
        <v>763</v>
      </c>
      <c r="E460" s="27" t="s">
        <v>759</v>
      </c>
      <c r="F460" s="17">
        <v>939553439</v>
      </c>
      <c r="G460" s="27" t="s">
        <v>912</v>
      </c>
      <c r="H460" s="29">
        <v>42</v>
      </c>
      <c r="I460" s="27" t="s">
        <v>1002</v>
      </c>
      <c r="J460" s="29">
        <v>6</v>
      </c>
      <c r="K460" s="27" t="s">
        <v>878</v>
      </c>
      <c r="L460" s="30">
        <v>60</v>
      </c>
    </row>
    <row r="461" spans="1:12" x14ac:dyDescent="0.25">
      <c r="A461" s="26">
        <v>460</v>
      </c>
      <c r="B461" s="26" t="s">
        <v>514</v>
      </c>
      <c r="C461" s="27" t="s">
        <v>719</v>
      </c>
      <c r="D461" s="27" t="s">
        <v>763</v>
      </c>
      <c r="E461" s="27" t="s">
        <v>759</v>
      </c>
      <c r="F461" s="17">
        <v>939553439</v>
      </c>
      <c r="G461" s="27" t="s">
        <v>912</v>
      </c>
      <c r="H461" s="29">
        <v>42</v>
      </c>
      <c r="I461" s="27" t="s">
        <v>1007</v>
      </c>
      <c r="J461" s="27" t="s">
        <v>1007</v>
      </c>
      <c r="K461" s="27" t="s">
        <v>1007</v>
      </c>
      <c r="L461" s="30">
        <v>60</v>
      </c>
    </row>
    <row r="462" spans="1:12" x14ac:dyDescent="0.25">
      <c r="A462" s="26">
        <v>461</v>
      </c>
      <c r="B462" s="26" t="s">
        <v>290</v>
      </c>
      <c r="C462" s="27" t="s">
        <v>1374</v>
      </c>
      <c r="D462" s="27" t="s">
        <v>796</v>
      </c>
      <c r="E462" s="27" t="s">
        <v>759</v>
      </c>
      <c r="F462" s="17">
        <v>916999938</v>
      </c>
      <c r="G462" s="27" t="s">
        <v>912</v>
      </c>
      <c r="H462" s="29">
        <v>40</v>
      </c>
      <c r="I462" s="27" t="s">
        <v>986</v>
      </c>
      <c r="J462" s="29">
        <v>8</v>
      </c>
      <c r="K462" s="27" t="s">
        <v>878</v>
      </c>
      <c r="L462" s="30">
        <v>60</v>
      </c>
    </row>
    <row r="463" spans="1:12" x14ac:dyDescent="0.25">
      <c r="A463" s="26">
        <v>462</v>
      </c>
      <c r="B463" s="26" t="s">
        <v>291</v>
      </c>
      <c r="C463" s="27" t="s">
        <v>1375</v>
      </c>
      <c r="D463" s="27" t="s">
        <v>796</v>
      </c>
      <c r="E463" s="27" t="s">
        <v>878</v>
      </c>
      <c r="F463" s="17">
        <v>908099992</v>
      </c>
      <c r="G463" s="27" t="s">
        <v>903</v>
      </c>
      <c r="H463" s="29">
        <v>42</v>
      </c>
      <c r="I463" s="27" t="s">
        <v>952</v>
      </c>
      <c r="J463" s="29">
        <v>12.5</v>
      </c>
      <c r="K463" s="27" t="s">
        <v>878</v>
      </c>
      <c r="L463" s="30">
        <v>60</v>
      </c>
    </row>
    <row r="464" spans="1:12" x14ac:dyDescent="0.25">
      <c r="A464" s="26">
        <v>463</v>
      </c>
      <c r="B464" s="26" t="s">
        <v>292</v>
      </c>
      <c r="C464" s="27" t="s">
        <v>1376</v>
      </c>
      <c r="D464" s="27" t="s">
        <v>796</v>
      </c>
      <c r="E464" s="27" t="s">
        <v>974</v>
      </c>
      <c r="F464" s="17">
        <v>907291771</v>
      </c>
      <c r="G464" s="27" t="s">
        <v>912</v>
      </c>
      <c r="H464" s="29">
        <v>45</v>
      </c>
      <c r="I464" s="27" t="s">
        <v>934</v>
      </c>
      <c r="J464" s="29">
        <v>12</v>
      </c>
      <c r="K464" s="27" t="s">
        <v>765</v>
      </c>
      <c r="L464" s="30">
        <v>60</v>
      </c>
    </row>
    <row r="465" spans="1:12" x14ac:dyDescent="0.25">
      <c r="A465" s="26">
        <v>464</v>
      </c>
      <c r="B465" s="26" t="s">
        <v>293</v>
      </c>
      <c r="C465" s="27" t="s">
        <v>1377</v>
      </c>
      <c r="D465" s="27" t="s">
        <v>796</v>
      </c>
      <c r="E465" s="27" t="s">
        <v>878</v>
      </c>
      <c r="F465" s="17">
        <v>908099992</v>
      </c>
      <c r="G465" s="27" t="s">
        <v>912</v>
      </c>
      <c r="H465" s="29">
        <v>45</v>
      </c>
      <c r="I465" s="27" t="s">
        <v>925</v>
      </c>
      <c r="J465" s="29">
        <v>8</v>
      </c>
      <c r="K465" s="27" t="s">
        <v>878</v>
      </c>
      <c r="L465" s="30">
        <v>60</v>
      </c>
    </row>
    <row r="466" spans="1:12" x14ac:dyDescent="0.25">
      <c r="A466" s="26">
        <v>465</v>
      </c>
      <c r="B466" s="26" t="s">
        <v>294</v>
      </c>
      <c r="C466" s="27" t="s">
        <v>1378</v>
      </c>
      <c r="D466" s="27" t="s">
        <v>796</v>
      </c>
      <c r="E466" s="27" t="s">
        <v>878</v>
      </c>
      <c r="F466" s="17">
        <v>908099992</v>
      </c>
      <c r="G466" s="27" t="s">
        <v>903</v>
      </c>
      <c r="H466" s="29">
        <v>50</v>
      </c>
      <c r="I466" s="27" t="s">
        <v>965</v>
      </c>
      <c r="J466" s="29">
        <v>15</v>
      </c>
      <c r="K466" s="27" t="s">
        <v>878</v>
      </c>
      <c r="L466" s="30">
        <v>60</v>
      </c>
    </row>
    <row r="467" spans="1:12" x14ac:dyDescent="0.25">
      <c r="A467" s="26">
        <v>466</v>
      </c>
      <c r="B467" s="26" t="s">
        <v>295</v>
      </c>
      <c r="C467" s="27" t="s">
        <v>1379</v>
      </c>
      <c r="D467" s="27" t="s">
        <v>796</v>
      </c>
      <c r="E467" s="27" t="s">
        <v>933</v>
      </c>
      <c r="F467" s="17">
        <v>903303637</v>
      </c>
      <c r="G467" s="27" t="s">
        <v>912</v>
      </c>
      <c r="H467" s="29">
        <v>42</v>
      </c>
      <c r="I467" s="27" t="s">
        <v>934</v>
      </c>
      <c r="J467" s="29">
        <v>12</v>
      </c>
      <c r="K467" s="27" t="s">
        <v>765</v>
      </c>
      <c r="L467" s="30">
        <v>60</v>
      </c>
    </row>
    <row r="468" spans="1:12" x14ac:dyDescent="0.25">
      <c r="A468" s="26">
        <v>467</v>
      </c>
      <c r="B468" s="26" t="s">
        <v>296</v>
      </c>
      <c r="C468" s="27" t="s">
        <v>1380</v>
      </c>
      <c r="D468" s="27" t="s">
        <v>796</v>
      </c>
      <c r="E468" s="27" t="s">
        <v>778</v>
      </c>
      <c r="F468" s="17">
        <v>939573663</v>
      </c>
      <c r="G468" s="27" t="s">
        <v>912</v>
      </c>
      <c r="H468" s="29">
        <v>33</v>
      </c>
      <c r="I468" s="27" t="s">
        <v>1011</v>
      </c>
      <c r="J468" s="29">
        <v>5</v>
      </c>
      <c r="K468" s="27" t="s">
        <v>765</v>
      </c>
      <c r="L468" s="30">
        <v>60</v>
      </c>
    </row>
    <row r="469" spans="1:12" x14ac:dyDescent="0.25">
      <c r="A469" s="26">
        <v>468</v>
      </c>
      <c r="B469" s="26" t="s">
        <v>297</v>
      </c>
      <c r="C469" s="27" t="s">
        <v>1381</v>
      </c>
      <c r="D469" s="27" t="s">
        <v>796</v>
      </c>
      <c r="E469" s="27" t="s">
        <v>878</v>
      </c>
      <c r="F469" s="17">
        <v>908099992</v>
      </c>
      <c r="G469" s="27" t="s">
        <v>912</v>
      </c>
      <c r="H469" s="29">
        <v>45</v>
      </c>
      <c r="I469" s="27" t="s">
        <v>965</v>
      </c>
      <c r="J469" s="29">
        <v>15</v>
      </c>
      <c r="K469" s="27" t="s">
        <v>878</v>
      </c>
      <c r="L469" s="30">
        <v>60</v>
      </c>
    </row>
    <row r="470" spans="1:12" x14ac:dyDescent="0.25">
      <c r="A470" s="26">
        <v>469</v>
      </c>
      <c r="B470" s="26" t="s">
        <v>298</v>
      </c>
      <c r="C470" s="27" t="s">
        <v>1382</v>
      </c>
      <c r="D470" s="27" t="s">
        <v>796</v>
      </c>
      <c r="E470" s="27" t="s">
        <v>778</v>
      </c>
      <c r="F470" s="17">
        <v>939573663</v>
      </c>
      <c r="G470" s="27" t="s">
        <v>912</v>
      </c>
      <c r="H470" s="29">
        <v>39</v>
      </c>
      <c r="I470" s="27" t="s">
        <v>934</v>
      </c>
      <c r="J470" s="29">
        <v>12</v>
      </c>
      <c r="K470" s="27" t="s">
        <v>765</v>
      </c>
      <c r="L470" s="30">
        <v>60</v>
      </c>
    </row>
    <row r="471" spans="1:12" x14ac:dyDescent="0.25">
      <c r="A471" s="26">
        <v>470</v>
      </c>
      <c r="B471" s="26" t="s">
        <v>299</v>
      </c>
      <c r="C471" s="27" t="s">
        <v>1383</v>
      </c>
      <c r="D471" s="27" t="s">
        <v>796</v>
      </c>
      <c r="E471" s="27" t="s">
        <v>778</v>
      </c>
      <c r="F471" s="17">
        <v>939573663</v>
      </c>
      <c r="G471" s="27" t="s">
        <v>912</v>
      </c>
      <c r="H471" s="29">
        <v>40</v>
      </c>
      <c r="I471" s="27" t="s">
        <v>934</v>
      </c>
      <c r="J471" s="29">
        <v>12</v>
      </c>
      <c r="K471" s="27" t="s">
        <v>765</v>
      </c>
      <c r="L471" s="30">
        <v>60</v>
      </c>
    </row>
    <row r="472" spans="1:12" x14ac:dyDescent="0.25">
      <c r="A472" s="26">
        <v>471</v>
      </c>
      <c r="B472" s="26" t="s">
        <v>300</v>
      </c>
      <c r="C472" s="27" t="s">
        <v>1384</v>
      </c>
      <c r="D472" s="27" t="s">
        <v>796</v>
      </c>
      <c r="E472" s="27" t="s">
        <v>778</v>
      </c>
      <c r="F472" s="17">
        <v>939573663</v>
      </c>
      <c r="G472" s="27" t="s">
        <v>912</v>
      </c>
      <c r="H472" s="29">
        <v>40</v>
      </c>
      <c r="I472" s="27" t="s">
        <v>934</v>
      </c>
      <c r="J472" s="29">
        <v>12</v>
      </c>
      <c r="K472" s="27" t="s">
        <v>765</v>
      </c>
      <c r="L472" s="30">
        <v>60</v>
      </c>
    </row>
    <row r="473" spans="1:12" x14ac:dyDescent="0.25">
      <c r="A473" s="26">
        <v>472</v>
      </c>
      <c r="B473" s="26" t="s">
        <v>301</v>
      </c>
      <c r="C473" s="27" t="s">
        <v>1385</v>
      </c>
      <c r="D473" s="27" t="s">
        <v>796</v>
      </c>
      <c r="E473" s="27" t="s">
        <v>778</v>
      </c>
      <c r="F473" s="17">
        <v>939573663</v>
      </c>
      <c r="G473" s="27" t="s">
        <v>912</v>
      </c>
      <c r="H473" s="29">
        <v>40</v>
      </c>
      <c r="I473" s="27" t="s">
        <v>934</v>
      </c>
      <c r="J473" s="29">
        <v>12</v>
      </c>
      <c r="K473" s="27" t="s">
        <v>765</v>
      </c>
      <c r="L473" s="30">
        <v>60</v>
      </c>
    </row>
    <row r="474" spans="1:12" x14ac:dyDescent="0.25">
      <c r="A474" s="26">
        <v>473</v>
      </c>
      <c r="B474" s="26" t="s">
        <v>302</v>
      </c>
      <c r="C474" s="27" t="s">
        <v>1386</v>
      </c>
      <c r="D474" s="27" t="s">
        <v>796</v>
      </c>
      <c r="E474" s="27" t="s">
        <v>779</v>
      </c>
      <c r="F474" s="17">
        <v>939636248</v>
      </c>
      <c r="G474" s="27" t="s">
        <v>912</v>
      </c>
      <c r="H474" s="29">
        <v>42</v>
      </c>
      <c r="I474" s="27" t="s">
        <v>934</v>
      </c>
      <c r="J474" s="29">
        <v>12</v>
      </c>
      <c r="K474" s="27" t="s">
        <v>765</v>
      </c>
      <c r="L474" s="30">
        <v>60</v>
      </c>
    </row>
    <row r="475" spans="1:12" x14ac:dyDescent="0.25">
      <c r="A475" s="26">
        <v>474</v>
      </c>
      <c r="B475" s="26" t="s">
        <v>303</v>
      </c>
      <c r="C475" s="27" t="s">
        <v>1387</v>
      </c>
      <c r="D475" s="27" t="s">
        <v>796</v>
      </c>
      <c r="E475" s="27" t="s">
        <v>779</v>
      </c>
      <c r="F475" s="17">
        <v>939636248</v>
      </c>
      <c r="G475" s="27" t="s">
        <v>912</v>
      </c>
      <c r="H475" s="29">
        <v>42</v>
      </c>
      <c r="I475" s="27" t="s">
        <v>934</v>
      </c>
      <c r="J475" s="29">
        <v>12</v>
      </c>
      <c r="K475" s="27" t="s">
        <v>765</v>
      </c>
      <c r="L475" s="30">
        <v>60</v>
      </c>
    </row>
    <row r="476" spans="1:12" x14ac:dyDescent="0.25">
      <c r="A476" s="26">
        <v>475</v>
      </c>
      <c r="B476" s="26" t="s">
        <v>304</v>
      </c>
      <c r="C476" s="27" t="s">
        <v>1388</v>
      </c>
      <c r="D476" s="27" t="s">
        <v>796</v>
      </c>
      <c r="E476" s="27" t="s">
        <v>779</v>
      </c>
      <c r="F476" s="17">
        <v>939636248</v>
      </c>
      <c r="G476" s="27" t="s">
        <v>912</v>
      </c>
      <c r="H476" s="29">
        <v>42</v>
      </c>
      <c r="I476" s="27" t="s">
        <v>934</v>
      </c>
      <c r="J476" s="29">
        <v>12</v>
      </c>
      <c r="K476" s="27" t="s">
        <v>765</v>
      </c>
      <c r="L476" s="30">
        <v>60</v>
      </c>
    </row>
    <row r="477" spans="1:12" x14ac:dyDescent="0.25">
      <c r="A477" s="26">
        <v>476</v>
      </c>
      <c r="B477" s="26" t="s">
        <v>305</v>
      </c>
      <c r="C477" s="27" t="s">
        <v>1389</v>
      </c>
      <c r="D477" s="27" t="s">
        <v>796</v>
      </c>
      <c r="E477" s="27" t="s">
        <v>779</v>
      </c>
      <c r="F477" s="17">
        <v>939636248</v>
      </c>
      <c r="G477" s="27" t="s">
        <v>912</v>
      </c>
      <c r="H477" s="29">
        <v>42</v>
      </c>
      <c r="I477" s="27" t="s">
        <v>934</v>
      </c>
      <c r="J477" s="29">
        <v>12</v>
      </c>
      <c r="K477" s="27" t="s">
        <v>765</v>
      </c>
      <c r="L477" s="30">
        <v>60</v>
      </c>
    </row>
    <row r="478" spans="1:12" x14ac:dyDescent="0.25">
      <c r="A478" s="26">
        <v>477</v>
      </c>
      <c r="B478" s="26" t="s">
        <v>306</v>
      </c>
      <c r="C478" s="27" t="s">
        <v>1390</v>
      </c>
      <c r="D478" s="27" t="s">
        <v>796</v>
      </c>
      <c r="E478" s="27" t="s">
        <v>779</v>
      </c>
      <c r="F478" s="17">
        <v>939636248</v>
      </c>
      <c r="G478" s="27" t="s">
        <v>912</v>
      </c>
      <c r="H478" s="29">
        <v>42</v>
      </c>
      <c r="I478" s="27" t="s">
        <v>934</v>
      </c>
      <c r="J478" s="29">
        <v>12</v>
      </c>
      <c r="K478" s="27" t="s">
        <v>765</v>
      </c>
      <c r="L478" s="30">
        <v>60</v>
      </c>
    </row>
    <row r="479" spans="1:12" x14ac:dyDescent="0.25">
      <c r="A479" s="26">
        <v>478</v>
      </c>
      <c r="B479" s="26" t="s">
        <v>307</v>
      </c>
      <c r="C479" s="27" t="s">
        <v>1391</v>
      </c>
      <c r="D479" s="27" t="s">
        <v>796</v>
      </c>
      <c r="E479" s="27" t="s">
        <v>779</v>
      </c>
      <c r="F479" s="17">
        <v>939636248</v>
      </c>
      <c r="G479" s="27" t="s">
        <v>912</v>
      </c>
      <c r="H479" s="29">
        <v>42</v>
      </c>
      <c r="I479" s="27" t="s">
        <v>934</v>
      </c>
      <c r="J479" s="29">
        <v>12</v>
      </c>
      <c r="K479" s="27" t="s">
        <v>765</v>
      </c>
      <c r="L479" s="30">
        <v>60</v>
      </c>
    </row>
    <row r="480" spans="1:12" x14ac:dyDescent="0.25">
      <c r="A480" s="26">
        <v>479</v>
      </c>
      <c r="B480" s="26" t="s">
        <v>308</v>
      </c>
      <c r="C480" s="27" t="s">
        <v>1392</v>
      </c>
      <c r="D480" s="27" t="s">
        <v>796</v>
      </c>
      <c r="E480" s="27" t="s">
        <v>779</v>
      </c>
      <c r="F480" s="17">
        <v>939636248</v>
      </c>
      <c r="G480" s="27" t="s">
        <v>912</v>
      </c>
      <c r="H480" s="29">
        <v>42</v>
      </c>
      <c r="I480" s="27" t="s">
        <v>934</v>
      </c>
      <c r="J480" s="29">
        <v>12</v>
      </c>
      <c r="K480" s="27" t="s">
        <v>765</v>
      </c>
      <c r="L480" s="30">
        <v>60</v>
      </c>
    </row>
    <row r="481" spans="1:12" x14ac:dyDescent="0.25">
      <c r="A481" s="26">
        <v>480</v>
      </c>
      <c r="B481" s="26" t="s">
        <v>309</v>
      </c>
      <c r="C481" s="27" t="s">
        <v>1393</v>
      </c>
      <c r="D481" s="27" t="s">
        <v>796</v>
      </c>
      <c r="E481" s="27" t="s">
        <v>779</v>
      </c>
      <c r="F481" s="17">
        <v>939636248</v>
      </c>
      <c r="G481" s="27" t="s">
        <v>912</v>
      </c>
      <c r="H481" s="29">
        <v>42</v>
      </c>
      <c r="I481" s="27" t="s">
        <v>934</v>
      </c>
      <c r="J481" s="29">
        <v>12</v>
      </c>
      <c r="K481" s="27" t="s">
        <v>765</v>
      </c>
      <c r="L481" s="30">
        <v>60</v>
      </c>
    </row>
    <row r="482" spans="1:12" x14ac:dyDescent="0.25">
      <c r="A482" s="26">
        <v>481</v>
      </c>
      <c r="B482" s="26" t="s">
        <v>310</v>
      </c>
      <c r="C482" s="27" t="s">
        <v>1394</v>
      </c>
      <c r="D482" s="27" t="s">
        <v>796</v>
      </c>
      <c r="E482" s="27" t="s">
        <v>779</v>
      </c>
      <c r="F482" s="17">
        <v>939636248</v>
      </c>
      <c r="G482" s="27" t="s">
        <v>912</v>
      </c>
      <c r="H482" s="29">
        <v>42</v>
      </c>
      <c r="I482" s="27" t="s">
        <v>934</v>
      </c>
      <c r="J482" s="29">
        <v>12</v>
      </c>
      <c r="K482" s="27" t="s">
        <v>765</v>
      </c>
      <c r="L482" s="30">
        <v>60</v>
      </c>
    </row>
    <row r="483" spans="1:12" x14ac:dyDescent="0.25">
      <c r="A483" s="26">
        <v>482</v>
      </c>
      <c r="B483" s="26" t="s">
        <v>311</v>
      </c>
      <c r="C483" s="27" t="s">
        <v>1395</v>
      </c>
      <c r="D483" s="27" t="s">
        <v>796</v>
      </c>
      <c r="E483" s="27" t="s">
        <v>779</v>
      </c>
      <c r="F483" s="17">
        <v>939636248</v>
      </c>
      <c r="G483" s="27" t="s">
        <v>912</v>
      </c>
      <c r="H483" s="29">
        <v>42</v>
      </c>
      <c r="I483" s="27" t="s">
        <v>934</v>
      </c>
      <c r="J483" s="29">
        <v>12</v>
      </c>
      <c r="K483" s="27" t="s">
        <v>765</v>
      </c>
      <c r="L483" s="30">
        <v>60</v>
      </c>
    </row>
    <row r="484" spans="1:12" x14ac:dyDescent="0.25">
      <c r="A484" s="26">
        <v>483</v>
      </c>
      <c r="B484" s="26" t="s">
        <v>312</v>
      </c>
      <c r="C484" s="27" t="s">
        <v>1396</v>
      </c>
      <c r="D484" s="27" t="s">
        <v>796</v>
      </c>
      <c r="E484" s="27" t="s">
        <v>974</v>
      </c>
      <c r="F484" s="17">
        <v>907291771</v>
      </c>
      <c r="G484" s="27" t="s">
        <v>912</v>
      </c>
      <c r="H484" s="29">
        <v>45</v>
      </c>
      <c r="I484" s="27" t="s">
        <v>934</v>
      </c>
      <c r="J484" s="29">
        <v>12</v>
      </c>
      <c r="K484" s="27" t="s">
        <v>765</v>
      </c>
      <c r="L484" s="30">
        <v>60</v>
      </c>
    </row>
    <row r="485" spans="1:12" x14ac:dyDescent="0.25">
      <c r="A485" s="26">
        <v>484</v>
      </c>
      <c r="B485" s="26" t="s">
        <v>313</v>
      </c>
      <c r="C485" s="27" t="s">
        <v>1397</v>
      </c>
      <c r="D485" s="27" t="s">
        <v>796</v>
      </c>
      <c r="E485" s="27" t="s">
        <v>842</v>
      </c>
      <c r="F485" s="17">
        <v>908099992</v>
      </c>
      <c r="G485" s="27" t="s">
        <v>912</v>
      </c>
      <c r="H485" s="29">
        <v>33</v>
      </c>
      <c r="I485" s="27" t="s">
        <v>1139</v>
      </c>
      <c r="J485" s="29">
        <v>8</v>
      </c>
      <c r="K485" s="27" t="s">
        <v>878</v>
      </c>
      <c r="L485" s="30">
        <v>60</v>
      </c>
    </row>
    <row r="486" spans="1:12" x14ac:dyDescent="0.25">
      <c r="A486" s="26">
        <v>485</v>
      </c>
      <c r="B486" s="26" t="s">
        <v>314</v>
      </c>
      <c r="C486" s="27" t="s">
        <v>1398</v>
      </c>
      <c r="D486" s="27" t="s">
        <v>796</v>
      </c>
      <c r="E486" s="27" t="s">
        <v>933</v>
      </c>
      <c r="F486" s="17">
        <v>903303637</v>
      </c>
      <c r="G486" s="27" t="s">
        <v>912</v>
      </c>
      <c r="H486" s="29">
        <v>42</v>
      </c>
      <c r="I486" s="27" t="s">
        <v>934</v>
      </c>
      <c r="J486" s="29">
        <v>12</v>
      </c>
      <c r="K486" s="27" t="s">
        <v>765</v>
      </c>
      <c r="L486" s="30">
        <v>60</v>
      </c>
    </row>
    <row r="487" spans="1:12" x14ac:dyDescent="0.25">
      <c r="A487" s="26">
        <v>486</v>
      </c>
      <c r="B487" s="26" t="s">
        <v>315</v>
      </c>
      <c r="C487" s="27" t="s">
        <v>1399</v>
      </c>
      <c r="D487" s="27" t="s">
        <v>796</v>
      </c>
      <c r="E487" s="27" t="s">
        <v>974</v>
      </c>
      <c r="F487" s="17">
        <v>907291771</v>
      </c>
      <c r="G487" s="27" t="s">
        <v>912</v>
      </c>
      <c r="H487" s="29">
        <v>45</v>
      </c>
      <c r="I487" s="27" t="s">
        <v>934</v>
      </c>
      <c r="J487" s="29">
        <v>12</v>
      </c>
      <c r="K487" s="27" t="s">
        <v>765</v>
      </c>
      <c r="L487" s="30">
        <v>60</v>
      </c>
    </row>
    <row r="488" spans="1:12" x14ac:dyDescent="0.25">
      <c r="A488" s="26">
        <v>487</v>
      </c>
      <c r="B488" s="26" t="s">
        <v>319</v>
      </c>
      <c r="C488" s="27" t="s">
        <v>1400</v>
      </c>
      <c r="D488" s="27" t="s">
        <v>796</v>
      </c>
      <c r="E488" s="27" t="s">
        <v>878</v>
      </c>
      <c r="F488" s="17">
        <v>908099992</v>
      </c>
      <c r="G488" s="27" t="s">
        <v>912</v>
      </c>
      <c r="H488" s="29">
        <v>45</v>
      </c>
      <c r="I488" s="27" t="s">
        <v>927</v>
      </c>
      <c r="J488" s="29">
        <v>8</v>
      </c>
      <c r="K488" s="27" t="s">
        <v>878</v>
      </c>
      <c r="L488" s="30">
        <v>60</v>
      </c>
    </row>
    <row r="489" spans="1:12" x14ac:dyDescent="0.25">
      <c r="A489" s="26">
        <v>488</v>
      </c>
      <c r="B489" s="26" t="s">
        <v>323</v>
      </c>
      <c r="C489" s="27" t="s">
        <v>1401</v>
      </c>
      <c r="D489" s="27" t="s">
        <v>796</v>
      </c>
      <c r="E489" s="27" t="s">
        <v>878</v>
      </c>
      <c r="F489" s="17">
        <v>908099992</v>
      </c>
      <c r="G489" s="27" t="s">
        <v>912</v>
      </c>
      <c r="H489" s="29">
        <v>45</v>
      </c>
      <c r="I489" s="27" t="s">
        <v>986</v>
      </c>
      <c r="J489" s="29">
        <v>8</v>
      </c>
      <c r="K489" s="27" t="s">
        <v>878</v>
      </c>
      <c r="L489" s="30">
        <v>60</v>
      </c>
    </row>
    <row r="490" spans="1:12" x14ac:dyDescent="0.25">
      <c r="A490" s="26">
        <v>489</v>
      </c>
      <c r="B490" s="26" t="s">
        <v>320</v>
      </c>
      <c r="C490" s="27" t="s">
        <v>1402</v>
      </c>
      <c r="D490" s="27" t="s">
        <v>796</v>
      </c>
      <c r="E490" s="27" t="s">
        <v>878</v>
      </c>
      <c r="F490" s="17">
        <v>908099992</v>
      </c>
      <c r="G490" s="27" t="s">
        <v>912</v>
      </c>
      <c r="H490" s="29">
        <v>45</v>
      </c>
      <c r="I490" s="27" t="s">
        <v>986</v>
      </c>
      <c r="J490" s="29">
        <v>8</v>
      </c>
      <c r="K490" s="27" t="s">
        <v>878</v>
      </c>
      <c r="L490" s="30">
        <v>60</v>
      </c>
    </row>
    <row r="491" spans="1:12" x14ac:dyDescent="0.25">
      <c r="A491" s="26">
        <v>490</v>
      </c>
      <c r="B491" s="26" t="s">
        <v>321</v>
      </c>
      <c r="C491" s="27" t="s">
        <v>1403</v>
      </c>
      <c r="D491" s="27" t="s">
        <v>796</v>
      </c>
      <c r="E491" s="27" t="s">
        <v>878</v>
      </c>
      <c r="F491" s="17">
        <v>908099992</v>
      </c>
      <c r="G491" s="27" t="s">
        <v>912</v>
      </c>
      <c r="H491" s="29">
        <v>45</v>
      </c>
      <c r="I491" s="27" t="s">
        <v>927</v>
      </c>
      <c r="J491" s="29">
        <v>8</v>
      </c>
      <c r="K491" s="27" t="s">
        <v>878</v>
      </c>
      <c r="L491" s="30">
        <v>60</v>
      </c>
    </row>
    <row r="492" spans="1:12" x14ac:dyDescent="0.25">
      <c r="A492" s="26">
        <v>491</v>
      </c>
      <c r="B492" s="26" t="s">
        <v>316</v>
      </c>
      <c r="C492" s="27" t="s">
        <v>1404</v>
      </c>
      <c r="D492" s="27" t="s">
        <v>796</v>
      </c>
      <c r="E492" s="27" t="s">
        <v>878</v>
      </c>
      <c r="F492" s="17">
        <v>908099992</v>
      </c>
      <c r="G492" s="27" t="s">
        <v>912</v>
      </c>
      <c r="H492" s="29">
        <v>45</v>
      </c>
      <c r="I492" s="27" t="s">
        <v>986</v>
      </c>
      <c r="J492" s="29">
        <v>8</v>
      </c>
      <c r="K492" s="27" t="s">
        <v>878</v>
      </c>
      <c r="L492" s="30">
        <v>60</v>
      </c>
    </row>
    <row r="493" spans="1:12" x14ac:dyDescent="0.25">
      <c r="A493" s="26">
        <v>492</v>
      </c>
      <c r="B493" s="26" t="s">
        <v>317</v>
      </c>
      <c r="C493" s="27" t="s">
        <v>1405</v>
      </c>
      <c r="D493" s="27" t="s">
        <v>796</v>
      </c>
      <c r="E493" s="27" t="s">
        <v>878</v>
      </c>
      <c r="F493" s="17">
        <v>908099992</v>
      </c>
      <c r="G493" s="27" t="s">
        <v>912</v>
      </c>
      <c r="H493" s="29">
        <v>45</v>
      </c>
      <c r="I493" s="27" t="s">
        <v>986</v>
      </c>
      <c r="J493" s="29">
        <v>8</v>
      </c>
      <c r="K493" s="27" t="s">
        <v>878</v>
      </c>
      <c r="L493" s="30">
        <v>60</v>
      </c>
    </row>
    <row r="494" spans="1:12" x14ac:dyDescent="0.25">
      <c r="A494" s="26">
        <v>493</v>
      </c>
      <c r="B494" s="26" t="s">
        <v>318</v>
      </c>
      <c r="C494" s="27" t="s">
        <v>1406</v>
      </c>
      <c r="D494" s="27" t="s">
        <v>796</v>
      </c>
      <c r="E494" s="27" t="s">
        <v>878</v>
      </c>
      <c r="F494" s="17">
        <v>908099992</v>
      </c>
      <c r="G494" s="27" t="s">
        <v>912</v>
      </c>
      <c r="H494" s="29">
        <v>45</v>
      </c>
      <c r="I494" s="27" t="s">
        <v>986</v>
      </c>
      <c r="J494" s="29">
        <v>8</v>
      </c>
      <c r="K494" s="27" t="s">
        <v>878</v>
      </c>
      <c r="L494" s="30">
        <v>60</v>
      </c>
    </row>
    <row r="495" spans="1:12" x14ac:dyDescent="0.25">
      <c r="A495" s="26">
        <v>494</v>
      </c>
      <c r="B495" s="26" t="s">
        <v>322</v>
      </c>
      <c r="C495" s="27" t="s">
        <v>1407</v>
      </c>
      <c r="D495" s="27" t="s">
        <v>796</v>
      </c>
      <c r="E495" s="27" t="s">
        <v>878</v>
      </c>
      <c r="F495" s="17">
        <v>908099992</v>
      </c>
      <c r="G495" s="27" t="s">
        <v>912</v>
      </c>
      <c r="H495" s="29">
        <v>45</v>
      </c>
      <c r="I495" s="27" t="s">
        <v>986</v>
      </c>
      <c r="J495" s="29">
        <v>8</v>
      </c>
      <c r="K495" s="27" t="s">
        <v>878</v>
      </c>
      <c r="L495" s="30">
        <v>60</v>
      </c>
    </row>
    <row r="496" spans="1:12" x14ac:dyDescent="0.25">
      <c r="A496" s="26">
        <v>495</v>
      </c>
      <c r="B496" s="26" t="s">
        <v>387</v>
      </c>
      <c r="C496" s="27" t="s">
        <v>1408</v>
      </c>
      <c r="D496" s="27" t="s">
        <v>796</v>
      </c>
      <c r="E496" s="27" t="s">
        <v>759</v>
      </c>
      <c r="F496" s="17">
        <v>917491419</v>
      </c>
      <c r="G496" s="27" t="s">
        <v>912</v>
      </c>
      <c r="H496" s="29">
        <v>45</v>
      </c>
      <c r="I496" s="27" t="s">
        <v>934</v>
      </c>
      <c r="J496" s="29">
        <v>12</v>
      </c>
      <c r="K496" s="27" t="s">
        <v>937</v>
      </c>
      <c r="L496" s="30">
        <v>60</v>
      </c>
    </row>
    <row r="497" spans="1:12" x14ac:dyDescent="0.25">
      <c r="A497" s="26">
        <v>496</v>
      </c>
      <c r="B497" s="26" t="s">
        <v>417</v>
      </c>
      <c r="C497" s="27" t="s">
        <v>1409</v>
      </c>
      <c r="D497" s="27" t="s">
        <v>796</v>
      </c>
      <c r="E497" s="27" t="s">
        <v>759</v>
      </c>
      <c r="F497" s="17">
        <v>939588899</v>
      </c>
      <c r="G497" s="27" t="s">
        <v>912</v>
      </c>
      <c r="H497" s="29">
        <v>42</v>
      </c>
      <c r="I497" s="27" t="s">
        <v>934</v>
      </c>
      <c r="J497" s="29">
        <v>12</v>
      </c>
      <c r="K497" s="27" t="s">
        <v>937</v>
      </c>
      <c r="L497" s="30">
        <v>60</v>
      </c>
    </row>
    <row r="498" spans="1:12" x14ac:dyDescent="0.25">
      <c r="A498" s="26">
        <v>497</v>
      </c>
      <c r="B498" s="26" t="s">
        <v>494</v>
      </c>
      <c r="C498" s="27" t="s">
        <v>727</v>
      </c>
      <c r="D498" s="27" t="s">
        <v>796</v>
      </c>
      <c r="E498" s="27" t="s">
        <v>759</v>
      </c>
      <c r="F498" s="17">
        <v>908099992</v>
      </c>
      <c r="G498" s="27" t="s">
        <v>912</v>
      </c>
      <c r="H498" s="29">
        <v>42</v>
      </c>
      <c r="I498" s="27" t="s">
        <v>1007</v>
      </c>
      <c r="J498" s="27" t="s">
        <v>1007</v>
      </c>
      <c r="K498" s="27" t="s">
        <v>1007</v>
      </c>
      <c r="L498" s="30">
        <v>60</v>
      </c>
    </row>
    <row r="499" spans="1:12" x14ac:dyDescent="0.25">
      <c r="A499" s="26">
        <v>498</v>
      </c>
      <c r="B499" s="26" t="s">
        <v>495</v>
      </c>
      <c r="C499" s="27" t="s">
        <v>728</v>
      </c>
      <c r="D499" s="27" t="s">
        <v>796</v>
      </c>
      <c r="E499" s="27" t="s">
        <v>759</v>
      </c>
      <c r="F499" s="17">
        <v>908099992</v>
      </c>
      <c r="G499" s="27" t="s">
        <v>912</v>
      </c>
      <c r="H499" s="29">
        <v>42</v>
      </c>
      <c r="I499" s="27" t="s">
        <v>1007</v>
      </c>
      <c r="J499" s="27" t="s">
        <v>1007</v>
      </c>
      <c r="K499" s="27" t="s">
        <v>1007</v>
      </c>
      <c r="L499" s="30">
        <v>60</v>
      </c>
    </row>
    <row r="500" spans="1:12" x14ac:dyDescent="0.25">
      <c r="A500" s="26">
        <v>499</v>
      </c>
      <c r="B500" s="26" t="s">
        <v>482</v>
      </c>
      <c r="C500" s="27" t="s">
        <v>729</v>
      </c>
      <c r="D500" s="27" t="s">
        <v>796</v>
      </c>
      <c r="E500" s="27" t="s">
        <v>759</v>
      </c>
      <c r="F500" s="17">
        <v>939292839</v>
      </c>
      <c r="G500" s="27" t="s">
        <v>912</v>
      </c>
      <c r="H500" s="29">
        <v>42</v>
      </c>
      <c r="I500" s="27" t="s">
        <v>1007</v>
      </c>
      <c r="J500" s="27" t="s">
        <v>1007</v>
      </c>
      <c r="K500" s="27" t="s">
        <v>1007</v>
      </c>
      <c r="L500" s="30">
        <v>60</v>
      </c>
    </row>
    <row r="501" spans="1:12" x14ac:dyDescent="0.25">
      <c r="A501" s="26">
        <v>500</v>
      </c>
      <c r="B501" s="26" t="s">
        <v>532</v>
      </c>
      <c r="C501" s="27" t="s">
        <v>730</v>
      </c>
      <c r="D501" s="27" t="s">
        <v>796</v>
      </c>
      <c r="E501" s="27" t="s">
        <v>759</v>
      </c>
      <c r="F501" s="17">
        <v>939292839</v>
      </c>
      <c r="G501" s="27" t="s">
        <v>912</v>
      </c>
      <c r="H501" s="29">
        <v>42</v>
      </c>
      <c r="I501" s="27" t="s">
        <v>1007</v>
      </c>
      <c r="J501" s="27" t="s">
        <v>1007</v>
      </c>
      <c r="K501" s="27" t="s">
        <v>1007</v>
      </c>
      <c r="L501" s="30">
        <v>60</v>
      </c>
    </row>
    <row r="502" spans="1:12" x14ac:dyDescent="0.25">
      <c r="A502" s="26">
        <v>501</v>
      </c>
      <c r="B502" s="26" t="s">
        <v>531</v>
      </c>
      <c r="C502" s="27" t="s">
        <v>731</v>
      </c>
      <c r="D502" s="27" t="s">
        <v>796</v>
      </c>
      <c r="E502" s="27" t="s">
        <v>759</v>
      </c>
      <c r="F502" s="17">
        <v>908099992</v>
      </c>
      <c r="G502" s="27" t="s">
        <v>912</v>
      </c>
      <c r="H502" s="29">
        <v>42</v>
      </c>
      <c r="I502" s="27" t="s">
        <v>1007</v>
      </c>
      <c r="J502" s="27" t="s">
        <v>1007</v>
      </c>
      <c r="K502" s="27" t="s">
        <v>1007</v>
      </c>
      <c r="L502" s="30">
        <v>60</v>
      </c>
    </row>
    <row r="503" spans="1:12" ht="15.75" x14ac:dyDescent="0.25">
      <c r="A503" s="26">
        <v>502</v>
      </c>
      <c r="B503" s="26" t="s">
        <v>561</v>
      </c>
      <c r="C503" s="13" t="s">
        <v>621</v>
      </c>
      <c r="D503" s="14" t="s">
        <v>756</v>
      </c>
      <c r="E503" s="14" t="s">
        <v>759</v>
      </c>
      <c r="F503" s="29">
        <v>908099992</v>
      </c>
      <c r="G503" s="27" t="s">
        <v>912</v>
      </c>
      <c r="H503" s="29">
        <v>42</v>
      </c>
      <c r="I503" s="27" t="s">
        <v>1007</v>
      </c>
      <c r="J503" s="27" t="s">
        <v>1007</v>
      </c>
      <c r="K503" s="27" t="s">
        <v>1007</v>
      </c>
      <c r="L503" s="30">
        <v>60</v>
      </c>
    </row>
    <row r="504" spans="1:12" ht="15.75" x14ac:dyDescent="0.25">
      <c r="A504" s="26">
        <v>503</v>
      </c>
      <c r="B504" s="26" t="s">
        <v>562</v>
      </c>
      <c r="C504" s="13" t="s">
        <v>622</v>
      </c>
      <c r="D504" s="14" t="s">
        <v>756</v>
      </c>
      <c r="E504" s="14" t="s">
        <v>759</v>
      </c>
      <c r="F504" s="29">
        <v>908099992</v>
      </c>
      <c r="G504" s="27" t="s">
        <v>912</v>
      </c>
      <c r="H504" s="29">
        <v>42</v>
      </c>
      <c r="I504" s="27" t="s">
        <v>1007</v>
      </c>
      <c r="J504" s="27" t="s">
        <v>1007</v>
      </c>
      <c r="K504" s="27" t="s">
        <v>1007</v>
      </c>
      <c r="L504" s="30">
        <v>60</v>
      </c>
    </row>
    <row r="505" spans="1:12" ht="15.75" x14ac:dyDescent="0.25">
      <c r="A505" s="26">
        <v>504</v>
      </c>
      <c r="B505" s="26" t="s">
        <v>563</v>
      </c>
      <c r="C505" s="13" t="s">
        <v>623</v>
      </c>
      <c r="D505" s="14" t="s">
        <v>756</v>
      </c>
      <c r="E505" s="14" t="s">
        <v>759</v>
      </c>
      <c r="F505" s="29">
        <v>908099992</v>
      </c>
      <c r="G505" s="27" t="s">
        <v>912</v>
      </c>
      <c r="H505" s="29">
        <v>42</v>
      </c>
      <c r="I505" s="27" t="s">
        <v>1007</v>
      </c>
      <c r="J505" s="27" t="s">
        <v>1007</v>
      </c>
      <c r="K505" s="27" t="s">
        <v>1007</v>
      </c>
      <c r="L505" s="30">
        <v>60</v>
      </c>
    </row>
    <row r="506" spans="1:12" ht="15.75" x14ac:dyDescent="0.25">
      <c r="A506" s="26">
        <v>505</v>
      </c>
      <c r="B506" s="26" t="s">
        <v>554</v>
      </c>
      <c r="C506" s="13" t="s">
        <v>635</v>
      </c>
      <c r="D506" s="14" t="s">
        <v>775</v>
      </c>
      <c r="E506" s="14" t="s">
        <v>757</v>
      </c>
      <c r="F506" s="29">
        <v>931920679</v>
      </c>
      <c r="G506" s="27" t="s">
        <v>912</v>
      </c>
      <c r="H506" s="29">
        <v>42</v>
      </c>
      <c r="I506" s="27" t="s">
        <v>1007</v>
      </c>
      <c r="J506" s="27" t="s">
        <v>1007</v>
      </c>
      <c r="K506" s="27" t="s">
        <v>1007</v>
      </c>
      <c r="L506" s="30">
        <v>60</v>
      </c>
    </row>
    <row r="507" spans="1:12" ht="15.75" x14ac:dyDescent="0.25">
      <c r="A507" s="26">
        <v>506</v>
      </c>
      <c r="B507" s="26" t="s">
        <v>564</v>
      </c>
      <c r="C507" s="13" t="s">
        <v>636</v>
      </c>
      <c r="D507" s="14" t="s">
        <v>775</v>
      </c>
      <c r="E507" s="14" t="s">
        <v>759</v>
      </c>
      <c r="F507" s="29">
        <v>908099992</v>
      </c>
      <c r="G507" s="27" t="s">
        <v>912</v>
      </c>
      <c r="H507" s="29">
        <v>42</v>
      </c>
      <c r="I507" s="27" t="s">
        <v>1007</v>
      </c>
      <c r="J507" s="27" t="s">
        <v>1007</v>
      </c>
      <c r="K507" s="27" t="s">
        <v>1007</v>
      </c>
      <c r="L507" s="30">
        <v>60</v>
      </c>
    </row>
    <row r="508" spans="1:12" ht="15.75" x14ac:dyDescent="0.25">
      <c r="A508" s="26">
        <v>507</v>
      </c>
      <c r="B508" s="26" t="s">
        <v>565</v>
      </c>
      <c r="C508" s="13" t="s">
        <v>650</v>
      </c>
      <c r="D508" s="14" t="s">
        <v>767</v>
      </c>
      <c r="E508" s="14" t="s">
        <v>759</v>
      </c>
      <c r="F508" s="29">
        <v>908099992</v>
      </c>
      <c r="G508" s="27" t="s">
        <v>912</v>
      </c>
      <c r="H508" s="29">
        <v>42</v>
      </c>
      <c r="I508" s="27" t="s">
        <v>1007</v>
      </c>
      <c r="J508" s="27" t="s">
        <v>1007</v>
      </c>
      <c r="K508" s="27" t="s">
        <v>1007</v>
      </c>
      <c r="L508" s="30">
        <v>60</v>
      </c>
    </row>
    <row r="509" spans="1:12" ht="15.75" x14ac:dyDescent="0.25">
      <c r="A509" s="26">
        <v>508</v>
      </c>
      <c r="B509" s="26" t="s">
        <v>566</v>
      </c>
      <c r="C509" s="13" t="s">
        <v>651</v>
      </c>
      <c r="D509" s="14" t="s">
        <v>767</v>
      </c>
      <c r="E509" s="14" t="s">
        <v>759</v>
      </c>
      <c r="F509" s="29">
        <v>908099992</v>
      </c>
      <c r="G509" s="27" t="s">
        <v>912</v>
      </c>
      <c r="H509" s="29">
        <v>42</v>
      </c>
      <c r="I509" s="27" t="s">
        <v>1007</v>
      </c>
      <c r="J509" s="27" t="s">
        <v>1007</v>
      </c>
      <c r="K509" s="27" t="s">
        <v>1007</v>
      </c>
      <c r="L509" s="30">
        <v>60</v>
      </c>
    </row>
    <row r="510" spans="1:12" ht="15.75" x14ac:dyDescent="0.25">
      <c r="A510" s="26">
        <v>509</v>
      </c>
      <c r="B510" s="26" t="s">
        <v>567</v>
      </c>
      <c r="C510" s="13" t="s">
        <v>662</v>
      </c>
      <c r="D510" s="14" t="s">
        <v>769</v>
      </c>
      <c r="E510" s="14" t="s">
        <v>759</v>
      </c>
      <c r="F510" s="29">
        <v>908099992</v>
      </c>
      <c r="G510" s="27" t="s">
        <v>912</v>
      </c>
      <c r="H510" s="29">
        <v>30</v>
      </c>
      <c r="I510" s="27" t="s">
        <v>1007</v>
      </c>
      <c r="J510" s="27" t="s">
        <v>1007</v>
      </c>
      <c r="K510" s="27" t="s">
        <v>1007</v>
      </c>
      <c r="L510" s="30">
        <v>60</v>
      </c>
    </row>
    <row r="511" spans="1:12" ht="15.75" x14ac:dyDescent="0.25">
      <c r="A511" s="26">
        <v>510</v>
      </c>
      <c r="B511" s="26" t="s">
        <v>559</v>
      </c>
      <c r="C511" s="13" t="s">
        <v>682</v>
      </c>
      <c r="D511" s="14" t="s">
        <v>785</v>
      </c>
      <c r="E511" s="14" t="s">
        <v>757</v>
      </c>
      <c r="F511" s="29">
        <v>931920679</v>
      </c>
      <c r="G511" s="27" t="s">
        <v>912</v>
      </c>
      <c r="H511" s="29">
        <v>42</v>
      </c>
      <c r="I511" s="27" t="s">
        <v>1007</v>
      </c>
      <c r="J511" s="27" t="s">
        <v>1007</v>
      </c>
      <c r="K511" s="27" t="s">
        <v>1007</v>
      </c>
      <c r="L511" s="30">
        <v>60</v>
      </c>
    </row>
    <row r="512" spans="1:12" ht="15.75" x14ac:dyDescent="0.25">
      <c r="A512" s="26">
        <v>511</v>
      </c>
      <c r="B512" s="26" t="s">
        <v>558</v>
      </c>
      <c r="C512" s="13" t="s">
        <v>683</v>
      </c>
      <c r="D512" s="14" t="s">
        <v>785</v>
      </c>
      <c r="E512" s="14" t="s">
        <v>757</v>
      </c>
      <c r="F512" s="29">
        <v>931920679</v>
      </c>
      <c r="G512" s="27" t="s">
        <v>912</v>
      </c>
      <c r="H512" s="29">
        <v>42</v>
      </c>
      <c r="I512" s="27" t="s">
        <v>1007</v>
      </c>
      <c r="J512" s="27" t="s">
        <v>1007</v>
      </c>
      <c r="K512" s="27" t="s">
        <v>1007</v>
      </c>
      <c r="L512" s="30">
        <v>60</v>
      </c>
    </row>
    <row r="513" spans="1:12" ht="15.75" x14ac:dyDescent="0.25">
      <c r="A513" s="26">
        <v>512</v>
      </c>
      <c r="B513" s="26" t="s">
        <v>568</v>
      </c>
      <c r="C513" s="13" t="s">
        <v>684</v>
      </c>
      <c r="D513" s="14" t="s">
        <v>785</v>
      </c>
      <c r="E513" s="14" t="s">
        <v>759</v>
      </c>
      <c r="F513" s="29">
        <v>908099992</v>
      </c>
      <c r="G513" s="27" t="s">
        <v>912</v>
      </c>
      <c r="H513" s="29">
        <v>42</v>
      </c>
      <c r="I513" s="27" t="s">
        <v>1007</v>
      </c>
      <c r="J513" s="27" t="s">
        <v>1007</v>
      </c>
      <c r="K513" s="27" t="s">
        <v>1007</v>
      </c>
      <c r="L513" s="30">
        <v>60</v>
      </c>
    </row>
    <row r="514" spans="1:12" ht="15.75" x14ac:dyDescent="0.25">
      <c r="A514" s="26">
        <v>513</v>
      </c>
      <c r="B514" s="26" t="s">
        <v>548</v>
      </c>
      <c r="C514" s="13" t="s">
        <v>705</v>
      </c>
      <c r="D514" s="14" t="s">
        <v>777</v>
      </c>
      <c r="E514" s="14" t="s">
        <v>757</v>
      </c>
      <c r="F514" s="29">
        <v>931920679</v>
      </c>
      <c r="G514" s="27" t="s">
        <v>912</v>
      </c>
      <c r="H514" s="29">
        <v>42</v>
      </c>
      <c r="I514" s="27" t="s">
        <v>1007</v>
      </c>
      <c r="J514" s="27" t="s">
        <v>1007</v>
      </c>
      <c r="K514" s="27" t="s">
        <v>1007</v>
      </c>
      <c r="L514" s="30">
        <v>60</v>
      </c>
    </row>
    <row r="515" spans="1:12" ht="15.75" x14ac:dyDescent="0.25">
      <c r="A515" s="26">
        <v>514</v>
      </c>
      <c r="B515" s="26" t="s">
        <v>555</v>
      </c>
      <c r="C515" s="13" t="s">
        <v>706</v>
      </c>
      <c r="D515" s="14" t="s">
        <v>777</v>
      </c>
      <c r="E515" s="14" t="s">
        <v>757</v>
      </c>
      <c r="F515" s="29">
        <v>931920679</v>
      </c>
      <c r="G515" s="27" t="s">
        <v>912</v>
      </c>
      <c r="H515" s="29">
        <v>42</v>
      </c>
      <c r="I515" s="27" t="s">
        <v>1007</v>
      </c>
      <c r="J515" s="27" t="s">
        <v>1007</v>
      </c>
      <c r="K515" s="27" t="s">
        <v>1007</v>
      </c>
      <c r="L515" s="30">
        <v>60</v>
      </c>
    </row>
    <row r="516" spans="1:12" ht="15.75" x14ac:dyDescent="0.25">
      <c r="A516" s="26">
        <v>515</v>
      </c>
      <c r="B516" s="26" t="s">
        <v>569</v>
      </c>
      <c r="C516" s="13" t="s">
        <v>707</v>
      </c>
      <c r="D516" s="14" t="s">
        <v>777</v>
      </c>
      <c r="E516" s="14" t="s">
        <v>759</v>
      </c>
      <c r="F516" s="29">
        <v>908099992</v>
      </c>
      <c r="G516" s="27" t="s">
        <v>912</v>
      </c>
      <c r="H516" s="29">
        <v>42</v>
      </c>
      <c r="I516" s="27" t="s">
        <v>1007</v>
      </c>
      <c r="J516" s="27" t="s">
        <v>1007</v>
      </c>
      <c r="K516" s="27" t="s">
        <v>1007</v>
      </c>
      <c r="L516" s="30">
        <v>60</v>
      </c>
    </row>
    <row r="517" spans="1:12" ht="15.75" x14ac:dyDescent="0.25">
      <c r="A517" s="26">
        <v>516</v>
      </c>
      <c r="B517" s="26" t="s">
        <v>560</v>
      </c>
      <c r="C517" s="13" t="s">
        <v>708</v>
      </c>
      <c r="D517" s="14" t="s">
        <v>777</v>
      </c>
      <c r="E517" s="14" t="s">
        <v>757</v>
      </c>
      <c r="F517" s="29">
        <v>931920679</v>
      </c>
      <c r="G517" s="27" t="s">
        <v>912</v>
      </c>
      <c r="H517" s="29">
        <v>42</v>
      </c>
      <c r="I517" s="27" t="s">
        <v>1007</v>
      </c>
      <c r="J517" s="27" t="s">
        <v>1007</v>
      </c>
      <c r="K517" s="27" t="s">
        <v>1007</v>
      </c>
      <c r="L517" s="30">
        <v>60</v>
      </c>
    </row>
    <row r="518" spans="1:12" ht="15.75" x14ac:dyDescent="0.25">
      <c r="A518" s="26">
        <v>517</v>
      </c>
      <c r="B518" s="26" t="s">
        <v>556</v>
      </c>
      <c r="C518" s="13" t="s">
        <v>709</v>
      </c>
      <c r="D518" s="14" t="s">
        <v>777</v>
      </c>
      <c r="E518" s="14" t="s">
        <v>757</v>
      </c>
      <c r="F518" s="29">
        <v>931920679</v>
      </c>
      <c r="G518" s="27" t="s">
        <v>912</v>
      </c>
      <c r="H518" s="29">
        <v>42</v>
      </c>
      <c r="I518" s="27" t="s">
        <v>1007</v>
      </c>
      <c r="J518" s="27" t="s">
        <v>1007</v>
      </c>
      <c r="K518" s="27" t="s">
        <v>1007</v>
      </c>
      <c r="L518" s="30">
        <v>60</v>
      </c>
    </row>
    <row r="519" spans="1:12" ht="15.75" x14ac:dyDescent="0.25">
      <c r="A519" s="26">
        <v>518</v>
      </c>
      <c r="B519" s="26" t="s">
        <v>557</v>
      </c>
      <c r="C519" s="13" t="s">
        <v>710</v>
      </c>
      <c r="D519" s="14" t="s">
        <v>777</v>
      </c>
      <c r="E519" s="14" t="s">
        <v>757</v>
      </c>
      <c r="F519" s="29">
        <v>931920679</v>
      </c>
      <c r="G519" s="27" t="s">
        <v>912</v>
      </c>
      <c r="H519" s="29">
        <v>42</v>
      </c>
      <c r="I519" s="27" t="s">
        <v>1007</v>
      </c>
      <c r="J519" s="27" t="s">
        <v>1007</v>
      </c>
      <c r="K519" s="27" t="s">
        <v>1007</v>
      </c>
      <c r="L519" s="30">
        <v>60</v>
      </c>
    </row>
    <row r="520" spans="1:12" ht="15.75" x14ac:dyDescent="0.25">
      <c r="A520" s="26">
        <v>519</v>
      </c>
      <c r="B520" s="26" t="s">
        <v>549</v>
      </c>
      <c r="C520" s="13" t="s">
        <v>720</v>
      </c>
      <c r="D520" s="14" t="s">
        <v>763</v>
      </c>
      <c r="E520" s="14" t="s">
        <v>757</v>
      </c>
      <c r="F520" s="29">
        <v>931920679</v>
      </c>
      <c r="G520" s="27" t="s">
        <v>912</v>
      </c>
      <c r="H520" s="29">
        <v>42</v>
      </c>
      <c r="I520" s="27" t="s">
        <v>1007</v>
      </c>
      <c r="J520" s="27" t="s">
        <v>1007</v>
      </c>
      <c r="K520" s="27" t="s">
        <v>1007</v>
      </c>
      <c r="L520" s="30">
        <v>60</v>
      </c>
    </row>
    <row r="521" spans="1:12" ht="15.75" x14ac:dyDescent="0.25">
      <c r="A521" s="26">
        <v>520</v>
      </c>
      <c r="B521" s="26" t="s">
        <v>550</v>
      </c>
      <c r="C521" s="13" t="s">
        <v>721</v>
      </c>
      <c r="D521" s="14" t="s">
        <v>763</v>
      </c>
      <c r="E521" s="14" t="s">
        <v>757</v>
      </c>
      <c r="F521" s="29">
        <v>931920679</v>
      </c>
      <c r="G521" s="27" t="s">
        <v>912</v>
      </c>
      <c r="H521" s="29">
        <v>42</v>
      </c>
      <c r="I521" s="27" t="s">
        <v>1007</v>
      </c>
      <c r="J521" s="27" t="s">
        <v>1007</v>
      </c>
      <c r="K521" s="27" t="s">
        <v>1007</v>
      </c>
      <c r="L521" s="30">
        <v>60</v>
      </c>
    </row>
    <row r="522" spans="1:12" ht="15.75" x14ac:dyDescent="0.25">
      <c r="A522" s="26">
        <v>521</v>
      </c>
      <c r="B522" s="26" t="s">
        <v>551</v>
      </c>
      <c r="C522" s="13" t="s">
        <v>722</v>
      </c>
      <c r="D522" s="14" t="s">
        <v>763</v>
      </c>
      <c r="E522" s="14" t="s">
        <v>757</v>
      </c>
      <c r="F522" s="29">
        <v>931920679</v>
      </c>
      <c r="G522" s="27" t="s">
        <v>912</v>
      </c>
      <c r="H522" s="29">
        <v>42</v>
      </c>
      <c r="I522" s="27" t="s">
        <v>1007</v>
      </c>
      <c r="J522" s="27" t="s">
        <v>1007</v>
      </c>
      <c r="K522" s="27" t="s">
        <v>1007</v>
      </c>
      <c r="L522" s="30">
        <v>60</v>
      </c>
    </row>
    <row r="523" spans="1:12" ht="15.75" x14ac:dyDescent="0.25">
      <c r="A523" s="26">
        <v>522</v>
      </c>
      <c r="B523" s="26" t="s">
        <v>552</v>
      </c>
      <c r="C523" s="13" t="s">
        <v>723</v>
      </c>
      <c r="D523" s="14" t="s">
        <v>763</v>
      </c>
      <c r="E523" s="14" t="s">
        <v>757</v>
      </c>
      <c r="F523" s="29">
        <v>931920679</v>
      </c>
      <c r="G523" s="27" t="s">
        <v>912</v>
      </c>
      <c r="H523" s="29">
        <v>42</v>
      </c>
      <c r="I523" s="27" t="s">
        <v>1007</v>
      </c>
      <c r="J523" s="27" t="s">
        <v>1007</v>
      </c>
      <c r="K523" s="27" t="s">
        <v>1007</v>
      </c>
      <c r="L523" s="30">
        <v>60</v>
      </c>
    </row>
    <row r="524" spans="1:12" ht="15.75" x14ac:dyDescent="0.25">
      <c r="A524" s="26">
        <v>523</v>
      </c>
      <c r="B524" s="26" t="s">
        <v>553</v>
      </c>
      <c r="C524" s="13" t="s">
        <v>724</v>
      </c>
      <c r="D524" s="14" t="s">
        <v>763</v>
      </c>
      <c r="E524" s="14" t="s">
        <v>757</v>
      </c>
      <c r="F524" s="29">
        <v>931920679</v>
      </c>
      <c r="G524" s="27" t="s">
        <v>912</v>
      </c>
      <c r="H524" s="29">
        <v>42</v>
      </c>
      <c r="I524" s="27" t="s">
        <v>1007</v>
      </c>
      <c r="J524" s="27" t="s">
        <v>1007</v>
      </c>
      <c r="K524" s="27" t="s">
        <v>1007</v>
      </c>
      <c r="L524" s="30">
        <v>60</v>
      </c>
    </row>
    <row r="525" spans="1:12" ht="15.75" x14ac:dyDescent="0.25">
      <c r="A525" s="26">
        <v>524</v>
      </c>
      <c r="B525" s="26" t="s">
        <v>570</v>
      </c>
      <c r="C525" s="13" t="s">
        <v>725</v>
      </c>
      <c r="D525" s="14" t="s">
        <v>763</v>
      </c>
      <c r="E525" s="14" t="s">
        <v>759</v>
      </c>
      <c r="F525" s="29">
        <v>908099992</v>
      </c>
      <c r="G525" s="27" t="s">
        <v>912</v>
      </c>
      <c r="H525" s="29">
        <v>42</v>
      </c>
      <c r="I525" s="27" t="s">
        <v>1002</v>
      </c>
      <c r="J525" s="22">
        <v>6</v>
      </c>
      <c r="K525" s="18" t="s">
        <v>878</v>
      </c>
      <c r="L525" s="30">
        <v>60</v>
      </c>
    </row>
    <row r="526" spans="1:12" ht="15.75" x14ac:dyDescent="0.25">
      <c r="A526" s="26">
        <v>525</v>
      </c>
      <c r="B526" s="26" t="s">
        <v>571</v>
      </c>
      <c r="C526" s="13" t="s">
        <v>732</v>
      </c>
      <c r="D526" s="14" t="s">
        <v>796</v>
      </c>
      <c r="E526" s="14" t="s">
        <v>759</v>
      </c>
      <c r="F526" s="29">
        <v>908099992</v>
      </c>
      <c r="G526" s="27" t="s">
        <v>912</v>
      </c>
      <c r="H526" s="29">
        <v>42</v>
      </c>
      <c r="I526" s="27" t="s">
        <v>1007</v>
      </c>
      <c r="J526" s="27" t="s">
        <v>1007</v>
      </c>
      <c r="K526" s="27" t="s">
        <v>1007</v>
      </c>
      <c r="L526" s="30">
        <v>60</v>
      </c>
    </row>
    <row r="527" spans="1:12" ht="15.75" x14ac:dyDescent="0.25">
      <c r="A527" s="26">
        <v>526</v>
      </c>
      <c r="B527" s="26" t="s">
        <v>572</v>
      </c>
      <c r="C527" s="13" t="s">
        <v>624</v>
      </c>
      <c r="D527" s="14" t="s">
        <v>756</v>
      </c>
      <c r="E527" s="14" t="s">
        <v>759</v>
      </c>
      <c r="F527" s="29">
        <v>908099992</v>
      </c>
      <c r="G527" s="27" t="s">
        <v>912</v>
      </c>
      <c r="H527" s="29">
        <v>42</v>
      </c>
      <c r="I527" s="27" t="s">
        <v>1007</v>
      </c>
      <c r="J527" s="27" t="s">
        <v>1007</v>
      </c>
      <c r="K527" s="27" t="s">
        <v>1007</v>
      </c>
      <c r="L527" s="30">
        <v>60</v>
      </c>
    </row>
    <row r="528" spans="1:12" ht="15.75" x14ac:dyDescent="0.25">
      <c r="A528" s="26">
        <v>527</v>
      </c>
      <c r="B528" s="26" t="s">
        <v>573</v>
      </c>
      <c r="C528" s="13" t="s">
        <v>637</v>
      </c>
      <c r="D528" s="14" t="s">
        <v>775</v>
      </c>
      <c r="E528" s="14" t="s">
        <v>759</v>
      </c>
      <c r="F528" s="29">
        <v>908099992</v>
      </c>
      <c r="G528" s="27" t="s">
        <v>912</v>
      </c>
      <c r="H528" s="29">
        <v>42</v>
      </c>
      <c r="I528" s="27" t="s">
        <v>1007</v>
      </c>
      <c r="J528" s="27" t="s">
        <v>1007</v>
      </c>
      <c r="K528" s="27" t="s">
        <v>1007</v>
      </c>
      <c r="L528" s="30">
        <v>60</v>
      </c>
    </row>
    <row r="529" spans="1:12" ht="15.75" x14ac:dyDescent="0.25">
      <c r="A529" s="26">
        <v>528</v>
      </c>
      <c r="B529" s="26" t="s">
        <v>574</v>
      </c>
      <c r="C529" s="13" t="s">
        <v>638</v>
      </c>
      <c r="D529" s="14" t="s">
        <v>775</v>
      </c>
      <c r="E529" s="14" t="s">
        <v>759</v>
      </c>
      <c r="F529" s="29">
        <v>908099992</v>
      </c>
      <c r="G529" s="27" t="s">
        <v>912</v>
      </c>
      <c r="H529" s="29">
        <v>42</v>
      </c>
      <c r="I529" s="27" t="s">
        <v>1007</v>
      </c>
      <c r="J529" s="27" t="s">
        <v>1007</v>
      </c>
      <c r="K529" s="27" t="s">
        <v>1007</v>
      </c>
      <c r="L529" s="30">
        <v>60</v>
      </c>
    </row>
    <row r="530" spans="1:12" ht="15.75" x14ac:dyDescent="0.25">
      <c r="A530" s="26">
        <v>529</v>
      </c>
      <c r="B530" s="26" t="s">
        <v>575</v>
      </c>
      <c r="C530" s="13" t="s">
        <v>639</v>
      </c>
      <c r="D530" s="14" t="s">
        <v>775</v>
      </c>
      <c r="E530" s="14" t="s">
        <v>759</v>
      </c>
      <c r="F530" s="29">
        <v>908099992</v>
      </c>
      <c r="G530" s="27" t="s">
        <v>912</v>
      </c>
      <c r="H530" s="29">
        <v>42</v>
      </c>
      <c r="I530" s="27" t="s">
        <v>1007</v>
      </c>
      <c r="J530" s="27" t="s">
        <v>1007</v>
      </c>
      <c r="K530" s="27" t="s">
        <v>1007</v>
      </c>
      <c r="L530" s="30">
        <v>60</v>
      </c>
    </row>
    <row r="531" spans="1:12" ht="15.75" x14ac:dyDescent="0.25">
      <c r="A531" s="26">
        <v>530</v>
      </c>
      <c r="B531" s="26" t="s">
        <v>576</v>
      </c>
      <c r="C531" s="13" t="s">
        <v>652</v>
      </c>
      <c r="D531" s="14" t="s">
        <v>767</v>
      </c>
      <c r="E531" s="14" t="s">
        <v>759</v>
      </c>
      <c r="F531" s="29">
        <v>908099992</v>
      </c>
      <c r="G531" s="27" t="s">
        <v>912</v>
      </c>
      <c r="H531" s="29">
        <v>42</v>
      </c>
      <c r="I531" s="27" t="s">
        <v>1007</v>
      </c>
      <c r="J531" s="27" t="s">
        <v>1007</v>
      </c>
      <c r="K531" s="27" t="s">
        <v>1007</v>
      </c>
      <c r="L531" s="30">
        <v>60</v>
      </c>
    </row>
    <row r="532" spans="1:12" ht="15.75" x14ac:dyDescent="0.25">
      <c r="A532" s="26">
        <v>531</v>
      </c>
      <c r="B532" s="26" t="s">
        <v>577</v>
      </c>
      <c r="C532" s="13" t="s">
        <v>711</v>
      </c>
      <c r="D532" s="14" t="s">
        <v>777</v>
      </c>
      <c r="E532" s="14" t="s">
        <v>759</v>
      </c>
      <c r="F532" s="29">
        <v>908099992</v>
      </c>
      <c r="G532" s="27" t="s">
        <v>912</v>
      </c>
      <c r="H532" s="29">
        <v>42</v>
      </c>
      <c r="I532" s="27" t="s">
        <v>1007</v>
      </c>
      <c r="J532" s="27" t="s">
        <v>1007</v>
      </c>
      <c r="K532" s="27" t="s">
        <v>1007</v>
      </c>
      <c r="L532" s="30">
        <v>60</v>
      </c>
    </row>
    <row r="533" spans="1:12" ht="15.75" x14ac:dyDescent="0.25">
      <c r="A533" s="26">
        <v>532</v>
      </c>
      <c r="B533" s="26" t="s">
        <v>578</v>
      </c>
      <c r="C533" s="13" t="s">
        <v>687</v>
      </c>
      <c r="D533" s="14" t="s">
        <v>785</v>
      </c>
      <c r="E533" s="14" t="s">
        <v>759</v>
      </c>
      <c r="F533" s="29">
        <v>908099992</v>
      </c>
      <c r="G533" s="27" t="s">
        <v>912</v>
      </c>
      <c r="H533" s="29">
        <v>42</v>
      </c>
      <c r="I533" s="27" t="s">
        <v>1007</v>
      </c>
      <c r="J533" s="27" t="s">
        <v>1007</v>
      </c>
      <c r="K533" s="27" t="s">
        <v>1007</v>
      </c>
      <c r="L533" s="30">
        <v>60</v>
      </c>
    </row>
    <row r="534" spans="1:12" ht="15.75" x14ac:dyDescent="0.25">
      <c r="A534" s="26">
        <v>533</v>
      </c>
      <c r="B534" s="26" t="s">
        <v>579</v>
      </c>
      <c r="C534" s="13" t="s">
        <v>653</v>
      </c>
      <c r="D534" s="14" t="s">
        <v>767</v>
      </c>
      <c r="E534" s="14" t="s">
        <v>759</v>
      </c>
      <c r="F534" s="29">
        <v>908099992</v>
      </c>
      <c r="G534" s="27" t="s">
        <v>912</v>
      </c>
      <c r="H534" s="29">
        <v>42</v>
      </c>
      <c r="I534" s="27" t="s">
        <v>1007</v>
      </c>
      <c r="J534" s="27" t="s">
        <v>1007</v>
      </c>
      <c r="K534" s="27" t="s">
        <v>1007</v>
      </c>
      <c r="L534" s="30">
        <v>60</v>
      </c>
    </row>
    <row r="535" spans="1:12" ht="15.75" x14ac:dyDescent="0.25">
      <c r="A535" s="26">
        <v>534</v>
      </c>
      <c r="B535" s="26" t="s">
        <v>580</v>
      </c>
      <c r="C535" s="13" t="s">
        <v>663</v>
      </c>
      <c r="D535" s="14" t="s">
        <v>769</v>
      </c>
      <c r="E535" s="14" t="s">
        <v>759</v>
      </c>
      <c r="F535" s="29">
        <v>908099992</v>
      </c>
      <c r="G535" s="27" t="s">
        <v>912</v>
      </c>
      <c r="H535" s="29">
        <v>36</v>
      </c>
      <c r="I535" s="27" t="s">
        <v>1007</v>
      </c>
      <c r="J535" s="27" t="s">
        <v>1007</v>
      </c>
      <c r="K535" s="27" t="s">
        <v>1007</v>
      </c>
      <c r="L535" s="30">
        <v>60</v>
      </c>
    </row>
    <row r="536" spans="1:12" ht="15.75" x14ac:dyDescent="0.25">
      <c r="A536" s="26">
        <v>535</v>
      </c>
      <c r="B536" s="26" t="s">
        <v>581</v>
      </c>
      <c r="C536" s="13" t="s">
        <v>685</v>
      </c>
      <c r="D536" s="14" t="s">
        <v>785</v>
      </c>
      <c r="E536" s="14" t="s">
        <v>759</v>
      </c>
      <c r="F536" s="29">
        <v>908099992</v>
      </c>
      <c r="G536" s="27" t="s">
        <v>912</v>
      </c>
      <c r="H536" s="29">
        <v>42</v>
      </c>
      <c r="I536" s="27" t="s">
        <v>1007</v>
      </c>
      <c r="J536" s="27" t="s">
        <v>1007</v>
      </c>
      <c r="K536" s="27" t="s">
        <v>1007</v>
      </c>
      <c r="L536" s="30">
        <v>60</v>
      </c>
    </row>
    <row r="537" spans="1:12" ht="15.75" x14ac:dyDescent="0.25">
      <c r="A537" s="26">
        <v>536</v>
      </c>
      <c r="B537" s="26" t="s">
        <v>582</v>
      </c>
      <c r="C537" s="13" t="s">
        <v>686</v>
      </c>
      <c r="D537" s="14" t="s">
        <v>785</v>
      </c>
      <c r="E537" s="14" t="s">
        <v>759</v>
      </c>
      <c r="F537" s="29">
        <v>908099992</v>
      </c>
      <c r="G537" s="27" t="s">
        <v>912</v>
      </c>
      <c r="H537" s="29">
        <v>42</v>
      </c>
      <c r="I537" s="27" t="s">
        <v>1007</v>
      </c>
      <c r="J537" s="27" t="s">
        <v>1007</v>
      </c>
      <c r="K537" s="27" t="s">
        <v>1007</v>
      </c>
      <c r="L537" s="30">
        <v>60</v>
      </c>
    </row>
    <row r="538" spans="1:12" ht="15.75" x14ac:dyDescent="0.25">
      <c r="A538" s="26">
        <v>537</v>
      </c>
      <c r="B538" s="26" t="s">
        <v>583</v>
      </c>
      <c r="C538" s="13" t="s">
        <v>733</v>
      </c>
      <c r="D538" s="14" t="s">
        <v>796</v>
      </c>
      <c r="E538" s="14" t="s">
        <v>759</v>
      </c>
      <c r="F538" s="29">
        <v>908099992</v>
      </c>
      <c r="G538" s="27" t="s">
        <v>912</v>
      </c>
      <c r="H538" s="29">
        <v>42</v>
      </c>
      <c r="I538" s="27" t="s">
        <v>1007</v>
      </c>
      <c r="J538" s="27" t="s">
        <v>1007</v>
      </c>
      <c r="K538" s="27" t="s">
        <v>1007</v>
      </c>
      <c r="L538" s="30">
        <v>60</v>
      </c>
    </row>
    <row r="539" spans="1:12" ht="15.75" x14ac:dyDescent="0.25">
      <c r="A539" s="26">
        <v>538</v>
      </c>
      <c r="B539" s="26" t="s">
        <v>584</v>
      </c>
      <c r="C539" s="13" t="s">
        <v>640</v>
      </c>
      <c r="D539" s="14" t="s">
        <v>775</v>
      </c>
      <c r="E539" s="14" t="s">
        <v>759</v>
      </c>
      <c r="F539" s="29">
        <v>908099992</v>
      </c>
      <c r="G539" s="27" t="s">
        <v>912</v>
      </c>
      <c r="H539" s="29">
        <v>42</v>
      </c>
      <c r="I539" s="27" t="s">
        <v>1007</v>
      </c>
      <c r="J539" s="27" t="s">
        <v>1007</v>
      </c>
      <c r="K539" s="27" t="s">
        <v>1007</v>
      </c>
      <c r="L539" s="30">
        <v>60</v>
      </c>
    </row>
    <row r="540" spans="1:12" ht="15.75" x14ac:dyDescent="0.25">
      <c r="A540" s="26">
        <v>539</v>
      </c>
      <c r="B540" s="26" t="s">
        <v>585</v>
      </c>
      <c r="C540" s="13" t="s">
        <v>1410</v>
      </c>
      <c r="D540" s="14" t="s">
        <v>769</v>
      </c>
      <c r="E540" s="14" t="s">
        <v>759</v>
      </c>
      <c r="F540" s="29">
        <v>908099992</v>
      </c>
      <c r="G540" s="27" t="s">
        <v>912</v>
      </c>
      <c r="H540" s="29">
        <v>30</v>
      </c>
      <c r="I540" s="27" t="s">
        <v>1007</v>
      </c>
      <c r="J540" s="27" t="s">
        <v>1007</v>
      </c>
      <c r="K540" s="27" t="s">
        <v>1007</v>
      </c>
      <c r="L540" s="30">
        <v>60</v>
      </c>
    </row>
    <row r="541" spans="1:12" ht="15.75" x14ac:dyDescent="0.25">
      <c r="A541" s="26">
        <v>540</v>
      </c>
      <c r="B541" s="26" t="s">
        <v>586</v>
      </c>
      <c r="C541" s="13" t="s">
        <v>726</v>
      </c>
      <c r="D541" s="14" t="s">
        <v>763</v>
      </c>
      <c r="E541" s="14" t="s">
        <v>759</v>
      </c>
      <c r="F541" s="29">
        <v>908099992</v>
      </c>
      <c r="G541" s="27" t="s">
        <v>912</v>
      </c>
      <c r="H541" s="29">
        <v>42</v>
      </c>
      <c r="I541" s="27" t="s">
        <v>1007</v>
      </c>
      <c r="J541" s="27" t="s">
        <v>1007</v>
      </c>
      <c r="K541" s="27" t="s">
        <v>1007</v>
      </c>
      <c r="L541" s="30">
        <v>60</v>
      </c>
    </row>
    <row r="542" spans="1:12" ht="15.75" x14ac:dyDescent="0.25">
      <c r="A542" s="26">
        <v>541</v>
      </c>
      <c r="B542" s="26" t="s">
        <v>587</v>
      </c>
      <c r="C542" s="13" t="s">
        <v>654</v>
      </c>
      <c r="D542" s="14" t="s">
        <v>767</v>
      </c>
      <c r="E542" s="14" t="s">
        <v>759</v>
      </c>
      <c r="F542" s="29">
        <v>908099992</v>
      </c>
      <c r="G542" s="27" t="s">
        <v>912</v>
      </c>
      <c r="H542" s="29">
        <v>42</v>
      </c>
      <c r="I542" s="27" t="s">
        <v>1007</v>
      </c>
      <c r="J542" s="27" t="s">
        <v>1007</v>
      </c>
      <c r="K542" s="27" t="s">
        <v>1007</v>
      </c>
      <c r="L542" s="30">
        <v>60</v>
      </c>
    </row>
    <row r="543" spans="1:12" ht="15.75" x14ac:dyDescent="0.25">
      <c r="A543" s="26">
        <v>542</v>
      </c>
      <c r="B543" s="26" t="s">
        <v>547</v>
      </c>
      <c r="C543" s="13" t="s">
        <v>1411</v>
      </c>
      <c r="D543" s="27" t="s">
        <v>769</v>
      </c>
      <c r="E543" s="17" t="s">
        <v>783</v>
      </c>
      <c r="F543" s="17">
        <v>908099992</v>
      </c>
      <c r="G543" s="27" t="s">
        <v>883</v>
      </c>
      <c r="H543" s="29">
        <v>0</v>
      </c>
      <c r="I543" s="27" t="s">
        <v>1007</v>
      </c>
      <c r="J543" s="27" t="s">
        <v>1007</v>
      </c>
      <c r="K543" s="27" t="s">
        <v>1007</v>
      </c>
      <c r="L543" s="30">
        <v>60</v>
      </c>
    </row>
    <row r="544" spans="1:12" ht="15.75" x14ac:dyDescent="0.25">
      <c r="A544" s="26">
        <v>543</v>
      </c>
      <c r="B544" s="26" t="s">
        <v>588</v>
      </c>
      <c r="C544" s="13" t="s">
        <v>1412</v>
      </c>
      <c r="D544" s="27" t="s">
        <v>769</v>
      </c>
      <c r="E544" s="17" t="s">
        <v>783</v>
      </c>
      <c r="F544" s="17">
        <v>908099992</v>
      </c>
      <c r="G544" s="27" t="s">
        <v>909</v>
      </c>
      <c r="H544" s="29">
        <v>36</v>
      </c>
      <c r="I544" s="27" t="s">
        <v>1007</v>
      </c>
      <c r="J544" s="27" t="s">
        <v>1007</v>
      </c>
      <c r="K544" s="27" t="s">
        <v>1007</v>
      </c>
      <c r="L544" s="30">
        <v>60</v>
      </c>
    </row>
    <row r="545" spans="1:12" x14ac:dyDescent="0.25">
      <c r="A545" s="26">
        <v>544</v>
      </c>
      <c r="B545" s="26" t="s">
        <v>591</v>
      </c>
      <c r="C545" s="18" t="s">
        <v>641</v>
      </c>
      <c r="D545" s="18" t="s">
        <v>767</v>
      </c>
      <c r="E545" s="18" t="s">
        <v>761</v>
      </c>
      <c r="F545" s="27">
        <v>908099992</v>
      </c>
      <c r="G545" s="27"/>
      <c r="H545" s="29"/>
      <c r="I545" s="27" t="s">
        <v>1007</v>
      </c>
      <c r="J545" s="27" t="s">
        <v>1007</v>
      </c>
      <c r="K545" s="27" t="s">
        <v>1007</v>
      </c>
      <c r="L545" s="31">
        <v>60</v>
      </c>
    </row>
    <row r="546" spans="1:12" x14ac:dyDescent="0.25">
      <c r="A546" s="26">
        <v>545</v>
      </c>
      <c r="B546" s="26" t="s">
        <v>592</v>
      </c>
      <c r="C546" s="18" t="s">
        <v>734</v>
      </c>
      <c r="D546" s="18" t="s">
        <v>756</v>
      </c>
      <c r="E546" s="18" t="s">
        <v>759</v>
      </c>
      <c r="F546" s="27">
        <v>908099992</v>
      </c>
      <c r="G546" s="27" t="s">
        <v>912</v>
      </c>
      <c r="H546" s="17">
        <v>36</v>
      </c>
      <c r="I546" s="27" t="s">
        <v>1007</v>
      </c>
      <c r="J546" s="27" t="s">
        <v>1007</v>
      </c>
      <c r="K546" s="27" t="s">
        <v>1007</v>
      </c>
      <c r="L546" s="31">
        <v>60</v>
      </c>
    </row>
    <row r="547" spans="1:12" x14ac:dyDescent="0.25">
      <c r="A547" s="26">
        <v>546</v>
      </c>
      <c r="B547" s="26" t="s">
        <v>593</v>
      </c>
      <c r="C547" s="18" t="s">
        <v>735</v>
      </c>
      <c r="D547" s="18" t="s">
        <v>763</v>
      </c>
      <c r="E547" s="18" t="s">
        <v>759</v>
      </c>
      <c r="F547" s="27">
        <v>908099992</v>
      </c>
      <c r="G547" s="27" t="s">
        <v>912</v>
      </c>
      <c r="H547" s="17">
        <v>42</v>
      </c>
      <c r="I547" s="27" t="s">
        <v>1007</v>
      </c>
      <c r="J547" s="27" t="s">
        <v>1007</v>
      </c>
      <c r="K547" s="27" t="s">
        <v>1007</v>
      </c>
      <c r="L547" s="31">
        <v>60</v>
      </c>
    </row>
    <row r="548" spans="1:12" x14ac:dyDescent="0.25">
      <c r="A548" s="26">
        <v>547</v>
      </c>
      <c r="B548" s="26" t="s">
        <v>594</v>
      </c>
      <c r="C548" s="18" t="s">
        <v>736</v>
      </c>
      <c r="D548" s="18" t="s">
        <v>763</v>
      </c>
      <c r="E548" s="18" t="s">
        <v>759</v>
      </c>
      <c r="F548" s="27">
        <v>908099992</v>
      </c>
      <c r="G548" s="27" t="s">
        <v>912</v>
      </c>
      <c r="H548" s="17">
        <v>42</v>
      </c>
      <c r="I548" s="27" t="s">
        <v>1007</v>
      </c>
      <c r="J548" s="27" t="s">
        <v>1007</v>
      </c>
      <c r="K548" s="27" t="s">
        <v>1007</v>
      </c>
      <c r="L548" s="31">
        <v>60</v>
      </c>
    </row>
    <row r="549" spans="1:12" x14ac:dyDescent="0.25">
      <c r="A549" s="26">
        <v>548</v>
      </c>
      <c r="B549" s="26" t="s">
        <v>595</v>
      </c>
      <c r="C549" s="18" t="s">
        <v>737</v>
      </c>
      <c r="D549" s="18" t="s">
        <v>756</v>
      </c>
      <c r="E549" s="18" t="s">
        <v>759</v>
      </c>
      <c r="F549" s="27">
        <v>908099992</v>
      </c>
      <c r="G549" s="27" t="s">
        <v>912</v>
      </c>
      <c r="H549" s="17">
        <v>36</v>
      </c>
      <c r="I549" s="27" t="s">
        <v>1007</v>
      </c>
      <c r="J549" s="27" t="s">
        <v>1007</v>
      </c>
      <c r="K549" s="27" t="s">
        <v>1007</v>
      </c>
      <c r="L549" s="31">
        <v>60</v>
      </c>
    </row>
    <row r="550" spans="1:12" x14ac:dyDescent="0.25">
      <c r="A550" s="26">
        <v>549</v>
      </c>
      <c r="B550" s="26" t="s">
        <v>596</v>
      </c>
      <c r="C550" s="18" t="s">
        <v>738</v>
      </c>
      <c r="D550" s="18" t="s">
        <v>775</v>
      </c>
      <c r="E550" s="18" t="s">
        <v>759</v>
      </c>
      <c r="F550" s="27">
        <v>908099992</v>
      </c>
      <c r="G550" s="27" t="s">
        <v>912</v>
      </c>
      <c r="H550" s="17">
        <v>42</v>
      </c>
      <c r="I550" s="27" t="s">
        <v>1007</v>
      </c>
      <c r="J550" s="27" t="s">
        <v>1007</v>
      </c>
      <c r="K550" s="27" t="s">
        <v>1007</v>
      </c>
      <c r="L550" s="31">
        <v>60</v>
      </c>
    </row>
    <row r="551" spans="1:12" x14ac:dyDescent="0.25">
      <c r="A551" s="26">
        <v>550</v>
      </c>
      <c r="B551" s="26" t="s">
        <v>597</v>
      </c>
      <c r="C551" s="18" t="s">
        <v>739</v>
      </c>
      <c r="D551" s="18" t="s">
        <v>767</v>
      </c>
      <c r="E551" s="18" t="s">
        <v>759</v>
      </c>
      <c r="F551" s="27">
        <v>908099992</v>
      </c>
      <c r="G551" s="27" t="s">
        <v>912</v>
      </c>
      <c r="H551" s="17">
        <v>30</v>
      </c>
      <c r="I551" s="27" t="s">
        <v>1007</v>
      </c>
      <c r="J551" s="27" t="s">
        <v>1007</v>
      </c>
      <c r="K551" s="27" t="s">
        <v>1007</v>
      </c>
      <c r="L551" s="31">
        <v>60</v>
      </c>
    </row>
    <row r="552" spans="1:12" x14ac:dyDescent="0.25">
      <c r="A552" s="26">
        <v>551</v>
      </c>
      <c r="B552" s="26" t="s">
        <v>598</v>
      </c>
      <c r="C552" s="18" t="s">
        <v>740</v>
      </c>
      <c r="D552" s="18" t="s">
        <v>768</v>
      </c>
      <c r="E552" s="18" t="s">
        <v>759</v>
      </c>
      <c r="F552" s="27">
        <v>908099992</v>
      </c>
      <c r="G552" s="27" t="s">
        <v>912</v>
      </c>
      <c r="H552" s="17">
        <v>42</v>
      </c>
      <c r="I552" s="27" t="s">
        <v>1007</v>
      </c>
      <c r="J552" s="27" t="s">
        <v>1007</v>
      </c>
      <c r="K552" s="27" t="s">
        <v>1007</v>
      </c>
      <c r="L552" s="31">
        <v>60</v>
      </c>
    </row>
    <row r="553" spans="1:12" x14ac:dyDescent="0.25">
      <c r="A553" s="26">
        <v>552</v>
      </c>
      <c r="B553" s="26" t="s">
        <v>599</v>
      </c>
      <c r="C553" s="18" t="s">
        <v>741</v>
      </c>
      <c r="D553" s="18" t="s">
        <v>769</v>
      </c>
      <c r="E553" s="18" t="s">
        <v>759</v>
      </c>
      <c r="F553" s="27">
        <v>908099992</v>
      </c>
      <c r="G553" s="27" t="s">
        <v>903</v>
      </c>
      <c r="H553" s="29">
        <v>30</v>
      </c>
      <c r="I553" s="27" t="s">
        <v>1007</v>
      </c>
      <c r="J553" s="27" t="s">
        <v>1007</v>
      </c>
      <c r="K553" s="27" t="s">
        <v>1007</v>
      </c>
      <c r="L553" s="31">
        <v>60</v>
      </c>
    </row>
    <row r="554" spans="1:12" x14ac:dyDescent="0.25">
      <c r="A554" s="26">
        <v>553</v>
      </c>
      <c r="B554" s="26" t="s">
        <v>600</v>
      </c>
      <c r="C554" s="18" t="s">
        <v>742</v>
      </c>
      <c r="D554" s="18" t="s">
        <v>768</v>
      </c>
      <c r="E554" s="18" t="s">
        <v>759</v>
      </c>
      <c r="F554" s="27">
        <v>908099992</v>
      </c>
      <c r="G554" s="27" t="s">
        <v>912</v>
      </c>
      <c r="H554" s="17">
        <v>42</v>
      </c>
      <c r="I554" s="27" t="s">
        <v>1007</v>
      </c>
      <c r="J554" s="27" t="s">
        <v>1007</v>
      </c>
      <c r="K554" s="27" t="s">
        <v>1007</v>
      </c>
      <c r="L554" s="31">
        <v>60</v>
      </c>
    </row>
    <row r="555" spans="1:12" x14ac:dyDescent="0.25">
      <c r="A555" s="26">
        <v>554</v>
      </c>
      <c r="B555" s="26" t="s">
        <v>601</v>
      </c>
      <c r="C555" s="18" t="s">
        <v>743</v>
      </c>
      <c r="D555" s="18" t="s">
        <v>769</v>
      </c>
      <c r="E555" s="18" t="s">
        <v>761</v>
      </c>
      <c r="F555" s="27">
        <v>908099992</v>
      </c>
      <c r="G555" s="27" t="s">
        <v>911</v>
      </c>
      <c r="H555" s="29">
        <v>6</v>
      </c>
      <c r="I555" s="27" t="s">
        <v>1007</v>
      </c>
      <c r="J555" s="27" t="s">
        <v>1007</v>
      </c>
      <c r="K555" s="27" t="s">
        <v>1007</v>
      </c>
      <c r="L555" s="31">
        <v>60</v>
      </c>
    </row>
    <row r="556" spans="1:12" x14ac:dyDescent="0.25">
      <c r="A556" s="26">
        <v>555</v>
      </c>
      <c r="B556" s="26" t="s">
        <v>744</v>
      </c>
      <c r="C556" s="18" t="s">
        <v>745</v>
      </c>
      <c r="D556" s="18" t="s">
        <v>777</v>
      </c>
      <c r="E556" s="18" t="s">
        <v>759</v>
      </c>
      <c r="F556" s="27">
        <v>908099992</v>
      </c>
      <c r="G556" s="27" t="s">
        <v>912</v>
      </c>
      <c r="H556" s="17">
        <v>42</v>
      </c>
      <c r="I556" s="27" t="s">
        <v>1007</v>
      </c>
      <c r="J556" s="27" t="s">
        <v>1007</v>
      </c>
      <c r="K556" s="27" t="s">
        <v>1007</v>
      </c>
      <c r="L556" s="31">
        <v>60</v>
      </c>
    </row>
    <row r="557" spans="1:12" x14ac:dyDescent="0.25">
      <c r="A557" s="26">
        <v>556</v>
      </c>
      <c r="B557" s="26" t="s">
        <v>746</v>
      </c>
      <c r="C557" s="18" t="s">
        <v>747</v>
      </c>
      <c r="D557" s="18" t="s">
        <v>777</v>
      </c>
      <c r="E557" s="18" t="s">
        <v>759</v>
      </c>
      <c r="F557" s="27">
        <v>908099992</v>
      </c>
      <c r="G557" s="27" t="s">
        <v>912</v>
      </c>
      <c r="H557" s="17">
        <v>42</v>
      </c>
      <c r="I557" s="27" t="s">
        <v>1007</v>
      </c>
      <c r="J557" s="27" t="s">
        <v>1007</v>
      </c>
      <c r="K557" s="27" t="s">
        <v>1007</v>
      </c>
      <c r="L557" s="31">
        <v>60</v>
      </c>
    </row>
    <row r="558" spans="1:12" x14ac:dyDescent="0.25">
      <c r="A558" s="26">
        <v>557</v>
      </c>
      <c r="B558" s="26" t="s">
        <v>748</v>
      </c>
      <c r="C558" s="18" t="s">
        <v>749</v>
      </c>
      <c r="D558" s="18" t="s">
        <v>769</v>
      </c>
      <c r="E558" s="18" t="s">
        <v>757</v>
      </c>
      <c r="F558" s="27">
        <v>908099992</v>
      </c>
      <c r="G558" s="27" t="s">
        <v>912</v>
      </c>
      <c r="H558" s="29">
        <v>18</v>
      </c>
      <c r="I558" s="27" t="s">
        <v>1007</v>
      </c>
      <c r="J558" s="27" t="s">
        <v>1007</v>
      </c>
      <c r="K558" s="27" t="s">
        <v>1007</v>
      </c>
      <c r="L558" s="31">
        <v>60</v>
      </c>
    </row>
    <row r="559" spans="1:12" x14ac:dyDescent="0.25">
      <c r="A559" s="26">
        <v>558</v>
      </c>
      <c r="B559" s="26" t="s">
        <v>750</v>
      </c>
      <c r="C559" s="18" t="s">
        <v>751</v>
      </c>
      <c r="D559" s="18" t="s">
        <v>756</v>
      </c>
      <c r="E559" s="18" t="s">
        <v>759</v>
      </c>
      <c r="F559" s="27">
        <v>908099992</v>
      </c>
      <c r="G559" s="27" t="s">
        <v>912</v>
      </c>
      <c r="H559" s="29">
        <v>30</v>
      </c>
      <c r="I559" s="27" t="s">
        <v>1007</v>
      </c>
      <c r="J559" s="27" t="s">
        <v>1007</v>
      </c>
      <c r="K559" s="27" t="s">
        <v>1007</v>
      </c>
      <c r="L559" s="31">
        <v>60</v>
      </c>
    </row>
    <row r="560" spans="1:12" x14ac:dyDescent="0.25">
      <c r="A560" s="26">
        <v>559</v>
      </c>
      <c r="B560" s="26" t="s">
        <v>752</v>
      </c>
      <c r="C560" s="18" t="s">
        <v>753</v>
      </c>
      <c r="D560" s="18" t="s">
        <v>767</v>
      </c>
      <c r="E560" s="18" t="s">
        <v>759</v>
      </c>
      <c r="F560" s="27">
        <v>908099992</v>
      </c>
      <c r="G560" s="27" t="s">
        <v>912</v>
      </c>
      <c r="H560" s="17">
        <v>42</v>
      </c>
      <c r="I560" s="27" t="s">
        <v>1007</v>
      </c>
      <c r="J560" s="27" t="s">
        <v>1007</v>
      </c>
      <c r="K560" s="27" t="s">
        <v>1007</v>
      </c>
      <c r="L560" s="31">
        <v>60</v>
      </c>
    </row>
    <row r="561" spans="1:12" x14ac:dyDescent="0.25">
      <c r="A561" s="26">
        <v>560</v>
      </c>
      <c r="B561" s="26" t="s">
        <v>850</v>
      </c>
      <c r="C561" s="18" t="s">
        <v>818</v>
      </c>
      <c r="D561" s="18" t="s">
        <v>768</v>
      </c>
      <c r="E561" s="18" t="s">
        <v>759</v>
      </c>
      <c r="F561" s="27">
        <v>908099992</v>
      </c>
      <c r="G561" s="27" t="s">
        <v>912</v>
      </c>
      <c r="H561" s="17">
        <v>42</v>
      </c>
      <c r="I561" s="27" t="s">
        <v>1007</v>
      </c>
      <c r="J561" s="27" t="s">
        <v>1007</v>
      </c>
      <c r="K561" s="27" t="s">
        <v>1007</v>
      </c>
      <c r="L561" s="31">
        <v>60</v>
      </c>
    </row>
    <row r="562" spans="1:12" x14ac:dyDescent="0.25">
      <c r="A562" s="26">
        <v>561</v>
      </c>
      <c r="B562" s="26" t="s">
        <v>849</v>
      </c>
      <c r="C562" s="18" t="s">
        <v>827</v>
      </c>
      <c r="D562" s="18" t="s">
        <v>768</v>
      </c>
      <c r="E562" s="18" t="s">
        <v>759</v>
      </c>
      <c r="F562" s="27">
        <v>908099992</v>
      </c>
      <c r="G562" s="27" t="s">
        <v>912</v>
      </c>
      <c r="H562" s="17">
        <v>42</v>
      </c>
      <c r="I562" s="27" t="s">
        <v>1007</v>
      </c>
      <c r="J562" s="27" t="s">
        <v>1007</v>
      </c>
      <c r="K562" s="27" t="s">
        <v>1007</v>
      </c>
      <c r="L562" s="31">
        <v>60</v>
      </c>
    </row>
    <row r="563" spans="1:12" x14ac:dyDescent="0.25">
      <c r="A563" s="26">
        <v>562</v>
      </c>
      <c r="B563" s="26" t="s">
        <v>831</v>
      </c>
      <c r="C563" s="18" t="s">
        <v>826</v>
      </c>
      <c r="D563" s="18" t="s">
        <v>756</v>
      </c>
      <c r="E563" s="18" t="s">
        <v>759</v>
      </c>
      <c r="F563" s="27">
        <v>908099992</v>
      </c>
      <c r="G563" s="27" t="s">
        <v>912</v>
      </c>
      <c r="H563" s="17">
        <v>42</v>
      </c>
      <c r="I563" s="27" t="s">
        <v>1007</v>
      </c>
      <c r="J563" s="27" t="s">
        <v>1007</v>
      </c>
      <c r="K563" s="27" t="s">
        <v>1007</v>
      </c>
      <c r="L563" s="31">
        <v>60</v>
      </c>
    </row>
    <row r="564" spans="1:12" x14ac:dyDescent="0.25">
      <c r="A564" s="26">
        <v>563</v>
      </c>
      <c r="B564" s="26" t="s">
        <v>851</v>
      </c>
      <c r="C564" s="18" t="s">
        <v>819</v>
      </c>
      <c r="D564" s="18" t="s">
        <v>777</v>
      </c>
      <c r="E564" s="18" t="s">
        <v>759</v>
      </c>
      <c r="F564" s="27">
        <v>908099992</v>
      </c>
      <c r="G564" s="27" t="s">
        <v>912</v>
      </c>
      <c r="H564" s="17">
        <v>42</v>
      </c>
      <c r="I564" s="27" t="s">
        <v>1007</v>
      </c>
      <c r="J564" s="27" t="s">
        <v>1007</v>
      </c>
      <c r="K564" s="27" t="s">
        <v>1007</v>
      </c>
      <c r="L564" s="31">
        <v>60</v>
      </c>
    </row>
    <row r="565" spans="1:12" x14ac:dyDescent="0.25">
      <c r="A565" s="26">
        <v>564</v>
      </c>
      <c r="B565" s="26" t="s">
        <v>852</v>
      </c>
      <c r="C565" s="18" t="s">
        <v>820</v>
      </c>
      <c r="D565" s="18" t="s">
        <v>777</v>
      </c>
      <c r="E565" s="18" t="s">
        <v>759</v>
      </c>
      <c r="F565" s="27">
        <v>908099992</v>
      </c>
      <c r="G565" s="27" t="s">
        <v>912</v>
      </c>
      <c r="H565" s="17">
        <v>42</v>
      </c>
      <c r="I565" s="27" t="s">
        <v>1007</v>
      </c>
      <c r="J565" s="27" t="s">
        <v>1007</v>
      </c>
      <c r="K565" s="27" t="s">
        <v>1007</v>
      </c>
      <c r="L565" s="31">
        <v>60</v>
      </c>
    </row>
    <row r="566" spans="1:12" x14ac:dyDescent="0.25">
      <c r="A566" s="26">
        <v>565</v>
      </c>
      <c r="B566" s="26" t="s">
        <v>828</v>
      </c>
      <c r="C566" s="18" t="s">
        <v>815</v>
      </c>
      <c r="D566" s="18" t="s">
        <v>763</v>
      </c>
      <c r="E566" s="18" t="s">
        <v>759</v>
      </c>
      <c r="F566" s="27">
        <v>908099992</v>
      </c>
      <c r="G566" s="27" t="s">
        <v>912</v>
      </c>
      <c r="H566" s="17">
        <v>42</v>
      </c>
      <c r="I566" s="27" t="s">
        <v>1007</v>
      </c>
      <c r="J566" s="27" t="s">
        <v>1007</v>
      </c>
      <c r="K566" s="27" t="s">
        <v>1007</v>
      </c>
      <c r="L566" s="31">
        <v>60</v>
      </c>
    </row>
    <row r="567" spans="1:12" x14ac:dyDescent="0.25">
      <c r="A567" s="26">
        <v>566</v>
      </c>
      <c r="B567" s="26" t="s">
        <v>816</v>
      </c>
      <c r="C567" s="18" t="s">
        <v>817</v>
      </c>
      <c r="D567" s="18" t="s">
        <v>796</v>
      </c>
      <c r="E567" s="18" t="s">
        <v>759</v>
      </c>
      <c r="F567" s="27">
        <v>908099992</v>
      </c>
      <c r="G567" s="27" t="s">
        <v>912</v>
      </c>
      <c r="H567" s="17">
        <v>42</v>
      </c>
      <c r="I567" s="27" t="s">
        <v>1007</v>
      </c>
      <c r="J567" s="27" t="s">
        <v>1007</v>
      </c>
      <c r="K567" s="27" t="s">
        <v>1007</v>
      </c>
      <c r="L567" s="31">
        <v>60</v>
      </c>
    </row>
    <row r="568" spans="1:12" x14ac:dyDescent="0.25">
      <c r="A568" s="26">
        <v>567</v>
      </c>
      <c r="B568" s="26" t="s">
        <v>821</v>
      </c>
      <c r="C568" s="18" t="s">
        <v>822</v>
      </c>
      <c r="D568" s="18" t="s">
        <v>796</v>
      </c>
      <c r="E568" s="18" t="s">
        <v>759</v>
      </c>
      <c r="F568" s="27">
        <v>908099992</v>
      </c>
      <c r="G568" s="27" t="s">
        <v>912</v>
      </c>
      <c r="H568" s="17">
        <v>42</v>
      </c>
      <c r="I568" s="27" t="s">
        <v>1007</v>
      </c>
      <c r="J568" s="27" t="s">
        <v>1007</v>
      </c>
      <c r="K568" s="27" t="s">
        <v>1007</v>
      </c>
      <c r="L568" s="31">
        <v>60</v>
      </c>
    </row>
    <row r="569" spans="1:12" x14ac:dyDescent="0.25">
      <c r="A569" s="26">
        <v>568</v>
      </c>
      <c r="B569" s="26" t="s">
        <v>824</v>
      </c>
      <c r="C569" s="18" t="s">
        <v>825</v>
      </c>
      <c r="D569" s="18" t="s">
        <v>796</v>
      </c>
      <c r="E569" s="18" t="s">
        <v>759</v>
      </c>
      <c r="F569" s="27">
        <v>908099992</v>
      </c>
      <c r="G569" s="27" t="s">
        <v>912</v>
      </c>
      <c r="H569" s="17">
        <v>42</v>
      </c>
      <c r="I569" s="27" t="s">
        <v>1007</v>
      </c>
      <c r="J569" s="27" t="s">
        <v>1007</v>
      </c>
      <c r="K569" s="27" t="s">
        <v>1007</v>
      </c>
      <c r="L569" s="31">
        <v>60</v>
      </c>
    </row>
    <row r="570" spans="1:12" x14ac:dyDescent="0.25">
      <c r="A570" s="26">
        <v>569</v>
      </c>
      <c r="B570" s="26" t="s">
        <v>830</v>
      </c>
      <c r="C570" s="18" t="s">
        <v>814</v>
      </c>
      <c r="D570" s="18" t="s">
        <v>767</v>
      </c>
      <c r="E570" s="18" t="s">
        <v>759</v>
      </c>
      <c r="F570" s="27">
        <v>908099992</v>
      </c>
      <c r="G570" s="27" t="s">
        <v>912</v>
      </c>
      <c r="H570" s="17">
        <v>42</v>
      </c>
      <c r="I570" s="27" t="s">
        <v>1007</v>
      </c>
      <c r="J570" s="27" t="s">
        <v>1007</v>
      </c>
      <c r="K570" s="27" t="s">
        <v>1007</v>
      </c>
      <c r="L570" s="31">
        <v>60</v>
      </c>
    </row>
    <row r="571" spans="1:12" x14ac:dyDescent="0.25">
      <c r="A571" s="26">
        <v>570</v>
      </c>
      <c r="B571" s="26" t="s">
        <v>855</v>
      </c>
      <c r="C571" s="18" t="s">
        <v>823</v>
      </c>
      <c r="D571" s="18" t="s">
        <v>767</v>
      </c>
      <c r="E571" s="18" t="s">
        <v>759</v>
      </c>
      <c r="F571" s="27">
        <v>908099992</v>
      </c>
      <c r="G571" s="27" t="s">
        <v>912</v>
      </c>
      <c r="H571" s="17">
        <v>42</v>
      </c>
      <c r="I571" s="27" t="s">
        <v>1007</v>
      </c>
      <c r="J571" s="27" t="s">
        <v>1007</v>
      </c>
      <c r="K571" s="27" t="s">
        <v>1007</v>
      </c>
      <c r="L571" s="31">
        <v>60</v>
      </c>
    </row>
    <row r="572" spans="1:12" x14ac:dyDescent="0.25">
      <c r="A572" s="26">
        <v>571</v>
      </c>
      <c r="B572" s="15" t="s">
        <v>844</v>
      </c>
      <c r="C572" s="2" t="str">
        <f>VLOOKUP($B572,Site!$B$2:$N$1868,2,0)</f>
        <v>CTOBTY32</v>
      </c>
      <c r="D572" s="2" t="str">
        <f>VLOOKUP($B572,Site!$B$2:$N$1868,6,0)</f>
        <v>3</v>
      </c>
      <c r="E572" s="2">
        <f>VLOOKUP($B572,Site!$B$2:$N$1868,8,0)</f>
        <v>0</v>
      </c>
      <c r="F572" s="27">
        <v>908099992</v>
      </c>
      <c r="G572" s="2" t="e">
        <f>VLOOKUP($B572,Site!$B$2:$N$1868,21,0)</f>
        <v>#REF!</v>
      </c>
      <c r="H572" s="2" t="e">
        <f>VLOOKUP($B572,Site!$B$2:$N$1868,20,0)</f>
        <v>#REF!</v>
      </c>
      <c r="I572" s="27" t="s">
        <v>1007</v>
      </c>
      <c r="J572" s="27" t="s">
        <v>1007</v>
      </c>
      <c r="K572" s="27" t="s">
        <v>1007</v>
      </c>
      <c r="L572" s="31">
        <v>60</v>
      </c>
    </row>
    <row r="573" spans="1:12" x14ac:dyDescent="0.25">
      <c r="A573" s="26">
        <v>572</v>
      </c>
      <c r="B573" s="15" t="s">
        <v>829</v>
      </c>
      <c r="C573" s="2" t="str">
        <f>VLOOKUP($B573,Site!$B$2:$N$1868,2,0)</f>
        <v>CTOTHU11</v>
      </c>
      <c r="D573" s="2" t="str">
        <f>VLOOKUP($B573,Site!$B$2:$N$1868,6,0)</f>
        <v>3</v>
      </c>
      <c r="E573" s="2">
        <f>VLOOKUP($B573,Site!$B$2:$N$1868,8,0)</f>
        <v>0</v>
      </c>
      <c r="F573" s="27">
        <v>908099992</v>
      </c>
      <c r="G573" s="2" t="e">
        <f>VLOOKUP($B573,Site!$B$2:$N$1868,21,0)</f>
        <v>#REF!</v>
      </c>
      <c r="H573" s="2" t="e">
        <f>VLOOKUP($B573,Site!$B$2:$N$1868,20,0)</f>
        <v>#REF!</v>
      </c>
      <c r="I573" s="27" t="s">
        <v>1007</v>
      </c>
      <c r="J573" s="27" t="s">
        <v>1007</v>
      </c>
      <c r="K573" s="27" t="s">
        <v>1007</v>
      </c>
      <c r="L573" s="31">
        <v>60</v>
      </c>
    </row>
    <row r="574" spans="1:12" x14ac:dyDescent="0.25">
      <c r="A574" s="26">
        <v>573</v>
      </c>
      <c r="B574" s="15" t="s">
        <v>845</v>
      </c>
      <c r="C574" s="2" t="str">
        <f>VLOOKUP($B574,Site!$B$2:$N$1868,2,0)</f>
        <v>CTOTIH08</v>
      </c>
      <c r="D574" s="2" t="str">
        <f>VLOOKUP($B574,Site!$B$2:$N$1868,6,0)</f>
        <v>3</v>
      </c>
      <c r="E574" s="2">
        <f>VLOOKUP($B574,Site!$B$2:$N$1868,8,0)</f>
        <v>0</v>
      </c>
      <c r="F574" s="27">
        <v>908099992</v>
      </c>
      <c r="G574" s="2" t="e">
        <f>VLOOKUP($B574,Site!$B$2:$N$1868,21,0)</f>
        <v>#REF!</v>
      </c>
      <c r="H574" s="2" t="e">
        <f>VLOOKUP($B574,Site!$B$2:$N$1868,20,0)</f>
        <v>#REF!</v>
      </c>
      <c r="I574" s="27" t="s">
        <v>1007</v>
      </c>
      <c r="J574" s="27" t="s">
        <v>1007</v>
      </c>
      <c r="K574" s="27" t="s">
        <v>1007</v>
      </c>
      <c r="L574" s="31">
        <v>60</v>
      </c>
    </row>
    <row r="575" spans="1:12" x14ac:dyDescent="0.25">
      <c r="A575" s="26">
        <v>574</v>
      </c>
      <c r="B575" s="15" t="s">
        <v>846</v>
      </c>
      <c r="C575" s="2" t="str">
        <f>VLOOKUP($B575,Site!$B$2:$N$1868,2,0)</f>
        <v>CTOTIH07</v>
      </c>
      <c r="D575" s="2" t="str">
        <f>VLOOKUP($B575,Site!$B$2:$N$1868,6,0)</f>
        <v>3</v>
      </c>
      <c r="E575" s="2">
        <f>VLOOKUP($B575,Site!$B$2:$N$1868,8,0)</f>
        <v>0</v>
      </c>
      <c r="F575" s="27">
        <v>908099992</v>
      </c>
      <c r="G575" s="2" t="e">
        <f>VLOOKUP($B575,Site!$B$2:$N$1868,21,0)</f>
        <v>#REF!</v>
      </c>
      <c r="H575" s="2" t="e">
        <f>VLOOKUP($B575,Site!$B$2:$N$1868,20,0)</f>
        <v>#REF!</v>
      </c>
      <c r="I575" s="27" t="s">
        <v>1007</v>
      </c>
      <c r="J575" s="27" t="s">
        <v>1007</v>
      </c>
      <c r="K575" s="27" t="s">
        <v>1007</v>
      </c>
      <c r="L575" s="31">
        <v>60</v>
      </c>
    </row>
    <row r="576" spans="1:12" x14ac:dyDescent="0.25">
      <c r="A576" s="26">
        <v>575</v>
      </c>
      <c r="B576" s="15" t="s">
        <v>847</v>
      </c>
      <c r="C576" s="2" t="str">
        <f>VLOOKUP($B576,Site!$B$2:$N$1868,2,0)</f>
        <v>CTOCRG31</v>
      </c>
      <c r="D576" s="2" t="str">
        <f>VLOOKUP($B576,Site!$B$2:$N$1868,6,0)</f>
        <v>2</v>
      </c>
      <c r="E576" s="2">
        <f>VLOOKUP($B576,Site!$B$2:$N$1868,8,0)</f>
        <v>0</v>
      </c>
      <c r="F576" s="27">
        <v>908099992</v>
      </c>
      <c r="G576" s="2" t="e">
        <f>VLOOKUP($B576,Site!$B$2:$N$1868,21,0)</f>
        <v>#REF!</v>
      </c>
      <c r="H576" s="2" t="e">
        <f>VLOOKUP($B576,Site!$B$2:$N$1868,20,0)</f>
        <v>#REF!</v>
      </c>
      <c r="I576" s="27" t="s">
        <v>1007</v>
      </c>
      <c r="J576" s="27" t="s">
        <v>1007</v>
      </c>
      <c r="K576" s="27" t="s">
        <v>1007</v>
      </c>
      <c r="L576" s="31">
        <v>60</v>
      </c>
    </row>
    <row r="577" spans="1:12" x14ac:dyDescent="0.25">
      <c r="A577" s="26">
        <v>576</v>
      </c>
      <c r="B577" s="15" t="s">
        <v>848</v>
      </c>
      <c r="C577" s="2" t="str">
        <f>VLOOKUP($B577,Site!$B$2:$N$1868,2,0)</f>
        <v>CTOHPU31</v>
      </c>
      <c r="D577" s="2" t="str">
        <f>VLOOKUP($B577,Site!$B$2:$N$1868,6,0)</f>
        <v>2</v>
      </c>
      <c r="E577" s="2">
        <f>VLOOKUP($B577,Site!$B$2:$N$1868,8,0)</f>
        <v>0</v>
      </c>
      <c r="F577" s="27">
        <v>908099992</v>
      </c>
      <c r="G577" s="2" t="e">
        <f>VLOOKUP($B577,Site!$B$2:$N$1868,21,0)</f>
        <v>#REF!</v>
      </c>
      <c r="H577" s="2" t="e">
        <f>VLOOKUP($B577,Site!$B$2:$N$1868,20,0)</f>
        <v>#REF!</v>
      </c>
      <c r="I577" s="27" t="s">
        <v>1007</v>
      </c>
      <c r="J577" s="27" t="s">
        <v>1007</v>
      </c>
      <c r="K577" s="27" t="s">
        <v>1007</v>
      </c>
      <c r="L577" s="31">
        <v>60</v>
      </c>
    </row>
    <row r="578" spans="1:12" x14ac:dyDescent="0.25">
      <c r="A578" s="26">
        <v>577</v>
      </c>
      <c r="B578" s="15" t="s">
        <v>853</v>
      </c>
      <c r="C578" s="2" t="str">
        <f>VLOOKUP($B578,Site!$B$2:$N$1868,2,0)</f>
        <v>CTODTN08</v>
      </c>
      <c r="D578" s="2" t="str">
        <f>VLOOKUP($B578,Site!$B$2:$N$1868,6,0)</f>
        <v>3</v>
      </c>
      <c r="E578" s="2">
        <f>VLOOKUP($B578,Site!$B$2:$N$1868,8,0)</f>
        <v>0</v>
      </c>
      <c r="F578" s="27">
        <v>908099992</v>
      </c>
      <c r="G578" s="2" t="e">
        <f>VLOOKUP($B578,Site!$B$2:$N$1868,21,0)</f>
        <v>#REF!</v>
      </c>
      <c r="H578" s="2" t="e">
        <f>VLOOKUP($B578,Site!$B$2:$N$1868,20,0)</f>
        <v>#REF!</v>
      </c>
      <c r="I578" s="27" t="s">
        <v>1007</v>
      </c>
      <c r="J578" s="27" t="s">
        <v>1007</v>
      </c>
      <c r="K578" s="27" t="s">
        <v>1007</v>
      </c>
      <c r="L578" s="31">
        <v>60</v>
      </c>
    </row>
    <row r="579" spans="1:12" x14ac:dyDescent="0.25">
      <c r="A579" s="26">
        <v>578</v>
      </c>
      <c r="B579" s="15" t="s">
        <v>854</v>
      </c>
      <c r="C579" s="2" t="str">
        <f>VLOOKUP($B579,Site!$B$2:$N$1868,2,0)</f>
        <v>CTOTTH13</v>
      </c>
      <c r="D579" s="2" t="str">
        <f>VLOOKUP($B579,Site!$B$2:$N$1868,6,0)</f>
        <v>3</v>
      </c>
      <c r="E579" s="2">
        <f>VLOOKUP($B579,Site!$B$2:$N$1868,8,0)</f>
        <v>0</v>
      </c>
      <c r="F579" s="27">
        <v>908099992</v>
      </c>
      <c r="G579" s="2" t="e">
        <f>VLOOKUP($B579,Site!$B$2:$N$1868,21,0)</f>
        <v>#REF!</v>
      </c>
      <c r="H579" s="2" t="e">
        <f>VLOOKUP($B579,Site!$B$2:$N$1868,20,0)</f>
        <v>#REF!</v>
      </c>
      <c r="I579" s="27" t="s">
        <v>1007</v>
      </c>
      <c r="J579" s="27" t="s">
        <v>1007</v>
      </c>
      <c r="K579" s="27" t="s">
        <v>1007</v>
      </c>
      <c r="L579" s="31">
        <v>60</v>
      </c>
    </row>
    <row r="580" spans="1:12" x14ac:dyDescent="0.25">
      <c r="A580" s="26">
        <v>579</v>
      </c>
      <c r="B580" s="15" t="s">
        <v>856</v>
      </c>
      <c r="C580" s="2" t="str">
        <f>VLOOKUP($B580,Site!$B$2:$N$1868,2,0)</f>
        <v>CTOTHA13</v>
      </c>
      <c r="D580" s="2" t="str">
        <f>VLOOKUP($B580,Site!$B$2:$N$1868,6,0)</f>
        <v>3</v>
      </c>
      <c r="E580" s="2">
        <f>VLOOKUP($B580,Site!$B$2:$N$1868,8,0)</f>
        <v>0</v>
      </c>
      <c r="F580" s="27">
        <v>908099992</v>
      </c>
      <c r="G580" s="2" t="e">
        <f>VLOOKUP($B580,Site!$B$2:$N$1868,21,0)</f>
        <v>#REF!</v>
      </c>
      <c r="H580" s="2" t="e">
        <f>VLOOKUP($B580,Site!$B$2:$N$1868,20,0)</f>
        <v>#REF!</v>
      </c>
      <c r="I580" s="27" t="s">
        <v>1007</v>
      </c>
      <c r="J580" s="27" t="s">
        <v>1007</v>
      </c>
      <c r="K580" s="27" t="s">
        <v>1007</v>
      </c>
      <c r="L580" s="31">
        <v>60</v>
      </c>
    </row>
    <row r="581" spans="1:12" x14ac:dyDescent="0.25">
      <c r="A581" s="26">
        <v>580</v>
      </c>
      <c r="B581" s="15" t="s">
        <v>857</v>
      </c>
      <c r="C581" s="2" t="str">
        <f>VLOOKUP($B581,Site!$B$2:$N$1868,2,0)</f>
        <v>CTOTHA14</v>
      </c>
      <c r="D581" s="2" t="str">
        <f>VLOOKUP($B581,Site!$B$2:$N$1868,6,0)</f>
        <v>3</v>
      </c>
      <c r="E581" s="2">
        <f>VLOOKUP($B581,Site!$B$2:$N$1868,8,0)</f>
        <v>0</v>
      </c>
      <c r="F581" s="27">
        <v>908099992</v>
      </c>
      <c r="G581" s="2" t="e">
        <f>VLOOKUP($B581,Site!$B$2:$N$1868,21,0)</f>
        <v>#REF!</v>
      </c>
      <c r="H581" s="2" t="e">
        <f>VLOOKUP($B581,Site!$B$2:$N$1868,20,0)</f>
        <v>#REF!</v>
      </c>
      <c r="I581" s="27" t="s">
        <v>1007</v>
      </c>
      <c r="J581" s="27" t="s">
        <v>1007</v>
      </c>
      <c r="K581" s="27" t="s">
        <v>1007</v>
      </c>
      <c r="L581" s="31">
        <v>60</v>
      </c>
    </row>
    <row r="582" spans="1:12" x14ac:dyDescent="0.25">
      <c r="A582" s="26">
        <v>581</v>
      </c>
      <c r="B582" s="15" t="s">
        <v>858</v>
      </c>
      <c r="C582" s="2" t="str">
        <f>VLOOKUP($B582,Site!$B$2:$N$1868,2,0)</f>
        <v>CTOTHA11</v>
      </c>
      <c r="D582" s="2" t="str">
        <f>VLOOKUP($B582,Site!$B$2:$N$1868,6,0)</f>
        <v>3</v>
      </c>
      <c r="E582" s="2">
        <f>VLOOKUP($B582,Site!$B$2:$N$1868,8,0)</f>
        <v>0</v>
      </c>
      <c r="F582" s="27">
        <v>908099992</v>
      </c>
      <c r="G582" s="2" t="e">
        <f>VLOOKUP($B582,Site!$B$2:$N$1868,21,0)</f>
        <v>#REF!</v>
      </c>
      <c r="H582" s="2" t="e">
        <f>VLOOKUP($B582,Site!$B$2:$N$1868,20,0)</f>
        <v>#REF!</v>
      </c>
      <c r="I582" s="27" t="s">
        <v>1007</v>
      </c>
      <c r="J582" s="27" t="s">
        <v>1007</v>
      </c>
      <c r="K582" s="27" t="s">
        <v>1007</v>
      </c>
      <c r="L582" s="31">
        <v>60</v>
      </c>
    </row>
    <row r="583" spans="1:12" x14ac:dyDescent="0.25">
      <c r="A583" s="26">
        <v>582</v>
      </c>
      <c r="B583" s="15" t="s">
        <v>859</v>
      </c>
      <c r="C583" s="2" t="str">
        <f>VLOOKUP($B583,Site!$B$2:$N$1868,2,0)</f>
        <v>CTOTHA12</v>
      </c>
      <c r="D583" s="2" t="str">
        <f>VLOOKUP($B583,Site!$B$2:$N$1868,6,0)</f>
        <v>3</v>
      </c>
      <c r="E583" s="2">
        <f>VLOOKUP($B583,Site!$B$2:$N$1868,8,0)</f>
        <v>0</v>
      </c>
      <c r="F583" s="27">
        <v>908099992</v>
      </c>
      <c r="G583" s="2" t="e">
        <f>VLOOKUP($B583,Site!$B$2:$N$1868,21,0)</f>
        <v>#REF!</v>
      </c>
      <c r="H583" s="2" t="e">
        <f>VLOOKUP($B583,Site!$B$2:$N$1868,20,0)</f>
        <v>#REF!</v>
      </c>
      <c r="I583" s="27" t="s">
        <v>1007</v>
      </c>
      <c r="J583" s="27" t="s">
        <v>1007</v>
      </c>
      <c r="K583" s="27" t="s">
        <v>1007</v>
      </c>
      <c r="L583" s="31">
        <v>60</v>
      </c>
    </row>
    <row r="584" spans="1:12" x14ac:dyDescent="0.25">
      <c r="A584" s="26">
        <v>583</v>
      </c>
      <c r="B584" s="15" t="s">
        <v>860</v>
      </c>
      <c r="C584" s="2" t="str">
        <f>VLOOKUP($B584,Site!$B$2:$N$1868,2,0)</f>
        <v>CTOTQI21</v>
      </c>
      <c r="D584" s="2" t="str">
        <f>VLOOKUP($B584,Site!$B$2:$N$1868,6,0)</f>
        <v>3</v>
      </c>
      <c r="E584" s="2">
        <f>VLOOKUP($B584,Site!$B$2:$N$1868,8,0)</f>
        <v>0</v>
      </c>
      <c r="F584" s="27">
        <v>908099992</v>
      </c>
      <c r="G584" s="2" t="e">
        <f>VLOOKUP($B584,Site!$B$2:$N$1868,21,0)</f>
        <v>#REF!</v>
      </c>
      <c r="H584" s="2" t="e">
        <f>VLOOKUP($B584,Site!$B$2:$N$1868,20,0)</f>
        <v>#REF!</v>
      </c>
      <c r="I584" s="27" t="s">
        <v>1007</v>
      </c>
      <c r="J584" s="27" t="s">
        <v>1007</v>
      </c>
      <c r="K584" s="27" t="s">
        <v>1007</v>
      </c>
      <c r="L584" s="31">
        <v>60</v>
      </c>
    </row>
    <row r="585" spans="1:12" x14ac:dyDescent="0.25">
      <c r="A585" s="26">
        <v>584</v>
      </c>
      <c r="B585" s="15" t="s">
        <v>861</v>
      </c>
      <c r="C585" s="2" t="str">
        <f>VLOOKUP($B585,Site!$B$2:$N$1868,2,0)</f>
        <v>CTOTQI20</v>
      </c>
      <c r="D585" s="2" t="str">
        <f>VLOOKUP($B585,Site!$B$2:$N$1868,6,0)</f>
        <v>2</v>
      </c>
      <c r="E585" s="2">
        <f>VLOOKUP($B585,Site!$B$2:$N$1868,8,0)</f>
        <v>0</v>
      </c>
      <c r="F585" s="27">
        <v>908099992</v>
      </c>
      <c r="G585" s="2" t="e">
        <f>VLOOKUP($B585,Site!$B$2:$N$1868,21,0)</f>
        <v>#REF!</v>
      </c>
      <c r="H585" s="2" t="e">
        <f>VLOOKUP($B585,Site!$B$2:$N$1868,20,0)</f>
        <v>#REF!</v>
      </c>
      <c r="I585" s="27" t="s">
        <v>1007</v>
      </c>
      <c r="J585" s="27" t="s">
        <v>1007</v>
      </c>
      <c r="K585" s="27" t="s">
        <v>1007</v>
      </c>
      <c r="L585" s="31">
        <v>60</v>
      </c>
    </row>
    <row r="586" spans="1:12" x14ac:dyDescent="0.25">
      <c r="A586" s="26">
        <v>585</v>
      </c>
      <c r="B586" s="15" t="s">
        <v>862</v>
      </c>
      <c r="C586" s="2" t="str">
        <f>VLOOKUP($B586,Site!$B$2:$N$1868,2,0)</f>
        <v>CTOVIT11</v>
      </c>
      <c r="D586" s="2" t="str">
        <f>VLOOKUP($B586,Site!$B$2:$N$1868,6,0)</f>
        <v>2</v>
      </c>
      <c r="E586" s="2">
        <f>VLOOKUP($B586,Site!$B$2:$N$1868,8,0)</f>
        <v>0</v>
      </c>
      <c r="F586" s="27">
        <v>908099992</v>
      </c>
      <c r="G586" s="2" t="e">
        <f>VLOOKUP($B586,Site!$B$2:$N$1868,21,0)</f>
        <v>#REF!</v>
      </c>
      <c r="H586" s="2" t="e">
        <f>VLOOKUP($B586,Site!$B$2:$N$1868,20,0)</f>
        <v>#REF!</v>
      </c>
      <c r="I586" s="27" t="s">
        <v>1007</v>
      </c>
      <c r="J586" s="27" t="s">
        <v>1007</v>
      </c>
      <c r="K586" s="27" t="s">
        <v>1007</v>
      </c>
      <c r="L586" s="31">
        <v>60</v>
      </c>
    </row>
    <row r="587" spans="1:12" x14ac:dyDescent="0.25">
      <c r="A587" s="26">
        <v>586</v>
      </c>
      <c r="B587" s="15" t="s">
        <v>863</v>
      </c>
      <c r="C587" s="2" t="str">
        <f>VLOOKUP($B587,Site!$B$2:$N$1868,2,0)</f>
        <v>CTOTHU12</v>
      </c>
      <c r="D587" s="2" t="str">
        <f>VLOOKUP($B587,Site!$B$2:$N$1868,6,0)</f>
        <v>1</v>
      </c>
      <c r="E587" s="2">
        <f>VLOOKUP($B587,Site!$B$2:$N$1868,8,0)</f>
        <v>0</v>
      </c>
      <c r="F587" s="27">
        <v>908099992</v>
      </c>
      <c r="G587" s="2" t="e">
        <f>VLOOKUP($B587,Site!$B$2:$N$1868,21,0)</f>
        <v>#REF!</v>
      </c>
      <c r="H587" s="2" t="e">
        <f>VLOOKUP($B587,Site!$B$2:$N$1868,20,0)</f>
        <v>#REF!</v>
      </c>
      <c r="I587" s="27" t="s">
        <v>1007</v>
      </c>
      <c r="J587" s="27" t="s">
        <v>1007</v>
      </c>
      <c r="K587" s="27" t="s">
        <v>1007</v>
      </c>
      <c r="L587" s="31">
        <v>60</v>
      </c>
    </row>
    <row r="588" spans="1:12" x14ac:dyDescent="0.25">
      <c r="A588" s="26">
        <v>587</v>
      </c>
      <c r="B588" s="15" t="s">
        <v>864</v>
      </c>
      <c r="C588" s="2" t="str">
        <f>VLOOKUP($B588,Site!$B$2:$N$1868,2,0)</f>
        <v>CTOPDN22</v>
      </c>
      <c r="D588" s="2" t="str">
        <f>VLOOKUP($B588,Site!$B$2:$N$1868,6,0)</f>
        <v>3</v>
      </c>
      <c r="E588" s="2">
        <f>VLOOKUP($B588,Site!$B$2:$N$1868,8,0)</f>
        <v>0</v>
      </c>
      <c r="F588" s="27">
        <v>908099992</v>
      </c>
      <c r="G588" s="2" t="e">
        <f>VLOOKUP($B588,Site!$B$2:$N$1868,21,0)</f>
        <v>#REF!</v>
      </c>
      <c r="H588" s="2" t="e">
        <f>VLOOKUP($B588,Site!$B$2:$N$1868,20,0)</f>
        <v>#REF!</v>
      </c>
      <c r="I588" s="27" t="s">
        <v>1007</v>
      </c>
      <c r="J588" s="27" t="s">
        <v>1007</v>
      </c>
      <c r="K588" s="27" t="s">
        <v>1007</v>
      </c>
      <c r="L588" s="31">
        <v>60</v>
      </c>
    </row>
    <row r="589" spans="1:12" x14ac:dyDescent="0.25">
      <c r="A589" s="26">
        <v>588</v>
      </c>
      <c r="B589" s="17" t="s">
        <v>866</v>
      </c>
      <c r="C589" s="2" t="str">
        <f>VLOOKUP($B589,Site!$B$2:$N$1868,2,0)</f>
        <v>CTOCRG39</v>
      </c>
      <c r="D589" s="2" t="str">
        <f>VLOOKUP($B589,Site!$B$2:$N$1868,6,0)</f>
        <v>3</v>
      </c>
      <c r="E589" s="2">
        <f>VLOOKUP($B589,Site!$B$2:$N$1868,8,0)</f>
        <v>0</v>
      </c>
      <c r="F589" s="27">
        <v>908099992</v>
      </c>
      <c r="G589" s="2" t="e">
        <f>VLOOKUP($B589,Site!$B$2:$N$1868,21,0)</f>
        <v>#REF!</v>
      </c>
      <c r="H589" s="2" t="e">
        <f>VLOOKUP($B589,Site!$B$2:$N$1868,20,0)</f>
        <v>#REF!</v>
      </c>
      <c r="I589" s="27" t="s">
        <v>1007</v>
      </c>
      <c r="J589" s="27" t="s">
        <v>1007</v>
      </c>
      <c r="K589" s="27" t="s">
        <v>1007</v>
      </c>
      <c r="L589" s="31">
        <v>60</v>
      </c>
    </row>
    <row r="590" spans="1:12" x14ac:dyDescent="0.25">
      <c r="A590" s="26">
        <v>589</v>
      </c>
      <c r="B590" s="17" t="s">
        <v>868</v>
      </c>
      <c r="C590" s="2" t="str">
        <f>VLOOKUP($B590,Site!$B$2:$N$1868,2,0)</f>
        <v>CTOCKE36</v>
      </c>
      <c r="D590" s="2" t="str">
        <f>VLOOKUP($B590,Site!$B$2:$N$1868,6,0)</f>
        <v>3</v>
      </c>
      <c r="E590" s="2">
        <f>VLOOKUP($B590,Site!$B$2:$N$1868,8,0)</f>
        <v>0</v>
      </c>
      <c r="F590" s="27">
        <v>908099992</v>
      </c>
      <c r="G590" s="2" t="e">
        <f>VLOOKUP($B590,Site!$B$2:$N$1868,21,0)</f>
        <v>#REF!</v>
      </c>
      <c r="H590" s="2" t="e">
        <f>VLOOKUP($B590,Site!$B$2:$N$1868,20,0)</f>
        <v>#REF!</v>
      </c>
      <c r="I590" s="27" t="s">
        <v>1007</v>
      </c>
      <c r="J590" s="27" t="s">
        <v>1007</v>
      </c>
      <c r="K590" s="27" t="s">
        <v>1007</v>
      </c>
      <c r="L590" s="31">
        <v>60</v>
      </c>
    </row>
    <row r="591" spans="1:12" x14ac:dyDescent="0.25">
      <c r="A591" s="26">
        <v>590</v>
      </c>
      <c r="B591" s="17" t="s">
        <v>869</v>
      </c>
      <c r="C591" s="2" t="str">
        <f>VLOOKUP($B591,Site!$B$2:$N$1868,2,0)</f>
        <v>CTOABH20</v>
      </c>
      <c r="D591" s="2" t="str">
        <f>VLOOKUP($B591,Site!$B$2:$N$1868,6,0)</f>
        <v>3</v>
      </c>
      <c r="E591" s="2">
        <f>VLOOKUP($B591,Site!$B$2:$N$1868,8,0)</f>
        <v>0</v>
      </c>
      <c r="F591" s="27">
        <v>908099992</v>
      </c>
      <c r="G591" s="2" t="e">
        <f>VLOOKUP($B591,Site!$B$2:$N$1868,21,0)</f>
        <v>#REF!</v>
      </c>
      <c r="H591" s="2" t="e">
        <f>VLOOKUP($B591,Site!$B$2:$N$1868,20,0)</f>
        <v>#REF!</v>
      </c>
      <c r="I591" s="27" t="s">
        <v>1007</v>
      </c>
      <c r="J591" s="27" t="s">
        <v>1007</v>
      </c>
      <c r="K591" s="27" t="s">
        <v>1007</v>
      </c>
      <c r="L591" s="31">
        <v>60</v>
      </c>
    </row>
    <row r="592" spans="1:12" x14ac:dyDescent="0.25">
      <c r="A592" s="26">
        <v>591</v>
      </c>
      <c r="B592" s="17" t="s">
        <v>867</v>
      </c>
      <c r="C592" s="2" t="str">
        <f>VLOOKUP($B592,Site!$B$2:$N$1868,2,0)</f>
        <v>CTOCKE34</v>
      </c>
      <c r="D592" s="2" t="str">
        <f>VLOOKUP($B592,Site!$B$2:$N$1868,6,0)</f>
        <v>3</v>
      </c>
      <c r="E592" s="2">
        <f>VLOOKUP($B592,Site!$B$2:$N$1868,8,0)</f>
        <v>0</v>
      </c>
      <c r="F592" s="27">
        <v>908099992</v>
      </c>
      <c r="G592" s="2" t="e">
        <f>VLOOKUP($B592,Site!$B$2:$N$1868,21,0)</f>
        <v>#REF!</v>
      </c>
      <c r="H592" s="2" t="e">
        <f>VLOOKUP($B592,Site!$B$2:$N$1868,20,0)</f>
        <v>#REF!</v>
      </c>
      <c r="I592" s="27" t="s">
        <v>1007</v>
      </c>
      <c r="J592" s="27" t="s">
        <v>1007</v>
      </c>
      <c r="K592" s="27" t="s">
        <v>1007</v>
      </c>
      <c r="L592" s="31">
        <v>60</v>
      </c>
    </row>
    <row r="593" spans="1:12" x14ac:dyDescent="0.25">
      <c r="A593" s="26">
        <v>592</v>
      </c>
      <c r="B593" s="17" t="s">
        <v>871</v>
      </c>
      <c r="C593" s="2" t="str">
        <f>VLOOKUP($B593,Site!$B$2:$N$1868,2,0)</f>
        <v>CTOCKE35</v>
      </c>
      <c r="D593" s="2" t="str">
        <f>VLOOKUP($B593,Site!$B$2:$N$1868,6,0)</f>
        <v>3</v>
      </c>
      <c r="E593" s="2">
        <f>VLOOKUP($B593,Site!$B$2:$N$1868,8,0)</f>
        <v>0</v>
      </c>
      <c r="F593" s="27">
        <v>908099992</v>
      </c>
      <c r="G593" s="2" t="e">
        <f>VLOOKUP($B593,Site!$B$2:$N$1868,21,0)</f>
        <v>#REF!</v>
      </c>
      <c r="H593" s="2" t="e">
        <f>VLOOKUP($B593,Site!$B$2:$N$1868,20,0)</f>
        <v>#REF!</v>
      </c>
      <c r="I593" s="27" t="s">
        <v>1007</v>
      </c>
      <c r="J593" s="27" t="s">
        <v>1007</v>
      </c>
      <c r="K593" s="27" t="s">
        <v>1007</v>
      </c>
      <c r="L593" s="31">
        <v>60</v>
      </c>
    </row>
    <row r="594" spans="1:12" x14ac:dyDescent="0.25">
      <c r="A594" s="26">
        <v>593</v>
      </c>
      <c r="B594" s="17" t="s">
        <v>872</v>
      </c>
      <c r="C594" s="2" t="str">
        <f>VLOOKUP($B594,Site!$B$2:$N$1868,2,0)</f>
        <v>CTONKU50</v>
      </c>
      <c r="D594" s="2" t="str">
        <f>VLOOKUP($B594,Site!$B$2:$N$1868,6,0)</f>
        <v>2</v>
      </c>
      <c r="E594" s="2">
        <f>VLOOKUP($B594,Site!$B$2:$N$1868,8,0)</f>
        <v>0</v>
      </c>
      <c r="F594" s="27">
        <v>908099992</v>
      </c>
      <c r="G594" s="2" t="e">
        <f>VLOOKUP($B594,Site!$B$2:$N$1868,21,0)</f>
        <v>#REF!</v>
      </c>
      <c r="H594" s="2" t="e">
        <f>VLOOKUP($B594,Site!$B$2:$N$1868,20,0)</f>
        <v>#REF!</v>
      </c>
      <c r="I594" s="27" t="s">
        <v>1007</v>
      </c>
      <c r="J594" s="27" t="s">
        <v>1007</v>
      </c>
      <c r="K594" s="27" t="s">
        <v>1007</v>
      </c>
      <c r="L594" s="31">
        <v>60</v>
      </c>
    </row>
    <row r="595" spans="1:12" x14ac:dyDescent="0.25">
      <c r="A595" s="26">
        <v>594</v>
      </c>
      <c r="B595" s="17" t="s">
        <v>870</v>
      </c>
      <c r="C595" s="2" t="str">
        <f>VLOOKUP($B595,Site!$B$2:$N$1868,2,0)</f>
        <v>CTOTAN38</v>
      </c>
      <c r="D595" s="2" t="str">
        <f>VLOOKUP($B595,Site!$B$2:$N$1868,6,0)</f>
        <v>3</v>
      </c>
      <c r="E595" s="2">
        <f>VLOOKUP($B595,Site!$B$2:$N$1868,8,0)</f>
        <v>0</v>
      </c>
      <c r="F595" s="27">
        <v>908099992</v>
      </c>
      <c r="G595" s="2" t="e">
        <f>VLOOKUP($B595,Site!$B$2:$N$1868,21,0)</f>
        <v>#REF!</v>
      </c>
      <c r="H595" s="2" t="e">
        <f>VLOOKUP($B595,Site!$B$2:$N$1868,20,0)</f>
        <v>#REF!</v>
      </c>
      <c r="I595" s="27" t="s">
        <v>1007</v>
      </c>
      <c r="J595" s="27" t="s">
        <v>1007</v>
      </c>
      <c r="K595" s="27" t="s">
        <v>1007</v>
      </c>
      <c r="L595" s="31">
        <v>60</v>
      </c>
    </row>
    <row r="596" spans="1:12" ht="15.75" x14ac:dyDescent="0.25">
      <c r="A596" s="26">
        <v>595</v>
      </c>
      <c r="B596" s="16" t="s">
        <v>865</v>
      </c>
      <c r="C596" s="2" t="str">
        <f>VLOOKUP($B596,Site!$B$2:$N$1868,2,0)</f>
        <v>CTOCKE30</v>
      </c>
      <c r="D596" s="2" t="str">
        <f>VLOOKUP($B596,Site!$B$2:$N$1868,6,0)</f>
        <v>2</v>
      </c>
      <c r="E596" s="2">
        <f>VLOOKUP($B596,Site!$B$2:$N$1868,8,0)</f>
        <v>0</v>
      </c>
      <c r="F596" s="27">
        <v>908099992</v>
      </c>
      <c r="G596" s="2" t="e">
        <f>VLOOKUP($B596,Site!$B$2:$N$1868,21,0)</f>
        <v>#REF!</v>
      </c>
      <c r="H596" s="2" t="e">
        <f>VLOOKUP($B596,Site!$B$2:$N$1868,20,0)</f>
        <v>#REF!</v>
      </c>
      <c r="I596" s="27" t="s">
        <v>1007</v>
      </c>
      <c r="J596" s="27" t="s">
        <v>1007</v>
      </c>
      <c r="K596" s="27" t="s">
        <v>1007</v>
      </c>
      <c r="L596" s="31">
        <v>60</v>
      </c>
    </row>
    <row r="597" spans="1:12" ht="15.75" x14ac:dyDescent="0.25">
      <c r="A597" s="26">
        <v>596</v>
      </c>
      <c r="B597" s="16" t="s">
        <v>873</v>
      </c>
      <c r="C597" s="2" t="str">
        <f>VLOOKUP($B597,Site!$B$2:$N$1868,2,0)</f>
        <v>CTOPTI29</v>
      </c>
      <c r="D597" s="2" t="str">
        <f>VLOOKUP($B597,Site!$B$2:$N$1868,6,0)</f>
        <v>3</v>
      </c>
      <c r="E597" s="2">
        <f>VLOOKUP($B597,Site!$B$2:$N$1868,8,0)</f>
        <v>0</v>
      </c>
      <c r="F597" s="27">
        <v>908099992</v>
      </c>
      <c r="G597" s="2" t="e">
        <f>VLOOKUP($B597,Site!$B$2:$N$1868,21,0)</f>
        <v>#REF!</v>
      </c>
      <c r="H597" s="2" t="e">
        <f>VLOOKUP($B597,Site!$B$2:$N$1868,20,0)</f>
        <v>#REF!</v>
      </c>
      <c r="I597" s="27" t="s">
        <v>1007</v>
      </c>
      <c r="J597" s="27" t="s">
        <v>1007</v>
      </c>
      <c r="K597" s="27" t="s">
        <v>1007</v>
      </c>
      <c r="L597" s="31">
        <v>60</v>
      </c>
    </row>
    <row r="598" spans="1:12" ht="15.75" x14ac:dyDescent="0.25">
      <c r="A598" s="26">
        <v>597</v>
      </c>
      <c r="B598" s="16" t="s">
        <v>874</v>
      </c>
      <c r="C598" s="2" t="str">
        <f>VLOOKUP($B598,Site!$B$2:$N$1868,2,0)</f>
        <v>CTOTNO13</v>
      </c>
      <c r="D598" s="2" t="str">
        <f>VLOOKUP($B598,Site!$B$2:$N$1868,6,0)</f>
        <v>3</v>
      </c>
      <c r="E598" s="2">
        <f>VLOOKUP($B598,Site!$B$2:$N$1868,8,0)</f>
        <v>0</v>
      </c>
      <c r="F598" s="27">
        <v>908099992</v>
      </c>
      <c r="G598" s="2" t="e">
        <f>VLOOKUP($B598,Site!$B$2:$N$1868,21,0)</f>
        <v>#REF!</v>
      </c>
      <c r="H598" s="2" t="e">
        <f>VLOOKUP($B598,Site!$B$2:$N$1868,20,0)</f>
        <v>#REF!</v>
      </c>
      <c r="I598" s="27" t="s">
        <v>1007</v>
      </c>
      <c r="J598" s="27" t="s">
        <v>1007</v>
      </c>
      <c r="K598" s="27" t="s">
        <v>1007</v>
      </c>
      <c r="L598" s="31">
        <v>60</v>
      </c>
    </row>
    <row r="599" spans="1:12" ht="15.75" x14ac:dyDescent="0.25">
      <c r="A599" s="26">
        <v>598</v>
      </c>
      <c r="B599" s="16" t="s">
        <v>876</v>
      </c>
      <c r="C599" s="2" t="str">
        <f>VLOOKUP($B599,Site!$B$2:$N$1868,2,0)</f>
        <v>CTOTNO14</v>
      </c>
      <c r="D599" s="2" t="str">
        <f>VLOOKUP($B599,Site!$B$2:$N$1868,6,0)</f>
        <v>3</v>
      </c>
      <c r="E599" s="2">
        <f>VLOOKUP($B599,Site!$B$2:$N$1868,8,0)</f>
        <v>0</v>
      </c>
      <c r="F599" s="27">
        <v>908099992</v>
      </c>
      <c r="G599" s="2" t="e">
        <f>VLOOKUP($B599,Site!$B$2:$N$1868,21,0)</f>
        <v>#REF!</v>
      </c>
      <c r="H599" s="2" t="e">
        <f>VLOOKUP($B599,Site!$B$2:$N$1868,20,0)</f>
        <v>#REF!</v>
      </c>
      <c r="I599" s="27" t="s">
        <v>1007</v>
      </c>
      <c r="J599" s="27" t="s">
        <v>1007</v>
      </c>
      <c r="K599" s="27" t="s">
        <v>1007</v>
      </c>
      <c r="L599" s="31">
        <v>60</v>
      </c>
    </row>
    <row r="600" spans="1:12" ht="15.75" x14ac:dyDescent="0.25">
      <c r="A600" s="26">
        <v>599</v>
      </c>
      <c r="B600" s="16" t="s">
        <v>875</v>
      </c>
      <c r="C600" s="2" t="str">
        <f>VLOOKUP($B600,Site!$B$2:$N$1868,2,0)</f>
        <v>CTOTLC14</v>
      </c>
      <c r="D600" s="2" t="str">
        <f>VLOOKUP($B600,Site!$B$2:$N$1868,6,0)</f>
        <v>3</v>
      </c>
      <c r="E600" s="2">
        <f>VLOOKUP($B600,Site!$B$2:$N$1868,8,0)</f>
        <v>0</v>
      </c>
      <c r="F600" s="27">
        <v>908099992</v>
      </c>
      <c r="G600" s="2" t="e">
        <f>VLOOKUP($B600,Site!$B$2:$N$1868,21,0)</f>
        <v>#REF!</v>
      </c>
      <c r="H600" s="2" t="e">
        <f>VLOOKUP($B600,Site!$B$2:$N$1868,20,0)</f>
        <v>#REF!</v>
      </c>
      <c r="I600" s="27" t="s">
        <v>1007</v>
      </c>
      <c r="J600" s="27" t="s">
        <v>1007</v>
      </c>
      <c r="K600" s="27" t="s">
        <v>1007</v>
      </c>
      <c r="L600" s="31">
        <v>60</v>
      </c>
    </row>
  </sheetData>
  <conditionalFormatting sqref="B572:B588">
    <cfRule type="duplicateValues" dxfId="4" priority="5"/>
  </conditionalFormatting>
  <conditionalFormatting sqref="B589:B59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6E27-92EF-40F9-A6DD-EAB2B8AE38B5}">
  <dimension ref="A1:J19"/>
  <sheetViews>
    <sheetView workbookViewId="0">
      <selection activeCell="B5" sqref="B5"/>
    </sheetView>
  </sheetViews>
  <sheetFormatPr defaultRowHeight="15" x14ac:dyDescent="0.25"/>
  <cols>
    <col min="1" max="1" width="9.7109375" bestFit="1" customWidth="1"/>
    <col min="2" max="2" width="9.85546875" bestFit="1" customWidth="1"/>
    <col min="3" max="3" width="16.28515625" bestFit="1" customWidth="1"/>
    <col min="4" max="4" width="11.28515625" bestFit="1" customWidth="1"/>
    <col min="5" max="5" width="10.140625" bestFit="1" customWidth="1"/>
    <col min="6" max="6" width="11" bestFit="1" customWidth="1"/>
    <col min="7" max="7" width="14.7109375" bestFit="1" customWidth="1"/>
    <col min="8" max="8" width="11.7109375" bestFit="1" customWidth="1"/>
    <col min="9" max="9" width="14" bestFit="1" customWidth="1"/>
    <col min="10" max="10" width="15.28515625" bestFit="1" customWidth="1"/>
  </cols>
  <sheetData>
    <row r="1" spans="1:10" ht="31.5" x14ac:dyDescent="0.25">
      <c r="A1" s="7" t="s">
        <v>0</v>
      </c>
      <c r="B1" s="7" t="s">
        <v>1</v>
      </c>
      <c r="C1" s="7" t="s">
        <v>602</v>
      </c>
      <c r="D1" s="7" t="s">
        <v>589</v>
      </c>
      <c r="E1" s="7" t="s">
        <v>590</v>
      </c>
      <c r="F1" s="8" t="s">
        <v>762</v>
      </c>
      <c r="G1" s="8" t="s">
        <v>754</v>
      </c>
      <c r="H1" s="8" t="s">
        <v>755</v>
      </c>
      <c r="I1" s="9" t="s">
        <v>832</v>
      </c>
      <c r="J1" s="10" t="s">
        <v>812</v>
      </c>
    </row>
    <row r="2" spans="1:10" ht="15.75" x14ac:dyDescent="0.25">
      <c r="A2" s="11">
        <v>1</v>
      </c>
      <c r="B2" s="12" t="s">
        <v>508</v>
      </c>
      <c r="C2" s="13" t="s">
        <v>716</v>
      </c>
      <c r="D2" s="13">
        <v>105.54436</v>
      </c>
      <c r="E2" s="13">
        <v>10.26229</v>
      </c>
      <c r="F2" s="13" t="s">
        <v>763</v>
      </c>
      <c r="G2" s="13" t="s">
        <v>795</v>
      </c>
      <c r="H2" s="13" t="s">
        <v>759</v>
      </c>
      <c r="I2" s="13" t="s">
        <v>833</v>
      </c>
      <c r="J2" s="13" t="s">
        <v>811</v>
      </c>
    </row>
    <row r="3" spans="1:10" ht="15.75" x14ac:dyDescent="0.25">
      <c r="A3" s="11">
        <v>2</v>
      </c>
      <c r="B3" s="12" t="s">
        <v>134</v>
      </c>
      <c r="C3" s="13" t="s">
        <v>834</v>
      </c>
      <c r="D3" s="13">
        <v>105.76027999999999</v>
      </c>
      <c r="E3" s="13">
        <v>10.0382</v>
      </c>
      <c r="F3" s="13" t="s">
        <v>769</v>
      </c>
      <c r="G3" s="13" t="s">
        <v>780</v>
      </c>
      <c r="H3" s="13" t="s">
        <v>760</v>
      </c>
      <c r="I3" s="13" t="s">
        <v>833</v>
      </c>
      <c r="J3" s="13" t="s">
        <v>800</v>
      </c>
    </row>
    <row r="4" spans="1:10" ht="15.75" x14ac:dyDescent="0.25">
      <c r="A4" s="11">
        <v>3</v>
      </c>
      <c r="B4" s="12" t="s">
        <v>113</v>
      </c>
      <c r="C4" s="13" t="s">
        <v>835</v>
      </c>
      <c r="D4" s="13">
        <v>105.76754</v>
      </c>
      <c r="E4" s="13">
        <v>10.040290000000001</v>
      </c>
      <c r="F4" s="13" t="s">
        <v>769</v>
      </c>
      <c r="G4" s="13" t="s">
        <v>782</v>
      </c>
      <c r="H4" s="13" t="s">
        <v>774</v>
      </c>
      <c r="I4" s="13" t="s">
        <v>833</v>
      </c>
      <c r="J4" s="13" t="s">
        <v>799</v>
      </c>
    </row>
    <row r="5" spans="1:10" ht="15.75" x14ac:dyDescent="0.25">
      <c r="A5" s="11">
        <v>4</v>
      </c>
      <c r="B5" s="12" t="s">
        <v>114</v>
      </c>
      <c r="C5" s="13" t="s">
        <v>836</v>
      </c>
      <c r="D5" s="13">
        <v>105.77802</v>
      </c>
      <c r="E5" s="13">
        <v>10.025499999999999</v>
      </c>
      <c r="F5" s="13" t="s">
        <v>769</v>
      </c>
      <c r="G5" s="13" t="s">
        <v>781</v>
      </c>
      <c r="H5" s="13" t="s">
        <v>774</v>
      </c>
      <c r="I5" s="13" t="s">
        <v>833</v>
      </c>
      <c r="J5" s="13" t="s">
        <v>801</v>
      </c>
    </row>
    <row r="6" spans="1:10" ht="15.75" x14ac:dyDescent="0.25">
      <c r="A6" s="11">
        <v>5</v>
      </c>
      <c r="B6" s="12" t="s">
        <v>510</v>
      </c>
      <c r="C6" s="13" t="s">
        <v>668</v>
      </c>
      <c r="D6" s="13">
        <v>105.65497999999999</v>
      </c>
      <c r="E6" s="13">
        <v>10.085990000000001</v>
      </c>
      <c r="F6" s="13" t="s">
        <v>785</v>
      </c>
      <c r="G6" s="13" t="s">
        <v>790</v>
      </c>
      <c r="H6" s="13" t="s">
        <v>757</v>
      </c>
      <c r="I6" s="13" t="s">
        <v>833</v>
      </c>
      <c r="J6" s="13" t="s">
        <v>805</v>
      </c>
    </row>
    <row r="7" spans="1:10" ht="15.75" x14ac:dyDescent="0.25">
      <c r="A7" s="11">
        <v>6</v>
      </c>
      <c r="B7" s="12" t="s">
        <v>477</v>
      </c>
      <c r="C7" s="13" t="s">
        <v>669</v>
      </c>
      <c r="D7" s="13">
        <v>105.64868</v>
      </c>
      <c r="E7" s="13">
        <v>10.06969</v>
      </c>
      <c r="F7" s="13" t="s">
        <v>785</v>
      </c>
      <c r="G7" s="13" t="s">
        <v>788</v>
      </c>
      <c r="H7" s="13" t="s">
        <v>757</v>
      </c>
      <c r="I7" s="13" t="s">
        <v>833</v>
      </c>
      <c r="J7" s="13" t="s">
        <v>804</v>
      </c>
    </row>
    <row r="8" spans="1:10" ht="15.75" x14ac:dyDescent="0.25">
      <c r="A8" s="11">
        <v>7</v>
      </c>
      <c r="B8" s="12" t="s">
        <v>166</v>
      </c>
      <c r="C8" s="13" t="s">
        <v>837</v>
      </c>
      <c r="D8" s="13">
        <v>105.66898</v>
      </c>
      <c r="E8" s="13">
        <v>9.9959799999999994</v>
      </c>
      <c r="F8" s="13" t="s">
        <v>768</v>
      </c>
      <c r="G8" s="13" t="s">
        <v>791</v>
      </c>
      <c r="H8" s="13" t="s">
        <v>760</v>
      </c>
      <c r="I8" s="13" t="s">
        <v>833</v>
      </c>
      <c r="J8" s="13" t="s">
        <v>808</v>
      </c>
    </row>
    <row r="9" spans="1:10" ht="15.75" x14ac:dyDescent="0.25">
      <c r="A9" s="11">
        <v>8</v>
      </c>
      <c r="B9" s="12" t="s">
        <v>486</v>
      </c>
      <c r="C9" s="13" t="s">
        <v>688</v>
      </c>
      <c r="D9" s="13">
        <v>105.65183</v>
      </c>
      <c r="E9" s="13">
        <v>10.02942</v>
      </c>
      <c r="F9" s="13" t="s">
        <v>768</v>
      </c>
      <c r="G9" s="12" t="s">
        <v>792</v>
      </c>
      <c r="H9" s="13" t="s">
        <v>757</v>
      </c>
      <c r="I9" s="13" t="s">
        <v>833</v>
      </c>
      <c r="J9" s="13" t="s">
        <v>809</v>
      </c>
    </row>
    <row r="10" spans="1:10" ht="15.75" x14ac:dyDescent="0.25">
      <c r="A10" s="11">
        <v>9</v>
      </c>
      <c r="B10" s="12" t="s">
        <v>480</v>
      </c>
      <c r="C10" s="13" t="s">
        <v>689</v>
      </c>
      <c r="D10" s="13">
        <v>105.64277</v>
      </c>
      <c r="E10" s="13">
        <v>9.9806399999999993</v>
      </c>
      <c r="F10" s="13" t="s">
        <v>768</v>
      </c>
      <c r="G10" s="12" t="s">
        <v>794</v>
      </c>
      <c r="H10" s="13" t="s">
        <v>757</v>
      </c>
      <c r="I10" s="13" t="s">
        <v>833</v>
      </c>
      <c r="J10" s="13" t="s">
        <v>810</v>
      </c>
    </row>
    <row r="11" spans="1:10" ht="15.75" x14ac:dyDescent="0.25">
      <c r="A11" s="11">
        <v>10</v>
      </c>
      <c r="B11" s="12" t="s">
        <v>544</v>
      </c>
      <c r="C11" s="13" t="s">
        <v>695</v>
      </c>
      <c r="D11" s="13">
        <v>105.66645</v>
      </c>
      <c r="E11" s="13">
        <v>10.001150000000001</v>
      </c>
      <c r="F11" s="13" t="s">
        <v>768</v>
      </c>
      <c r="G11" s="12" t="s">
        <v>791</v>
      </c>
      <c r="H11" s="13" t="s">
        <v>757</v>
      </c>
      <c r="I11" s="13" t="s">
        <v>833</v>
      </c>
      <c r="J11" s="13" t="s">
        <v>809</v>
      </c>
    </row>
    <row r="12" spans="1:10" ht="15.75" x14ac:dyDescent="0.25">
      <c r="A12" s="11">
        <v>11</v>
      </c>
      <c r="B12" s="12" t="s">
        <v>506</v>
      </c>
      <c r="C12" s="13" t="s">
        <v>618</v>
      </c>
      <c r="D12" s="13">
        <v>105.69878</v>
      </c>
      <c r="E12" s="13">
        <v>10.08466</v>
      </c>
      <c r="F12" s="13" t="s">
        <v>756</v>
      </c>
      <c r="G12" s="13" t="s">
        <v>773</v>
      </c>
      <c r="H12" s="13" t="s">
        <v>759</v>
      </c>
      <c r="I12" s="13" t="s">
        <v>833</v>
      </c>
      <c r="J12" s="13" t="s">
        <v>797</v>
      </c>
    </row>
    <row r="13" spans="1:10" ht="15.75" x14ac:dyDescent="0.25">
      <c r="A13" s="11">
        <v>12</v>
      </c>
      <c r="B13" s="12" t="s">
        <v>230</v>
      </c>
      <c r="C13" s="13" t="s">
        <v>838</v>
      </c>
      <c r="D13" s="13">
        <v>105.47384</v>
      </c>
      <c r="E13" s="13">
        <v>10.0847</v>
      </c>
      <c r="F13" s="13" t="s">
        <v>775</v>
      </c>
      <c r="G13" s="13" t="s">
        <v>776</v>
      </c>
      <c r="H13" s="13" t="s">
        <v>774</v>
      </c>
      <c r="I13" s="13" t="s">
        <v>833</v>
      </c>
      <c r="J13" s="13" t="s">
        <v>798</v>
      </c>
    </row>
    <row r="14" spans="1:10" ht="15.75" x14ac:dyDescent="0.25">
      <c r="A14" s="11">
        <v>13</v>
      </c>
      <c r="B14" s="12" t="s">
        <v>346</v>
      </c>
      <c r="C14" s="13" t="s">
        <v>839</v>
      </c>
      <c r="D14" s="13">
        <v>105.62921</v>
      </c>
      <c r="E14" s="13">
        <v>10.114280000000001</v>
      </c>
      <c r="F14" s="13" t="s">
        <v>785</v>
      </c>
      <c r="G14" s="13" t="s">
        <v>786</v>
      </c>
      <c r="H14" s="13" t="s">
        <v>774</v>
      </c>
      <c r="I14" s="13" t="s">
        <v>833</v>
      </c>
      <c r="J14" s="13" t="s">
        <v>802</v>
      </c>
    </row>
    <row r="15" spans="1:10" ht="15.75" x14ac:dyDescent="0.25">
      <c r="A15" s="11">
        <v>14</v>
      </c>
      <c r="B15" s="12" t="s">
        <v>475</v>
      </c>
      <c r="C15" s="13" t="s">
        <v>664</v>
      </c>
      <c r="D15" s="13">
        <v>105.66463</v>
      </c>
      <c r="E15" s="13">
        <v>10.10669</v>
      </c>
      <c r="F15" s="13" t="s">
        <v>785</v>
      </c>
      <c r="G15" s="13" t="s">
        <v>789</v>
      </c>
      <c r="H15" s="13" t="s">
        <v>757</v>
      </c>
      <c r="I15" s="13" t="s">
        <v>833</v>
      </c>
      <c r="J15" s="13" t="s">
        <v>806</v>
      </c>
    </row>
    <row r="16" spans="1:10" ht="15.75" x14ac:dyDescent="0.25">
      <c r="A16" s="11">
        <v>15</v>
      </c>
      <c r="B16" s="12" t="s">
        <v>476</v>
      </c>
      <c r="C16" s="13" t="s">
        <v>665</v>
      </c>
      <c r="D16" s="13">
        <v>105.68137</v>
      </c>
      <c r="E16" s="13">
        <v>10.10345</v>
      </c>
      <c r="F16" s="13" t="s">
        <v>785</v>
      </c>
      <c r="G16" s="13" t="s">
        <v>789</v>
      </c>
      <c r="H16" s="13" t="s">
        <v>757</v>
      </c>
      <c r="I16" s="13" t="s">
        <v>833</v>
      </c>
      <c r="J16" s="13" t="s">
        <v>806</v>
      </c>
    </row>
    <row r="17" spans="1:10" ht="15.75" x14ac:dyDescent="0.25">
      <c r="A17" s="11">
        <v>16</v>
      </c>
      <c r="B17" s="12" t="s">
        <v>485</v>
      </c>
      <c r="C17" s="13" t="s">
        <v>666</v>
      </c>
      <c r="D17" s="13">
        <v>105.6919</v>
      </c>
      <c r="E17" s="13">
        <v>10.10534</v>
      </c>
      <c r="F17" s="13" t="s">
        <v>785</v>
      </c>
      <c r="G17" s="13" t="s">
        <v>789</v>
      </c>
      <c r="H17" s="13" t="s">
        <v>757</v>
      </c>
      <c r="I17" s="13" t="s">
        <v>833</v>
      </c>
      <c r="J17" s="13" t="s">
        <v>807</v>
      </c>
    </row>
    <row r="18" spans="1:10" ht="15.75" x14ac:dyDescent="0.25">
      <c r="A18" s="11">
        <v>17</v>
      </c>
      <c r="B18" s="12" t="s">
        <v>538</v>
      </c>
      <c r="C18" s="13" t="s">
        <v>667</v>
      </c>
      <c r="D18" s="13">
        <v>105.67144</v>
      </c>
      <c r="E18" s="13">
        <v>10.09144</v>
      </c>
      <c r="F18" s="13" t="s">
        <v>785</v>
      </c>
      <c r="G18" s="13" t="s">
        <v>789</v>
      </c>
      <c r="H18" s="13" t="s">
        <v>757</v>
      </c>
      <c r="I18" s="13" t="s">
        <v>840</v>
      </c>
      <c r="J18" s="14" t="s">
        <v>806</v>
      </c>
    </row>
    <row r="19" spans="1:10" ht="15.75" x14ac:dyDescent="0.25">
      <c r="A19" s="11">
        <v>18</v>
      </c>
      <c r="B19" s="12" t="s">
        <v>478</v>
      </c>
      <c r="C19" s="13" t="s">
        <v>671</v>
      </c>
      <c r="D19" s="13">
        <v>105.64355</v>
      </c>
      <c r="E19" s="13">
        <v>10.141529999999999</v>
      </c>
      <c r="F19" s="13" t="s">
        <v>785</v>
      </c>
      <c r="G19" s="13" t="s">
        <v>787</v>
      </c>
      <c r="H19" s="13" t="s">
        <v>757</v>
      </c>
      <c r="I19" s="13" t="s">
        <v>833</v>
      </c>
      <c r="J19" s="13" t="s">
        <v>803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08F9-C1B1-4130-AAED-15EF36FB410D}">
  <dimension ref="A1:C19"/>
  <sheetViews>
    <sheetView workbookViewId="0">
      <selection activeCell="B6" sqref="B6"/>
    </sheetView>
  </sheetViews>
  <sheetFormatPr defaultRowHeight="15" x14ac:dyDescent="0.25"/>
  <cols>
    <col min="1" max="1" width="20.42578125" bestFit="1" customWidth="1"/>
    <col min="2" max="2" width="14.28515625" bestFit="1" customWidth="1"/>
    <col min="3" max="3" width="15.85546875" customWidth="1"/>
  </cols>
  <sheetData>
    <row r="1" spans="1:3" x14ac:dyDescent="0.25">
      <c r="A1" s="3" t="s">
        <v>437</v>
      </c>
      <c r="B1" s="3" t="s">
        <v>434</v>
      </c>
      <c r="C1" s="3" t="s">
        <v>435</v>
      </c>
    </row>
    <row r="2" spans="1:3" ht="16.5" x14ac:dyDescent="0.25">
      <c r="A2" s="2" t="s">
        <v>3</v>
      </c>
      <c r="B2" s="4" t="s">
        <v>396</v>
      </c>
      <c r="C2" s="2"/>
    </row>
    <row r="3" spans="1:3" ht="16.5" x14ac:dyDescent="0.25">
      <c r="A3" s="2" t="s">
        <v>215</v>
      </c>
      <c r="B3" s="4" t="s">
        <v>397</v>
      </c>
      <c r="C3" s="6" t="s">
        <v>433</v>
      </c>
    </row>
    <row r="4" spans="1:3" ht="16.5" x14ac:dyDescent="0.25">
      <c r="A4" s="2" t="s">
        <v>398</v>
      </c>
      <c r="B4" s="4" t="s">
        <v>399</v>
      </c>
      <c r="C4" s="2"/>
    </row>
    <row r="5" spans="1:3" ht="16.5" x14ac:dyDescent="0.25">
      <c r="A5" s="2" t="s">
        <v>213</v>
      </c>
      <c r="B5" s="4" t="s">
        <v>400</v>
      </c>
      <c r="C5" s="2"/>
    </row>
    <row r="6" spans="1:3" ht="16.5" x14ac:dyDescent="0.25">
      <c r="A6" s="2" t="s">
        <v>214</v>
      </c>
      <c r="B6" s="4" t="s">
        <v>439</v>
      </c>
      <c r="C6" s="2"/>
    </row>
    <row r="7" spans="1:3" ht="16.5" x14ac:dyDescent="0.25">
      <c r="A7" s="5" t="s">
        <v>6</v>
      </c>
      <c r="B7" s="4" t="s">
        <v>401</v>
      </c>
      <c r="C7" s="2"/>
    </row>
    <row r="8" spans="1:3" ht="16.5" x14ac:dyDescent="0.25">
      <c r="A8" s="5" t="s">
        <v>380</v>
      </c>
      <c r="B8" s="4" t="s">
        <v>426</v>
      </c>
      <c r="C8" s="2"/>
    </row>
    <row r="9" spans="1:3" ht="16.5" x14ac:dyDescent="0.25">
      <c r="A9" s="5" t="s">
        <v>394</v>
      </c>
      <c r="B9" s="4" t="s">
        <v>427</v>
      </c>
      <c r="C9" s="2"/>
    </row>
    <row r="10" spans="1:3" ht="16.5" x14ac:dyDescent="0.25">
      <c r="A10" s="5" t="s">
        <v>415</v>
      </c>
      <c r="B10" s="4" t="s">
        <v>416</v>
      </c>
      <c r="C10" s="2"/>
    </row>
    <row r="11" spans="1:3" ht="16.5" x14ac:dyDescent="0.25">
      <c r="A11" s="5" t="s">
        <v>343</v>
      </c>
      <c r="B11" s="4" t="s">
        <v>428</v>
      </c>
      <c r="C11" s="2"/>
    </row>
    <row r="12" spans="1:3" ht="16.5" x14ac:dyDescent="0.25">
      <c r="A12" s="1" t="s">
        <v>340</v>
      </c>
      <c r="B12" s="4" t="s">
        <v>402</v>
      </c>
      <c r="C12" s="2"/>
    </row>
    <row r="13" spans="1:3" ht="16.5" x14ac:dyDescent="0.25">
      <c r="A13" s="1" t="s">
        <v>393</v>
      </c>
      <c r="B13" s="4" t="s">
        <v>403</v>
      </c>
      <c r="C13" s="2"/>
    </row>
    <row r="14" spans="1:3" ht="16.5" x14ac:dyDescent="0.25">
      <c r="A14" s="1" t="s">
        <v>339</v>
      </c>
      <c r="B14" s="4" t="s">
        <v>404</v>
      </c>
      <c r="C14" s="6" t="s">
        <v>431</v>
      </c>
    </row>
    <row r="15" spans="1:3" ht="16.5" x14ac:dyDescent="0.25">
      <c r="A15" s="1" t="s">
        <v>341</v>
      </c>
      <c r="B15" s="4" t="s">
        <v>419</v>
      </c>
      <c r="C15" s="6" t="s">
        <v>429</v>
      </c>
    </row>
    <row r="16" spans="1:3" ht="16.5" x14ac:dyDescent="0.25">
      <c r="A16" s="1" t="s">
        <v>8</v>
      </c>
      <c r="B16" s="4" t="s">
        <v>405</v>
      </c>
      <c r="C16" s="6" t="s">
        <v>430</v>
      </c>
    </row>
    <row r="17" spans="1:3" ht="16.5" x14ac:dyDescent="0.25">
      <c r="A17" s="1" t="s">
        <v>342</v>
      </c>
      <c r="B17" s="4" t="s">
        <v>406</v>
      </c>
      <c r="C17" s="6" t="s">
        <v>432</v>
      </c>
    </row>
    <row r="18" spans="1:3" ht="16.5" x14ac:dyDescent="0.25">
      <c r="A18" s="1" t="s">
        <v>407</v>
      </c>
      <c r="B18" s="4" t="s">
        <v>408</v>
      </c>
      <c r="C18" s="2"/>
    </row>
    <row r="19" spans="1:3" ht="16.5" x14ac:dyDescent="0.25">
      <c r="A19" s="1" t="s">
        <v>425</v>
      </c>
      <c r="B19" s="4" t="s">
        <v>436</v>
      </c>
      <c r="C1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Site</vt:lpstr>
      <vt:lpstr>TD T4_2025</vt:lpstr>
      <vt:lpstr>Sheet1</vt:lpstr>
      <vt:lpstr>May no dan</vt:lpstr>
      <vt:lpstr> MAY CD QLT</vt:lpstr>
      <vt:lpstr>PCLB</vt:lpstr>
      <vt:lpstr>PCLB2</vt:lpstr>
      <vt:lpstr>CRAN</vt:lpstr>
      <vt:lpstr>Số ĐT</vt:lpstr>
      <vt:lpstr>Site!Print_Area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Truong</dc:creator>
  <cp:lastModifiedBy>Administrator</cp:lastModifiedBy>
  <cp:lastPrinted>2016-05-12T03:13:46Z</cp:lastPrinted>
  <dcterms:created xsi:type="dcterms:W3CDTF">2012-04-29T13:41:38Z</dcterms:created>
  <dcterms:modified xsi:type="dcterms:W3CDTF">2026-04-24T01:26:18Z</dcterms:modified>
</cp:coreProperties>
</file>